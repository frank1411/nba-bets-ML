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omments2.xml" ContentType="application/vnd.openxmlformats-officedocument.spreadsheetml.comments+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24226"/>
  <mc:AlternateContent xmlns:mc="http://schemas.openxmlformats.org/markup-compatibility/2006">
    <mc:Choice Requires="x15">
      <x15ac:absPath xmlns:x15ac="http://schemas.microsoft.com/office/spreadsheetml/2010/11/ac" url="https://d.docs.live.net/babd47159924494a/Apuestas/19-20/"/>
    </mc:Choice>
  </mc:AlternateContent>
  <xr:revisionPtr revIDLastSave="0" documentId="8_{B9A8330F-CBFE-458C-BFA6-1EBDB3549DAA}" xr6:coauthVersionLast="47" xr6:coauthVersionMax="47" xr10:uidLastSave="{00000000-0000-0000-0000-000000000000}"/>
  <bookViews>
    <workbookView xWindow="0" yWindow="0" windowWidth="20490" windowHeight="7755" tabRatio="513" firstSheet="2" xr2:uid="{00000000-000D-0000-FFFF-FFFF00000000}"/>
  </bookViews>
  <sheets>
    <sheet name="NBA" sheetId="17" r:id="rId1"/>
    <sheet name="Jornada" sheetId="33" r:id="rId2"/>
    <sheet name="Dashboard" sheetId="36" r:id="rId3"/>
    <sheet name="T Dinamica" sheetId="35" r:id="rId4"/>
    <sheet name="Referencia" sheetId="37" r:id="rId5"/>
    <sheet name="MLB ML Over" sheetId="30" state="hidden" r:id="rId6"/>
    <sheet name="MLB ML Over Individual" sheetId="31" state="hidden" r:id="rId7"/>
    <sheet name="MLB ML Over Partidos" sheetId="32" state="hidden" r:id="rId8"/>
    <sheet name="YRFI" sheetId="22" r:id="rId9"/>
    <sheet name="MMP" sheetId="6" r:id="rId10"/>
    <sheet name="Torta" sheetId="14" r:id="rId11"/>
    <sheet name="Redobla" sheetId="9" r:id="rId12"/>
  </sheets>
  <calcPr calcId="191028"/>
  <pivotCaches>
    <pivotCache cacheId="3273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35" i="17" l="1"/>
  <c r="L1035" i="17"/>
  <c r="C814" i="33"/>
  <c r="F814" i="33"/>
  <c r="G814" i="33"/>
  <c r="J814" i="33"/>
  <c r="K814" i="33"/>
  <c r="L814" i="33"/>
  <c r="M814" i="33"/>
  <c r="N814" i="33"/>
  <c r="O814" i="33"/>
  <c r="P814" i="33"/>
  <c r="Q814" i="33"/>
  <c r="R814" i="33"/>
  <c r="C806" i="33"/>
  <c r="C807" i="33"/>
  <c r="C808" i="33"/>
  <c r="C809" i="33"/>
  <c r="C810" i="33"/>
  <c r="C811" i="33"/>
  <c r="C812" i="33"/>
  <c r="C813" i="33"/>
  <c r="C815" i="33"/>
  <c r="C816" i="33"/>
  <c r="C817" i="33"/>
  <c r="C818" i="33"/>
  <c r="F806" i="33"/>
  <c r="F807" i="33"/>
  <c r="F808" i="33"/>
  <c r="F809" i="33"/>
  <c r="F810" i="33"/>
  <c r="F811" i="33"/>
  <c r="F812" i="33"/>
  <c r="F813" i="33"/>
  <c r="F815" i="33"/>
  <c r="F816" i="33"/>
  <c r="F817" i="33"/>
  <c r="F818" i="33"/>
  <c r="G806" i="33"/>
  <c r="G807" i="33"/>
  <c r="G808" i="33"/>
  <c r="G809" i="33"/>
  <c r="G810" i="33"/>
  <c r="G811" i="33"/>
  <c r="G812" i="33"/>
  <c r="G813" i="33"/>
  <c r="G815" i="33"/>
  <c r="G816" i="33"/>
  <c r="G817" i="33"/>
  <c r="G818" i="33"/>
  <c r="J806" i="33"/>
  <c r="J807" i="33"/>
  <c r="J808" i="33"/>
  <c r="J809" i="33"/>
  <c r="J810" i="33"/>
  <c r="J811" i="33"/>
  <c r="J812" i="33"/>
  <c r="J813" i="33"/>
  <c r="J815" i="33"/>
  <c r="J816" i="33"/>
  <c r="J817" i="33"/>
  <c r="J818" i="33"/>
  <c r="K806" i="33"/>
  <c r="K807" i="33"/>
  <c r="K808" i="33"/>
  <c r="K809" i="33"/>
  <c r="K810" i="33"/>
  <c r="K811" i="33"/>
  <c r="K812" i="33"/>
  <c r="K813" i="33"/>
  <c r="K815" i="33"/>
  <c r="K816" i="33"/>
  <c r="K817" i="33"/>
  <c r="K818" i="33"/>
  <c r="L806" i="33"/>
  <c r="L807" i="33"/>
  <c r="L808" i="33"/>
  <c r="L809" i="33"/>
  <c r="L810" i="33"/>
  <c r="L811" i="33"/>
  <c r="L812" i="33"/>
  <c r="L813" i="33"/>
  <c r="L815" i="33"/>
  <c r="L816" i="33"/>
  <c r="L817" i="33"/>
  <c r="L818" i="33"/>
  <c r="M806" i="33"/>
  <c r="M807" i="33"/>
  <c r="M808" i="33"/>
  <c r="M809" i="33"/>
  <c r="M810" i="33"/>
  <c r="M811" i="33"/>
  <c r="M812" i="33"/>
  <c r="M813" i="33"/>
  <c r="M815" i="33"/>
  <c r="M816" i="33"/>
  <c r="M817" i="33"/>
  <c r="M818" i="33"/>
  <c r="N806" i="33"/>
  <c r="N807" i="33"/>
  <c r="N808" i="33"/>
  <c r="N809" i="33"/>
  <c r="N810" i="33"/>
  <c r="N811" i="33"/>
  <c r="N812" i="33"/>
  <c r="N813" i="33"/>
  <c r="N815" i="33"/>
  <c r="N816" i="33"/>
  <c r="N817" i="33"/>
  <c r="N818" i="33"/>
  <c r="O806" i="33"/>
  <c r="O807" i="33"/>
  <c r="O808" i="33"/>
  <c r="O809" i="33"/>
  <c r="O810" i="33"/>
  <c r="O811" i="33"/>
  <c r="O812" i="33"/>
  <c r="O813" i="33"/>
  <c r="O815" i="33"/>
  <c r="O816" i="33"/>
  <c r="O817" i="33"/>
  <c r="O818" i="33"/>
  <c r="P806" i="33"/>
  <c r="P807" i="33"/>
  <c r="P808" i="33"/>
  <c r="P809" i="33"/>
  <c r="P810" i="33"/>
  <c r="P811" i="33"/>
  <c r="P812" i="33"/>
  <c r="P813" i="33"/>
  <c r="P815" i="33"/>
  <c r="P816" i="33"/>
  <c r="P817" i="33"/>
  <c r="P818" i="33"/>
  <c r="Q806" i="33"/>
  <c r="Q807" i="33"/>
  <c r="Q808" i="33"/>
  <c r="Q809" i="33"/>
  <c r="Q810" i="33"/>
  <c r="Q811" i="33"/>
  <c r="Q812" i="33"/>
  <c r="Q813" i="33"/>
  <c r="Q815" i="33"/>
  <c r="Q816" i="33"/>
  <c r="Q817" i="33"/>
  <c r="Q818" i="33"/>
  <c r="R806" i="33"/>
  <c r="R807" i="33"/>
  <c r="R808" i="33"/>
  <c r="R809" i="33"/>
  <c r="R810" i="33"/>
  <c r="R811" i="33"/>
  <c r="R812" i="33"/>
  <c r="R813" i="33"/>
  <c r="R815" i="33"/>
  <c r="R816" i="33"/>
  <c r="R817" i="33"/>
  <c r="R818" i="33"/>
  <c r="E819" i="33"/>
  <c r="L819" i="33"/>
  <c r="I819" i="33"/>
  <c r="C805" i="33"/>
  <c r="F805" i="33"/>
  <c r="G805" i="33"/>
  <c r="J805" i="33"/>
  <c r="K805" i="33"/>
  <c r="L805" i="33"/>
  <c r="M805" i="33"/>
  <c r="N805" i="33"/>
  <c r="O805" i="33"/>
  <c r="P805" i="33"/>
  <c r="Q805" i="33"/>
  <c r="R805" i="33"/>
  <c r="C1082" i="17"/>
  <c r="I1011" i="17"/>
  <c r="L1011" i="17"/>
  <c r="C802" i="33"/>
  <c r="C803" i="33"/>
  <c r="C804" i="33"/>
  <c r="F802" i="33"/>
  <c r="F803" i="33"/>
  <c r="F804" i="33"/>
  <c r="G802" i="33"/>
  <c r="G803" i="33"/>
  <c r="G804" i="33"/>
  <c r="J802" i="33"/>
  <c r="J803" i="33"/>
  <c r="J804" i="33"/>
  <c r="K802" i="33"/>
  <c r="K803" i="33"/>
  <c r="K804" i="33"/>
  <c r="L802" i="33"/>
  <c r="L803" i="33"/>
  <c r="L804" i="33"/>
  <c r="M802" i="33"/>
  <c r="M803" i="33"/>
  <c r="M804" i="33"/>
  <c r="N802" i="33"/>
  <c r="N803" i="33"/>
  <c r="N804" i="33"/>
  <c r="O802" i="33"/>
  <c r="O803" i="33"/>
  <c r="O804" i="33"/>
  <c r="P802" i="33"/>
  <c r="P803" i="33"/>
  <c r="P804" i="33"/>
  <c r="Q802" i="33"/>
  <c r="Q803" i="33"/>
  <c r="Q804" i="33"/>
  <c r="R802" i="33"/>
  <c r="R803" i="33"/>
  <c r="R804" i="33"/>
  <c r="C801" i="33"/>
  <c r="F801" i="33"/>
  <c r="G801" i="33"/>
  <c r="J801" i="33"/>
  <c r="K801" i="33"/>
  <c r="L801" i="33"/>
  <c r="M801" i="33"/>
  <c r="N801" i="33"/>
  <c r="O801" i="33"/>
  <c r="P801" i="33"/>
  <c r="Q801" i="33"/>
  <c r="R801" i="33"/>
  <c r="C1076" i="17"/>
  <c r="I1006" i="17"/>
  <c r="C792" i="33"/>
  <c r="C793" i="33"/>
  <c r="C794" i="33"/>
  <c r="C795" i="33"/>
  <c r="C796" i="33"/>
  <c r="C797" i="33"/>
  <c r="C798" i="33"/>
  <c r="C799" i="33"/>
  <c r="C800" i="33"/>
  <c r="F792" i="33"/>
  <c r="F793" i="33"/>
  <c r="F794" i="33"/>
  <c r="F795" i="33"/>
  <c r="F796" i="33"/>
  <c r="F797" i="33"/>
  <c r="F798" i="33"/>
  <c r="F799" i="33"/>
  <c r="F800" i="33"/>
  <c r="G792" i="33"/>
  <c r="G793" i="33"/>
  <c r="G794" i="33"/>
  <c r="G795" i="33"/>
  <c r="G796" i="33"/>
  <c r="G797" i="33"/>
  <c r="G798" i="33"/>
  <c r="G799" i="33"/>
  <c r="G800" i="33"/>
  <c r="J792" i="33"/>
  <c r="J793" i="33"/>
  <c r="J794" i="33"/>
  <c r="J795" i="33"/>
  <c r="J796" i="33"/>
  <c r="J797" i="33"/>
  <c r="J798" i="33"/>
  <c r="J799" i="33"/>
  <c r="J800" i="33"/>
  <c r="K792" i="33"/>
  <c r="K793" i="33"/>
  <c r="K794" i="33"/>
  <c r="K795" i="33"/>
  <c r="K796" i="33"/>
  <c r="K797" i="33"/>
  <c r="K798" i="33"/>
  <c r="K799" i="33"/>
  <c r="K800" i="33"/>
  <c r="L792" i="33"/>
  <c r="L793" i="33"/>
  <c r="L794" i="33"/>
  <c r="L795" i="33"/>
  <c r="L796" i="33"/>
  <c r="L797" i="33"/>
  <c r="L798" i="33"/>
  <c r="L799" i="33"/>
  <c r="L800" i="33"/>
  <c r="M792" i="33"/>
  <c r="M793" i="33"/>
  <c r="M794" i="33"/>
  <c r="M795" i="33"/>
  <c r="M796" i="33"/>
  <c r="M797" i="33"/>
  <c r="M798" i="33"/>
  <c r="M799" i="33"/>
  <c r="M800" i="33"/>
  <c r="N792" i="33"/>
  <c r="N793" i="33"/>
  <c r="N794" i="33"/>
  <c r="N795" i="33"/>
  <c r="N796" i="33"/>
  <c r="N797" i="33"/>
  <c r="N798" i="33"/>
  <c r="N799" i="33"/>
  <c r="N800" i="33"/>
  <c r="O792" i="33"/>
  <c r="O793" i="33"/>
  <c r="O794" i="33"/>
  <c r="O795" i="33"/>
  <c r="O796" i="33"/>
  <c r="O797" i="33"/>
  <c r="O798" i="33"/>
  <c r="O799" i="33"/>
  <c r="O800" i="33"/>
  <c r="P792" i="33"/>
  <c r="P793" i="33"/>
  <c r="P794" i="33"/>
  <c r="P795" i="33"/>
  <c r="P796" i="33"/>
  <c r="P797" i="33"/>
  <c r="P798" i="33"/>
  <c r="P799" i="33"/>
  <c r="P800" i="33"/>
  <c r="Q792" i="33"/>
  <c r="Q793" i="33"/>
  <c r="Q794" i="33"/>
  <c r="Q795" i="33"/>
  <c r="Q796" i="33"/>
  <c r="Q797" i="33"/>
  <c r="Q798" i="33"/>
  <c r="Q799" i="33"/>
  <c r="Q800" i="33"/>
  <c r="R792" i="33"/>
  <c r="R793" i="33"/>
  <c r="R794" i="33"/>
  <c r="R795" i="33"/>
  <c r="R796" i="33"/>
  <c r="R797" i="33"/>
  <c r="R798" i="33"/>
  <c r="R799" i="33"/>
  <c r="R800" i="33"/>
  <c r="C791" i="33"/>
  <c r="F791" i="33"/>
  <c r="G791" i="33"/>
  <c r="J791" i="33"/>
  <c r="K791" i="33"/>
  <c r="L791" i="33"/>
  <c r="M791" i="33"/>
  <c r="N791" i="33"/>
  <c r="O791" i="33"/>
  <c r="P791" i="33"/>
  <c r="Q791" i="33"/>
  <c r="R791" i="33"/>
  <c r="J1035" i="17"/>
  <c r="L1006" i="17"/>
  <c r="E1077" i="17"/>
  <c r="C1077" i="17"/>
  <c r="E993" i="17"/>
  <c r="E992" i="17"/>
  <c r="E991" i="17"/>
  <c r="I993" i="17"/>
  <c r="L993" i="17"/>
  <c r="C788" i="33"/>
  <c r="C789" i="33"/>
  <c r="C790" i="33"/>
  <c r="F788" i="33"/>
  <c r="F789" i="33"/>
  <c r="F790" i="33"/>
  <c r="G788" i="33"/>
  <c r="G789" i="33"/>
  <c r="G790" i="33"/>
  <c r="J788" i="33"/>
  <c r="J789" i="33"/>
  <c r="J790" i="33"/>
  <c r="K788" i="33"/>
  <c r="K789" i="33"/>
  <c r="K790" i="33"/>
  <c r="L788" i="33"/>
  <c r="L789" i="33"/>
  <c r="L790" i="33"/>
  <c r="M788" i="33"/>
  <c r="M789" i="33"/>
  <c r="M790" i="33"/>
  <c r="N788" i="33"/>
  <c r="N789" i="33"/>
  <c r="N790" i="33"/>
  <c r="O788" i="33"/>
  <c r="O789" i="33"/>
  <c r="O790" i="33"/>
  <c r="P788" i="33"/>
  <c r="P789" i="33"/>
  <c r="P790" i="33"/>
  <c r="Q788" i="33"/>
  <c r="Q789" i="33"/>
  <c r="Q790" i="33"/>
  <c r="R788" i="33"/>
  <c r="R789" i="33"/>
  <c r="R790" i="33"/>
  <c r="C787" i="33"/>
  <c r="F787" i="33"/>
  <c r="G787" i="33"/>
  <c r="J787" i="33"/>
  <c r="K787" i="33"/>
  <c r="L787" i="33"/>
  <c r="M787" i="33"/>
  <c r="N787" i="33"/>
  <c r="O787" i="33"/>
  <c r="P787" i="33"/>
  <c r="Q787" i="33"/>
  <c r="R787" i="33"/>
  <c r="E990" i="17"/>
  <c r="E989" i="17"/>
  <c r="E988" i="17"/>
  <c r="E987" i="17"/>
  <c r="E986" i="17"/>
  <c r="E985" i="17"/>
  <c r="E984" i="17"/>
  <c r="E983" i="17"/>
  <c r="E982" i="17"/>
  <c r="E981" i="17"/>
  <c r="E980" i="17"/>
  <c r="E979" i="17"/>
  <c r="E978" i="17"/>
  <c r="E977" i="17"/>
  <c r="E976" i="17"/>
  <c r="I990" i="17"/>
  <c r="L990" i="17"/>
  <c r="C778" i="33"/>
  <c r="C779" i="33"/>
  <c r="C780" i="33"/>
  <c r="C781" i="33"/>
  <c r="C782" i="33"/>
  <c r="C783" i="33"/>
  <c r="C784" i="33"/>
  <c r="C785" i="33"/>
  <c r="C786" i="33"/>
  <c r="F778" i="33"/>
  <c r="F779" i="33"/>
  <c r="F780" i="33"/>
  <c r="F781" i="33"/>
  <c r="F782" i="33"/>
  <c r="F783" i="33"/>
  <c r="F784" i="33"/>
  <c r="F785" i="33"/>
  <c r="F786" i="33"/>
  <c r="G778" i="33"/>
  <c r="G779" i="33"/>
  <c r="G780" i="33"/>
  <c r="G781" i="33"/>
  <c r="G782" i="33"/>
  <c r="G783" i="33"/>
  <c r="G784" i="33"/>
  <c r="G785" i="33"/>
  <c r="G786" i="33"/>
  <c r="J778" i="33"/>
  <c r="J779" i="33"/>
  <c r="J780" i="33"/>
  <c r="J781" i="33"/>
  <c r="J782" i="33"/>
  <c r="J783" i="33"/>
  <c r="J784" i="33"/>
  <c r="J785" i="33"/>
  <c r="J786" i="33"/>
  <c r="K778" i="33"/>
  <c r="K779" i="33"/>
  <c r="K780" i="33"/>
  <c r="K781" i="33"/>
  <c r="K782" i="33"/>
  <c r="K783" i="33"/>
  <c r="K784" i="33"/>
  <c r="K785" i="33"/>
  <c r="K786" i="33"/>
  <c r="L778" i="33"/>
  <c r="L779" i="33"/>
  <c r="L780" i="33"/>
  <c r="L781" i="33"/>
  <c r="L782" i="33"/>
  <c r="L783" i="33"/>
  <c r="L784" i="33"/>
  <c r="L785" i="33"/>
  <c r="L786" i="33"/>
  <c r="M778" i="33"/>
  <c r="M779" i="33"/>
  <c r="M780" i="33"/>
  <c r="M781" i="33"/>
  <c r="M782" i="33"/>
  <c r="M783" i="33"/>
  <c r="M784" i="33"/>
  <c r="M785" i="33"/>
  <c r="M786" i="33"/>
  <c r="N778" i="33"/>
  <c r="N779" i="33"/>
  <c r="N780" i="33"/>
  <c r="N781" i="33"/>
  <c r="N782" i="33"/>
  <c r="N783" i="33"/>
  <c r="N784" i="33"/>
  <c r="N785" i="33"/>
  <c r="N786" i="33"/>
  <c r="O778" i="33"/>
  <c r="O779" i="33"/>
  <c r="O780" i="33"/>
  <c r="O781" i="33"/>
  <c r="O782" i="33"/>
  <c r="O783" i="33"/>
  <c r="O784" i="33"/>
  <c r="O785" i="33"/>
  <c r="O786" i="33"/>
  <c r="P778" i="33"/>
  <c r="P779" i="33"/>
  <c r="P780" i="33"/>
  <c r="P781" i="33"/>
  <c r="P782" i="33"/>
  <c r="P783" i="33"/>
  <c r="P784" i="33"/>
  <c r="P785" i="33"/>
  <c r="P786" i="33"/>
  <c r="Q778" i="33"/>
  <c r="Q779" i="33"/>
  <c r="Q780" i="33"/>
  <c r="Q781" i="33"/>
  <c r="Q782" i="33"/>
  <c r="Q783" i="33"/>
  <c r="Q784" i="33"/>
  <c r="Q785" i="33"/>
  <c r="Q786" i="33"/>
  <c r="R778" i="33"/>
  <c r="R779" i="33"/>
  <c r="R780" i="33"/>
  <c r="R781" i="33"/>
  <c r="R782" i="33"/>
  <c r="R783" i="33"/>
  <c r="R784" i="33"/>
  <c r="R785" i="33"/>
  <c r="R786" i="33"/>
  <c r="C777" i="33"/>
  <c r="F777" i="33"/>
  <c r="G777" i="33"/>
  <c r="J777" i="33"/>
  <c r="K777" i="33"/>
  <c r="L777" i="33"/>
  <c r="M777" i="33"/>
  <c r="N777" i="33"/>
  <c r="O777" i="33"/>
  <c r="P777" i="33"/>
  <c r="Q777" i="33"/>
  <c r="R777" i="33"/>
  <c r="E969" i="17"/>
  <c r="E975" i="17"/>
  <c r="E974" i="17"/>
  <c r="E973" i="17"/>
  <c r="E972" i="17"/>
  <c r="E971" i="17"/>
  <c r="E970" i="17"/>
  <c r="E968" i="17"/>
  <c r="E967" i="17"/>
  <c r="I975" i="17"/>
  <c r="L975" i="17"/>
  <c r="C772" i="33"/>
  <c r="C773" i="33"/>
  <c r="C774" i="33"/>
  <c r="C775" i="33"/>
  <c r="C776" i="33"/>
  <c r="F772" i="33"/>
  <c r="F773" i="33"/>
  <c r="F774" i="33"/>
  <c r="F775" i="33"/>
  <c r="F776" i="33"/>
  <c r="G772" i="33"/>
  <c r="G773" i="33"/>
  <c r="G774" i="33"/>
  <c r="G775" i="33"/>
  <c r="G776" i="33"/>
  <c r="J772" i="33"/>
  <c r="J773" i="33"/>
  <c r="J774" i="33"/>
  <c r="J775" i="33"/>
  <c r="J776" i="33"/>
  <c r="K772" i="33"/>
  <c r="K773" i="33"/>
  <c r="K774" i="33"/>
  <c r="K775" i="33"/>
  <c r="K776" i="33"/>
  <c r="L772" i="33"/>
  <c r="L773" i="33"/>
  <c r="L774" i="33"/>
  <c r="L775" i="33"/>
  <c r="L776" i="33"/>
  <c r="M772" i="33"/>
  <c r="M773" i="33"/>
  <c r="M774" i="33"/>
  <c r="M775" i="33"/>
  <c r="M776" i="33"/>
  <c r="N772" i="33"/>
  <c r="N773" i="33"/>
  <c r="N774" i="33"/>
  <c r="N775" i="33"/>
  <c r="N776" i="33"/>
  <c r="O772" i="33"/>
  <c r="O773" i="33"/>
  <c r="O774" i="33"/>
  <c r="O775" i="33"/>
  <c r="O776" i="33"/>
  <c r="P772" i="33"/>
  <c r="P773" i="33"/>
  <c r="P774" i="33"/>
  <c r="P775" i="33"/>
  <c r="P776" i="33"/>
  <c r="Q772" i="33"/>
  <c r="Q773" i="33"/>
  <c r="Q774" i="33"/>
  <c r="Q775" i="33"/>
  <c r="Q776" i="33"/>
  <c r="R772" i="33"/>
  <c r="R773" i="33"/>
  <c r="R774" i="33"/>
  <c r="R775" i="33"/>
  <c r="R776" i="33"/>
  <c r="C771" i="33"/>
  <c r="F771" i="33"/>
  <c r="G771" i="33"/>
  <c r="J771" i="33"/>
  <c r="K771" i="33"/>
  <c r="L771" i="33"/>
  <c r="M771" i="33"/>
  <c r="N771" i="33"/>
  <c r="O771" i="33"/>
  <c r="P771" i="33"/>
  <c r="Q771" i="33"/>
  <c r="R771" i="33"/>
  <c r="E966" i="17"/>
  <c r="E965" i="17"/>
  <c r="E964" i="17"/>
  <c r="E963" i="17"/>
  <c r="E962" i="17"/>
  <c r="E961" i="17"/>
  <c r="E960" i="17"/>
  <c r="E959" i="17"/>
  <c r="E958" i="17"/>
  <c r="E957" i="17"/>
  <c r="E956" i="17"/>
  <c r="E955" i="17"/>
  <c r="I966" i="17"/>
  <c r="L966" i="17"/>
  <c r="C764" i="33"/>
  <c r="C765" i="33"/>
  <c r="C766" i="33"/>
  <c r="C767" i="33"/>
  <c r="C768" i="33"/>
  <c r="C769" i="33"/>
  <c r="C770" i="33"/>
  <c r="F764" i="33"/>
  <c r="F765" i="33"/>
  <c r="F766" i="33"/>
  <c r="F767" i="33"/>
  <c r="F768" i="33"/>
  <c r="F769" i="33"/>
  <c r="F770" i="33"/>
  <c r="G764" i="33"/>
  <c r="G765" i="33"/>
  <c r="G766" i="33"/>
  <c r="G767" i="33"/>
  <c r="G768" i="33"/>
  <c r="G769" i="33"/>
  <c r="G770" i="33"/>
  <c r="J764" i="33"/>
  <c r="J765" i="33"/>
  <c r="J766" i="33"/>
  <c r="J767" i="33"/>
  <c r="J768" i="33"/>
  <c r="J769" i="33"/>
  <c r="J770" i="33"/>
  <c r="K764" i="33"/>
  <c r="K765" i="33"/>
  <c r="K766" i="33"/>
  <c r="K767" i="33"/>
  <c r="K768" i="33"/>
  <c r="K769" i="33"/>
  <c r="K770" i="33"/>
  <c r="L764" i="33"/>
  <c r="L765" i="33"/>
  <c r="L766" i="33"/>
  <c r="L767" i="33"/>
  <c r="L768" i="33"/>
  <c r="L769" i="33"/>
  <c r="L770" i="33"/>
  <c r="M764" i="33"/>
  <c r="M765" i="33"/>
  <c r="M766" i="33"/>
  <c r="M767" i="33"/>
  <c r="M768" i="33"/>
  <c r="M769" i="33"/>
  <c r="M770" i="33"/>
  <c r="N764" i="33"/>
  <c r="N765" i="33"/>
  <c r="N766" i="33"/>
  <c r="N767" i="33"/>
  <c r="N768" i="33"/>
  <c r="N769" i="33"/>
  <c r="N770" i="33"/>
  <c r="O764" i="33"/>
  <c r="O765" i="33"/>
  <c r="O766" i="33"/>
  <c r="O767" i="33"/>
  <c r="O768" i="33"/>
  <c r="O769" i="33"/>
  <c r="O770" i="33"/>
  <c r="P764" i="33"/>
  <c r="P765" i="33"/>
  <c r="P766" i="33"/>
  <c r="P767" i="33"/>
  <c r="P768" i="33"/>
  <c r="P769" i="33"/>
  <c r="P770" i="33"/>
  <c r="Q764" i="33"/>
  <c r="Q765" i="33"/>
  <c r="Q766" i="33"/>
  <c r="Q767" i="33"/>
  <c r="Q768" i="33"/>
  <c r="Q769" i="33"/>
  <c r="Q770" i="33"/>
  <c r="R764" i="33"/>
  <c r="R765" i="33"/>
  <c r="R766" i="33"/>
  <c r="R767" i="33"/>
  <c r="R768" i="33"/>
  <c r="R769" i="33"/>
  <c r="R770" i="33"/>
  <c r="C763" i="33"/>
  <c r="F763" i="33"/>
  <c r="G763" i="33"/>
  <c r="J763" i="33"/>
  <c r="K763" i="33"/>
  <c r="L763" i="33"/>
  <c r="M763" i="33"/>
  <c r="N763" i="33"/>
  <c r="O763" i="33"/>
  <c r="P763" i="33"/>
  <c r="Q763" i="33"/>
  <c r="R763" i="33"/>
  <c r="E954" i="17"/>
  <c r="E953" i="17"/>
  <c r="E952" i="17"/>
  <c r="E951" i="17"/>
  <c r="E950" i="17"/>
  <c r="E949" i="17"/>
  <c r="E948" i="17"/>
  <c r="E947" i="17"/>
  <c r="E946" i="17"/>
  <c r="E945" i="17"/>
  <c r="I954" i="17"/>
  <c r="L954" i="17"/>
  <c r="C757" i="33"/>
  <c r="C758" i="33"/>
  <c r="C759" i="33"/>
  <c r="C760" i="33"/>
  <c r="C761" i="33"/>
  <c r="C762" i="33"/>
  <c r="F757" i="33"/>
  <c r="F758" i="33"/>
  <c r="F759" i="33"/>
  <c r="F760" i="33"/>
  <c r="F761" i="33"/>
  <c r="F762" i="33"/>
  <c r="G757" i="33"/>
  <c r="G758" i="33"/>
  <c r="G759" i="33"/>
  <c r="G760" i="33"/>
  <c r="G761" i="33"/>
  <c r="G762" i="33"/>
  <c r="J757" i="33"/>
  <c r="J758" i="33"/>
  <c r="J759" i="33"/>
  <c r="J760" i="33"/>
  <c r="J761" i="33"/>
  <c r="J762" i="33"/>
  <c r="K757" i="33"/>
  <c r="K758" i="33"/>
  <c r="K759" i="33"/>
  <c r="K760" i="33"/>
  <c r="K761" i="33"/>
  <c r="K762" i="33"/>
  <c r="L757" i="33"/>
  <c r="L758" i="33"/>
  <c r="L759" i="33"/>
  <c r="L760" i="33"/>
  <c r="L761" i="33"/>
  <c r="L762" i="33"/>
  <c r="M757" i="33"/>
  <c r="M758" i="33"/>
  <c r="M759" i="33"/>
  <c r="M760" i="33"/>
  <c r="M761" i="33"/>
  <c r="M762" i="33"/>
  <c r="N757" i="33"/>
  <c r="N758" i="33"/>
  <c r="N759" i="33"/>
  <c r="N760" i="33"/>
  <c r="N761" i="33"/>
  <c r="N762" i="33"/>
  <c r="O757" i="33"/>
  <c r="O758" i="33"/>
  <c r="O759" i="33"/>
  <c r="O760" i="33"/>
  <c r="O761" i="33"/>
  <c r="O762" i="33"/>
  <c r="P757" i="33"/>
  <c r="P758" i="33"/>
  <c r="P759" i="33"/>
  <c r="P760" i="33"/>
  <c r="P761" i="33"/>
  <c r="P762" i="33"/>
  <c r="Q757" i="33"/>
  <c r="Q758" i="33"/>
  <c r="Q759" i="33"/>
  <c r="Q760" i="33"/>
  <c r="Q761" i="33"/>
  <c r="Q762" i="33"/>
  <c r="R757" i="33"/>
  <c r="R758" i="33"/>
  <c r="R759" i="33"/>
  <c r="R760" i="33"/>
  <c r="R761" i="33"/>
  <c r="R762" i="33"/>
  <c r="C756" i="33"/>
  <c r="F756" i="33"/>
  <c r="G756" i="33"/>
  <c r="J756" i="33"/>
  <c r="K756" i="33"/>
  <c r="L756" i="33"/>
  <c r="M756" i="33"/>
  <c r="N756" i="33"/>
  <c r="O756" i="33"/>
  <c r="P756" i="33"/>
  <c r="Q756" i="33"/>
  <c r="R756" i="33"/>
  <c r="E944" i="17"/>
  <c r="E943" i="17"/>
  <c r="E942" i="17"/>
  <c r="E941" i="17"/>
  <c r="E940" i="17"/>
  <c r="E939" i="17"/>
  <c r="E938" i="17"/>
  <c r="E937" i="17"/>
  <c r="E936" i="17"/>
  <c r="E935" i="17"/>
  <c r="E934" i="17"/>
  <c r="E933" i="17"/>
  <c r="I944" i="17"/>
  <c r="L944" i="17"/>
  <c r="C747" i="33"/>
  <c r="C748" i="33"/>
  <c r="C749" i="33"/>
  <c r="C750" i="33"/>
  <c r="C751" i="33"/>
  <c r="C752" i="33"/>
  <c r="C753" i="33"/>
  <c r="C754" i="33"/>
  <c r="C755" i="33"/>
  <c r="F747" i="33"/>
  <c r="F748" i="33"/>
  <c r="F749" i="33"/>
  <c r="F750" i="33"/>
  <c r="F751" i="33"/>
  <c r="F752" i="33"/>
  <c r="F753" i="33"/>
  <c r="F754" i="33"/>
  <c r="F755" i="33"/>
  <c r="G747" i="33"/>
  <c r="G748" i="33"/>
  <c r="G749" i="33"/>
  <c r="G750" i="33"/>
  <c r="G751" i="33"/>
  <c r="G752" i="33"/>
  <c r="G753" i="33"/>
  <c r="G754" i="33"/>
  <c r="G755" i="33"/>
  <c r="J747" i="33"/>
  <c r="J748" i="33"/>
  <c r="J749" i="33"/>
  <c r="J750" i="33"/>
  <c r="J751" i="33"/>
  <c r="J752" i="33"/>
  <c r="J753" i="33"/>
  <c r="J754" i="33"/>
  <c r="J755" i="33"/>
  <c r="K747" i="33"/>
  <c r="K748" i="33"/>
  <c r="K749" i="33"/>
  <c r="K750" i="33"/>
  <c r="K751" i="33"/>
  <c r="K752" i="33"/>
  <c r="K753" i="33"/>
  <c r="K754" i="33"/>
  <c r="K755" i="33"/>
  <c r="L747" i="33"/>
  <c r="L748" i="33"/>
  <c r="L749" i="33"/>
  <c r="L750" i="33"/>
  <c r="L751" i="33"/>
  <c r="L752" i="33"/>
  <c r="L753" i="33"/>
  <c r="L754" i="33"/>
  <c r="L755" i="33"/>
  <c r="M747" i="33"/>
  <c r="M748" i="33"/>
  <c r="M749" i="33"/>
  <c r="M750" i="33"/>
  <c r="M751" i="33"/>
  <c r="M752" i="33"/>
  <c r="M753" i="33"/>
  <c r="M754" i="33"/>
  <c r="M755" i="33"/>
  <c r="N747" i="33"/>
  <c r="N748" i="33"/>
  <c r="N749" i="33"/>
  <c r="N750" i="33"/>
  <c r="N751" i="33"/>
  <c r="N752" i="33"/>
  <c r="N753" i="33"/>
  <c r="N754" i="33"/>
  <c r="N755" i="33"/>
  <c r="O747" i="33"/>
  <c r="O748" i="33"/>
  <c r="O749" i="33"/>
  <c r="O750" i="33"/>
  <c r="O751" i="33"/>
  <c r="O752" i="33"/>
  <c r="O753" i="33"/>
  <c r="O754" i="33"/>
  <c r="O755" i="33"/>
  <c r="P747" i="33"/>
  <c r="P748" i="33"/>
  <c r="P749" i="33"/>
  <c r="P750" i="33"/>
  <c r="P751" i="33"/>
  <c r="P752" i="33"/>
  <c r="P753" i="33"/>
  <c r="P754" i="33"/>
  <c r="P755" i="33"/>
  <c r="Q747" i="33"/>
  <c r="Q748" i="33"/>
  <c r="Q749" i="33"/>
  <c r="Q750" i="33"/>
  <c r="Q751" i="33"/>
  <c r="Q752" i="33"/>
  <c r="Q753" i="33"/>
  <c r="Q754" i="33"/>
  <c r="Q755" i="33"/>
  <c r="R747" i="33"/>
  <c r="R748" i="33"/>
  <c r="R749" i="33"/>
  <c r="R750" i="33"/>
  <c r="R751" i="33"/>
  <c r="R752" i="33"/>
  <c r="R753" i="33"/>
  <c r="R754" i="33"/>
  <c r="R755" i="33"/>
  <c r="C746" i="33"/>
  <c r="F746" i="33"/>
  <c r="G746" i="33"/>
  <c r="J746" i="33"/>
  <c r="K746" i="33"/>
  <c r="L746" i="33"/>
  <c r="M746" i="33"/>
  <c r="N746" i="33"/>
  <c r="O746" i="33"/>
  <c r="P746" i="33"/>
  <c r="Q746" i="33"/>
  <c r="R746" i="33"/>
  <c r="C1075" i="17"/>
  <c r="E930" i="17"/>
  <c r="E931" i="17"/>
  <c r="E932" i="17"/>
  <c r="I932" i="17"/>
  <c r="L932" i="17"/>
  <c r="C743" i="33"/>
  <c r="C744" i="33"/>
  <c r="C745" i="33"/>
  <c r="F743" i="33"/>
  <c r="F744" i="33"/>
  <c r="F745" i="33"/>
  <c r="G743" i="33"/>
  <c r="G744" i="33"/>
  <c r="G745" i="33"/>
  <c r="J743" i="33"/>
  <c r="J744" i="33"/>
  <c r="J745" i="33"/>
  <c r="K743" i="33"/>
  <c r="K744" i="33"/>
  <c r="K745" i="33"/>
  <c r="L743" i="33"/>
  <c r="L744" i="33"/>
  <c r="L745" i="33"/>
  <c r="M743" i="33"/>
  <c r="M744" i="33"/>
  <c r="M745" i="33"/>
  <c r="N743" i="33"/>
  <c r="N744" i="33"/>
  <c r="N745" i="33"/>
  <c r="O743" i="33"/>
  <c r="O744" i="33"/>
  <c r="O745" i="33"/>
  <c r="P743" i="33"/>
  <c r="P744" i="33"/>
  <c r="P745" i="33"/>
  <c r="Q743" i="33"/>
  <c r="Q744" i="33"/>
  <c r="Q745" i="33"/>
  <c r="R743" i="33"/>
  <c r="R744" i="33"/>
  <c r="R745" i="33"/>
  <c r="C742" i="33"/>
  <c r="F742" i="33"/>
  <c r="G742" i="33"/>
  <c r="J742" i="33"/>
  <c r="K742" i="33"/>
  <c r="L742" i="33"/>
  <c r="M742" i="33"/>
  <c r="N742" i="33"/>
  <c r="O742" i="33"/>
  <c r="P742" i="33"/>
  <c r="Q742" i="33"/>
  <c r="R742" i="33"/>
  <c r="E929" i="17"/>
  <c r="E928" i="17"/>
  <c r="E927" i="17"/>
  <c r="E926" i="17"/>
  <c r="E925" i="17"/>
  <c r="E924" i="17"/>
  <c r="E923" i="17"/>
  <c r="E922" i="17"/>
  <c r="E921" i="17"/>
  <c r="E920" i="17"/>
  <c r="E919" i="17"/>
  <c r="E918" i="17"/>
  <c r="E917" i="17"/>
  <c r="E916" i="17"/>
  <c r="E915" i="17"/>
  <c r="E914" i="17"/>
  <c r="E913" i="17"/>
  <c r="I929" i="17"/>
  <c r="K1035" i="17"/>
  <c r="L929" i="17"/>
  <c r="C733" i="33"/>
  <c r="C734" i="33"/>
  <c r="C735" i="33"/>
  <c r="C736" i="33"/>
  <c r="C737" i="33"/>
  <c r="C738" i="33"/>
  <c r="C739" i="33"/>
  <c r="C740" i="33"/>
  <c r="C741" i="33"/>
  <c r="F733" i="33"/>
  <c r="F734" i="33"/>
  <c r="F735" i="33"/>
  <c r="F736" i="33"/>
  <c r="F737" i="33"/>
  <c r="F738" i="33"/>
  <c r="F739" i="33"/>
  <c r="F740" i="33"/>
  <c r="F741" i="33"/>
  <c r="G733" i="33"/>
  <c r="G734" i="33"/>
  <c r="G735" i="33"/>
  <c r="G736" i="33"/>
  <c r="G737" i="33"/>
  <c r="G738" i="33"/>
  <c r="G739" i="33"/>
  <c r="G740" i="33"/>
  <c r="G741" i="33"/>
  <c r="J733" i="33"/>
  <c r="J734" i="33"/>
  <c r="J735" i="33"/>
  <c r="J736" i="33"/>
  <c r="J737" i="33"/>
  <c r="J738" i="33"/>
  <c r="J739" i="33"/>
  <c r="J740" i="33"/>
  <c r="J741" i="33"/>
  <c r="K733" i="33"/>
  <c r="K734" i="33"/>
  <c r="K735" i="33"/>
  <c r="K736" i="33"/>
  <c r="K737" i="33"/>
  <c r="K738" i="33"/>
  <c r="K739" i="33"/>
  <c r="K740" i="33"/>
  <c r="K741" i="33"/>
  <c r="L733" i="33"/>
  <c r="L734" i="33"/>
  <c r="L735" i="33"/>
  <c r="L736" i="33"/>
  <c r="L737" i="33"/>
  <c r="L738" i="33"/>
  <c r="L739" i="33"/>
  <c r="L740" i="33"/>
  <c r="L741" i="33"/>
  <c r="M733" i="33"/>
  <c r="M734" i="33"/>
  <c r="M735" i="33"/>
  <c r="M736" i="33"/>
  <c r="M737" i="33"/>
  <c r="M738" i="33"/>
  <c r="M739" i="33"/>
  <c r="M740" i="33"/>
  <c r="M741" i="33"/>
  <c r="N733" i="33"/>
  <c r="N734" i="33"/>
  <c r="N735" i="33"/>
  <c r="N736" i="33"/>
  <c r="N737" i="33"/>
  <c r="N738" i="33"/>
  <c r="N739" i="33"/>
  <c r="N740" i="33"/>
  <c r="N741" i="33"/>
  <c r="O733" i="33"/>
  <c r="O734" i="33"/>
  <c r="O735" i="33"/>
  <c r="O736" i="33"/>
  <c r="O737" i="33"/>
  <c r="O738" i="33"/>
  <c r="O739" i="33"/>
  <c r="O740" i="33"/>
  <c r="O741" i="33"/>
  <c r="P733" i="33"/>
  <c r="P734" i="33"/>
  <c r="P735" i="33"/>
  <c r="P736" i="33"/>
  <c r="P737" i="33"/>
  <c r="P738" i="33"/>
  <c r="P739" i="33"/>
  <c r="P740" i="33"/>
  <c r="P741" i="33"/>
  <c r="Q733" i="33"/>
  <c r="Q734" i="33"/>
  <c r="Q735" i="33"/>
  <c r="Q736" i="33"/>
  <c r="Q737" i="33"/>
  <c r="Q738" i="33"/>
  <c r="Q739" i="33"/>
  <c r="Q740" i="33"/>
  <c r="Q741" i="33"/>
  <c r="R733" i="33"/>
  <c r="R734" i="33"/>
  <c r="R735" i="33"/>
  <c r="R736" i="33"/>
  <c r="R737" i="33"/>
  <c r="R738" i="33"/>
  <c r="R739" i="33"/>
  <c r="R740" i="33"/>
  <c r="R741" i="33"/>
  <c r="C732" i="33"/>
  <c r="F732" i="33"/>
  <c r="G732" i="33"/>
  <c r="J732" i="33"/>
  <c r="K732" i="33"/>
  <c r="L732" i="33"/>
  <c r="M732" i="33"/>
  <c r="N732" i="33"/>
  <c r="O732" i="33"/>
  <c r="P732" i="33"/>
  <c r="Q732" i="33"/>
  <c r="R732" i="33"/>
  <c r="E912" i="17"/>
  <c r="E1082" i="17"/>
  <c r="E911" i="17"/>
  <c r="E910" i="17"/>
  <c r="E909" i="17"/>
  <c r="E908" i="17"/>
  <c r="E907" i="17"/>
  <c r="I912" i="17"/>
  <c r="L912" i="17"/>
  <c r="C727" i="33"/>
  <c r="C728" i="33"/>
  <c r="C729" i="33"/>
  <c r="C730" i="33"/>
  <c r="C731" i="33"/>
  <c r="F727" i="33"/>
  <c r="F728" i="33"/>
  <c r="F729" i="33"/>
  <c r="F730" i="33"/>
  <c r="F731" i="33"/>
  <c r="G727" i="33"/>
  <c r="G728" i="33"/>
  <c r="G729" i="33"/>
  <c r="G730" i="33"/>
  <c r="G731" i="33"/>
  <c r="J727" i="33"/>
  <c r="J728" i="33"/>
  <c r="J729" i="33"/>
  <c r="J730" i="33"/>
  <c r="J731" i="33"/>
  <c r="K727" i="33"/>
  <c r="K728" i="33"/>
  <c r="K729" i="33"/>
  <c r="K730" i="33"/>
  <c r="K731" i="33"/>
  <c r="L727" i="33"/>
  <c r="L728" i="33"/>
  <c r="L729" i="33"/>
  <c r="L730" i="33"/>
  <c r="L731" i="33"/>
  <c r="M727" i="33"/>
  <c r="M728" i="33"/>
  <c r="M729" i="33"/>
  <c r="M730" i="33"/>
  <c r="M731" i="33"/>
  <c r="N727" i="33"/>
  <c r="N728" i="33"/>
  <c r="N729" i="33"/>
  <c r="N730" i="33"/>
  <c r="N731" i="33"/>
  <c r="O727" i="33"/>
  <c r="O728" i="33"/>
  <c r="O729" i="33"/>
  <c r="O730" i="33"/>
  <c r="O731" i="33"/>
  <c r="P727" i="33"/>
  <c r="P728" i="33"/>
  <c r="P729" i="33"/>
  <c r="P730" i="33"/>
  <c r="P731" i="33"/>
  <c r="Q727" i="33"/>
  <c r="Q728" i="33"/>
  <c r="Q729" i="33"/>
  <c r="Q730" i="33"/>
  <c r="Q731" i="33"/>
  <c r="R727" i="33"/>
  <c r="R728" i="33"/>
  <c r="R729" i="33"/>
  <c r="R730" i="33"/>
  <c r="R731" i="33"/>
  <c r="C726" i="33"/>
  <c r="F726" i="33"/>
  <c r="G726" i="33"/>
  <c r="J726" i="33"/>
  <c r="K726" i="33"/>
  <c r="L726" i="33"/>
  <c r="M726" i="33"/>
  <c r="N726" i="33"/>
  <c r="O726" i="33"/>
  <c r="P726" i="33"/>
  <c r="Q726" i="33"/>
  <c r="R726" i="33"/>
  <c r="E895" i="17"/>
  <c r="E896" i="17"/>
  <c r="E897" i="17"/>
  <c r="E898" i="17"/>
  <c r="E899" i="17"/>
  <c r="E900" i="17"/>
  <c r="E901" i="17"/>
  <c r="E902" i="17"/>
  <c r="E903" i="17"/>
  <c r="E904" i="17"/>
  <c r="E905" i="17"/>
  <c r="E906" i="17"/>
  <c r="I906" i="17"/>
  <c r="L906" i="17"/>
  <c r="C718" i="33"/>
  <c r="C719" i="33"/>
  <c r="C720" i="33"/>
  <c r="C721" i="33"/>
  <c r="C722" i="33"/>
  <c r="C723" i="33"/>
  <c r="C724" i="33"/>
  <c r="C725" i="33"/>
  <c r="F718" i="33"/>
  <c r="F719" i="33"/>
  <c r="F720" i="33"/>
  <c r="F721" i="33"/>
  <c r="F722" i="33"/>
  <c r="F723" i="33"/>
  <c r="F724" i="33"/>
  <c r="F725" i="33"/>
  <c r="G718" i="33"/>
  <c r="G719" i="33"/>
  <c r="G720" i="33"/>
  <c r="G721" i="33"/>
  <c r="G722" i="33"/>
  <c r="G723" i="33"/>
  <c r="G724" i="33"/>
  <c r="G725" i="33"/>
  <c r="J718" i="33"/>
  <c r="J719" i="33"/>
  <c r="J720" i="33"/>
  <c r="J721" i="33"/>
  <c r="J722" i="33"/>
  <c r="J723" i="33"/>
  <c r="J724" i="33"/>
  <c r="J725" i="33"/>
  <c r="K718" i="33"/>
  <c r="K719" i="33"/>
  <c r="K720" i="33"/>
  <c r="K721" i="33"/>
  <c r="K722" i="33"/>
  <c r="K723" i="33"/>
  <c r="K724" i="33"/>
  <c r="K725" i="33"/>
  <c r="L718" i="33"/>
  <c r="L719" i="33"/>
  <c r="L720" i="33"/>
  <c r="L721" i="33"/>
  <c r="L722" i="33"/>
  <c r="L723" i="33"/>
  <c r="L724" i="33"/>
  <c r="L725" i="33"/>
  <c r="M718" i="33"/>
  <c r="M719" i="33"/>
  <c r="M720" i="33"/>
  <c r="M721" i="33"/>
  <c r="M722" i="33"/>
  <c r="M723" i="33"/>
  <c r="M724" i="33"/>
  <c r="M725" i="33"/>
  <c r="N718" i="33"/>
  <c r="N719" i="33"/>
  <c r="N720" i="33"/>
  <c r="N721" i="33"/>
  <c r="N722" i="33"/>
  <c r="N723" i="33"/>
  <c r="N724" i="33"/>
  <c r="N725" i="33"/>
  <c r="O718" i="33"/>
  <c r="O719" i="33"/>
  <c r="O720" i="33"/>
  <c r="O721" i="33"/>
  <c r="O722" i="33"/>
  <c r="O723" i="33"/>
  <c r="O724" i="33"/>
  <c r="O725" i="33"/>
  <c r="P718" i="33"/>
  <c r="P719" i="33"/>
  <c r="P720" i="33"/>
  <c r="P721" i="33"/>
  <c r="P722" i="33"/>
  <c r="P723" i="33"/>
  <c r="P724" i="33"/>
  <c r="P725" i="33"/>
  <c r="Q718" i="33"/>
  <c r="Q719" i="33"/>
  <c r="Q720" i="33"/>
  <c r="Q721" i="33"/>
  <c r="Q722" i="33"/>
  <c r="Q723" i="33"/>
  <c r="Q724" i="33"/>
  <c r="Q725" i="33"/>
  <c r="R718" i="33"/>
  <c r="R719" i="33"/>
  <c r="R720" i="33"/>
  <c r="R721" i="33"/>
  <c r="R722" i="33"/>
  <c r="R723" i="33"/>
  <c r="R724" i="33"/>
  <c r="R725" i="33"/>
  <c r="C717" i="33"/>
  <c r="F717" i="33"/>
  <c r="G717" i="33"/>
  <c r="J717" i="33"/>
  <c r="K717" i="33"/>
  <c r="L717" i="33"/>
  <c r="M717" i="33"/>
  <c r="N717" i="33"/>
  <c r="O717" i="33"/>
  <c r="P717" i="33"/>
  <c r="Q717" i="33"/>
  <c r="R717" i="33"/>
  <c r="E894" i="17"/>
  <c r="E893" i="17"/>
  <c r="E892" i="17"/>
  <c r="E891" i="17"/>
  <c r="E890" i="17"/>
  <c r="E889" i="17"/>
  <c r="E888" i="17"/>
  <c r="E887" i="17"/>
  <c r="E886" i="17"/>
  <c r="C710" i="33"/>
  <c r="C711" i="33"/>
  <c r="C712" i="33"/>
  <c r="C713" i="33"/>
  <c r="C714" i="33"/>
  <c r="C715" i="33"/>
  <c r="C716" i="33"/>
  <c r="F710" i="33"/>
  <c r="F711" i="33"/>
  <c r="F712" i="33"/>
  <c r="F713" i="33"/>
  <c r="F714" i="33"/>
  <c r="F715" i="33"/>
  <c r="F716" i="33"/>
  <c r="G710" i="33"/>
  <c r="G711" i="33"/>
  <c r="G712" i="33"/>
  <c r="G713" i="33"/>
  <c r="G714" i="33"/>
  <c r="G715" i="33"/>
  <c r="G716" i="33"/>
  <c r="J710" i="33"/>
  <c r="J711" i="33"/>
  <c r="J712" i="33"/>
  <c r="J713" i="33"/>
  <c r="J714" i="33"/>
  <c r="J715" i="33"/>
  <c r="J716" i="33"/>
  <c r="K710" i="33"/>
  <c r="K711" i="33"/>
  <c r="K712" i="33"/>
  <c r="K713" i="33"/>
  <c r="K714" i="33"/>
  <c r="K715" i="33"/>
  <c r="K716" i="33"/>
  <c r="L710" i="33"/>
  <c r="L711" i="33"/>
  <c r="L712" i="33"/>
  <c r="L713" i="33"/>
  <c r="L714" i="33"/>
  <c r="L715" i="33"/>
  <c r="L716" i="33"/>
  <c r="M710" i="33"/>
  <c r="M711" i="33"/>
  <c r="M712" i="33"/>
  <c r="M713" i="33"/>
  <c r="M714" i="33"/>
  <c r="M715" i="33"/>
  <c r="M716" i="33"/>
  <c r="N710" i="33"/>
  <c r="N711" i="33"/>
  <c r="N712" i="33"/>
  <c r="N713" i="33"/>
  <c r="N714" i="33"/>
  <c r="N715" i="33"/>
  <c r="N716" i="33"/>
  <c r="O710" i="33"/>
  <c r="O711" i="33"/>
  <c r="O712" i="33"/>
  <c r="O713" i="33"/>
  <c r="O714" i="33"/>
  <c r="O715" i="33"/>
  <c r="O716" i="33"/>
  <c r="P710" i="33"/>
  <c r="P711" i="33"/>
  <c r="P712" i="33"/>
  <c r="P713" i="33"/>
  <c r="P714" i="33"/>
  <c r="P715" i="33"/>
  <c r="P716" i="33"/>
  <c r="Q710" i="33"/>
  <c r="Q711" i="33"/>
  <c r="Q712" i="33"/>
  <c r="Q713" i="33"/>
  <c r="Q714" i="33"/>
  <c r="Q715" i="33"/>
  <c r="Q716" i="33"/>
  <c r="R710" i="33"/>
  <c r="R711" i="33"/>
  <c r="R712" i="33"/>
  <c r="R713" i="33"/>
  <c r="R714" i="33"/>
  <c r="R715" i="33"/>
  <c r="R716" i="33"/>
  <c r="C709" i="33"/>
  <c r="F709" i="33"/>
  <c r="G709" i="33"/>
  <c r="J709" i="33"/>
  <c r="K709" i="33"/>
  <c r="L709" i="33"/>
  <c r="M709" i="33"/>
  <c r="N709" i="33"/>
  <c r="O709" i="33"/>
  <c r="P709" i="33"/>
  <c r="Q709" i="33"/>
  <c r="R709" i="33"/>
  <c r="E239" i="17"/>
  <c r="F239" i="17"/>
  <c r="G239" i="17"/>
  <c r="E240" i="17"/>
  <c r="F240" i="17"/>
  <c r="G240" i="17"/>
  <c r="E241" i="17"/>
  <c r="F241" i="17"/>
  <c r="G241" i="17"/>
  <c r="E242" i="17"/>
  <c r="F242" i="17"/>
  <c r="G242" i="17"/>
  <c r="E243" i="17"/>
  <c r="F243" i="17"/>
  <c r="G243" i="17"/>
  <c r="E244" i="17"/>
  <c r="F244" i="17"/>
  <c r="G244" i="17"/>
  <c r="E245" i="17"/>
  <c r="F245" i="17"/>
  <c r="G245" i="17"/>
  <c r="E246" i="17"/>
  <c r="F246" i="17"/>
  <c r="G246" i="17"/>
  <c r="E247" i="17"/>
  <c r="F247" i="17"/>
  <c r="G247" i="17"/>
  <c r="E248" i="17"/>
  <c r="F248" i="17"/>
  <c r="G248" i="17"/>
  <c r="E249" i="17"/>
  <c r="F249" i="17"/>
  <c r="G249" i="17"/>
  <c r="E250" i="17"/>
  <c r="F250" i="17"/>
  <c r="G250" i="17"/>
  <c r="E251" i="17"/>
  <c r="F251" i="17"/>
  <c r="G251" i="17"/>
  <c r="E252" i="17"/>
  <c r="F252" i="17"/>
  <c r="G252" i="17"/>
  <c r="E253" i="17"/>
  <c r="F253" i="17"/>
  <c r="G253" i="17"/>
  <c r="E254" i="17"/>
  <c r="F254" i="17"/>
  <c r="G254" i="17"/>
  <c r="E255" i="17"/>
  <c r="F255" i="17"/>
  <c r="G255" i="17"/>
  <c r="E256" i="17"/>
  <c r="F256" i="17"/>
  <c r="G256" i="17"/>
  <c r="E257" i="17"/>
  <c r="F257" i="17"/>
  <c r="G257" i="17"/>
  <c r="E258" i="17"/>
  <c r="F258" i="17"/>
  <c r="G258" i="17"/>
  <c r="E259" i="17"/>
  <c r="F259" i="17"/>
  <c r="G259" i="17"/>
  <c r="E260" i="17"/>
  <c r="F260" i="17"/>
  <c r="G260" i="17"/>
  <c r="E261" i="17"/>
  <c r="F261" i="17"/>
  <c r="G261" i="17"/>
  <c r="E262" i="17"/>
  <c r="F262" i="17"/>
  <c r="G262" i="17"/>
  <c r="E263" i="17"/>
  <c r="F263" i="17"/>
  <c r="G263" i="17"/>
  <c r="E264" i="17"/>
  <c r="F264" i="17"/>
  <c r="G264" i="17"/>
  <c r="E265" i="17"/>
  <c r="F265" i="17"/>
  <c r="G265" i="17"/>
  <c r="E266" i="17"/>
  <c r="F266" i="17"/>
  <c r="G266" i="17"/>
  <c r="E267" i="17"/>
  <c r="F267" i="17"/>
  <c r="G267" i="17"/>
  <c r="E268" i="17"/>
  <c r="F268" i="17"/>
  <c r="G268" i="17"/>
  <c r="E269" i="17"/>
  <c r="F269" i="17"/>
  <c r="G269" i="17"/>
  <c r="E270" i="17"/>
  <c r="F270" i="17"/>
  <c r="G270" i="17"/>
  <c r="E271" i="17"/>
  <c r="F271" i="17"/>
  <c r="G271" i="17"/>
  <c r="E272" i="17"/>
  <c r="F272" i="17"/>
  <c r="G272" i="17"/>
  <c r="E273" i="17"/>
  <c r="F273" i="17"/>
  <c r="G273" i="17"/>
  <c r="E274" i="17"/>
  <c r="F274" i="17"/>
  <c r="G274" i="17"/>
  <c r="E275" i="17"/>
  <c r="F275" i="17"/>
  <c r="G275" i="17"/>
  <c r="E276" i="17"/>
  <c r="F276" i="17"/>
  <c r="G276" i="17"/>
  <c r="E277" i="17"/>
  <c r="F277" i="17"/>
  <c r="G277" i="17"/>
  <c r="E278" i="17"/>
  <c r="F278" i="17"/>
  <c r="G278" i="17"/>
  <c r="E279" i="17"/>
  <c r="F279" i="17"/>
  <c r="G279" i="17"/>
  <c r="E280" i="17"/>
  <c r="F280" i="17"/>
  <c r="G280" i="17"/>
  <c r="E281" i="17"/>
  <c r="F281" i="17"/>
  <c r="G281" i="17"/>
  <c r="E282" i="17"/>
  <c r="F282" i="17"/>
  <c r="G282" i="17"/>
  <c r="E283" i="17"/>
  <c r="F283" i="17"/>
  <c r="G283" i="17"/>
  <c r="E284" i="17"/>
  <c r="F284" i="17"/>
  <c r="G284" i="17"/>
  <c r="E285" i="17"/>
  <c r="F285" i="17"/>
  <c r="G285" i="17"/>
  <c r="E286" i="17"/>
  <c r="F286" i="17"/>
  <c r="G286" i="17"/>
  <c r="E287" i="17"/>
  <c r="F287" i="17"/>
  <c r="G287" i="17"/>
  <c r="E288" i="17"/>
  <c r="F288" i="17"/>
  <c r="G288" i="17"/>
  <c r="E289" i="17"/>
  <c r="F289" i="17"/>
  <c r="G289" i="17"/>
  <c r="E290" i="17"/>
  <c r="F290" i="17"/>
  <c r="G290" i="17"/>
  <c r="E291" i="17"/>
  <c r="F291" i="17"/>
  <c r="G291" i="17"/>
  <c r="E292" i="17"/>
  <c r="F292" i="17"/>
  <c r="G292" i="17"/>
  <c r="E293" i="17"/>
  <c r="F293" i="17"/>
  <c r="G293" i="17"/>
  <c r="E294" i="17"/>
  <c r="F294" i="17"/>
  <c r="G294" i="17"/>
  <c r="E295" i="17"/>
  <c r="F295" i="17"/>
  <c r="G295" i="17"/>
  <c r="E296" i="17"/>
  <c r="F296" i="17"/>
  <c r="G296" i="17"/>
  <c r="E297" i="17"/>
  <c r="F297" i="17"/>
  <c r="G297" i="17"/>
  <c r="E298" i="17"/>
  <c r="F298" i="17"/>
  <c r="G298" i="17"/>
  <c r="E299" i="17"/>
  <c r="F299" i="17"/>
  <c r="G299" i="17"/>
  <c r="E300" i="17"/>
  <c r="F300" i="17"/>
  <c r="G300" i="17"/>
  <c r="E301" i="17"/>
  <c r="F301" i="17"/>
  <c r="G301" i="17"/>
  <c r="E302" i="17"/>
  <c r="F302" i="17"/>
  <c r="G302" i="17"/>
  <c r="E303" i="17"/>
  <c r="F303" i="17"/>
  <c r="G303" i="17"/>
  <c r="E304" i="17"/>
  <c r="F304" i="17"/>
  <c r="G304" i="17"/>
  <c r="E305" i="17"/>
  <c r="F305" i="17"/>
  <c r="G305" i="17"/>
  <c r="E306" i="17"/>
  <c r="F306" i="17"/>
  <c r="G306" i="17"/>
  <c r="E307" i="17"/>
  <c r="F307" i="17"/>
  <c r="G307" i="17"/>
  <c r="E308" i="17"/>
  <c r="F308" i="17"/>
  <c r="G308" i="17"/>
  <c r="E309" i="17"/>
  <c r="F309" i="17"/>
  <c r="G309" i="17"/>
  <c r="E310" i="17"/>
  <c r="F310" i="17"/>
  <c r="G310" i="17"/>
  <c r="E311" i="17"/>
  <c r="F311" i="17"/>
  <c r="G311" i="17"/>
  <c r="E312" i="17"/>
  <c r="F312" i="17"/>
  <c r="G312" i="17"/>
  <c r="E313" i="17"/>
  <c r="F313" i="17"/>
  <c r="G313" i="17"/>
  <c r="E314" i="17"/>
  <c r="F314" i="17"/>
  <c r="G314" i="17"/>
  <c r="E315" i="17"/>
  <c r="F315" i="17"/>
  <c r="G315" i="17"/>
  <c r="E316" i="17"/>
  <c r="F316" i="17"/>
  <c r="G316" i="17"/>
  <c r="E317" i="17"/>
  <c r="F317" i="17"/>
  <c r="G317" i="17"/>
  <c r="E318" i="17"/>
  <c r="F318" i="17"/>
  <c r="G318" i="17"/>
  <c r="E319" i="17"/>
  <c r="F319" i="17"/>
  <c r="G319" i="17"/>
  <c r="E320" i="17"/>
  <c r="F320" i="17"/>
  <c r="G320" i="17"/>
  <c r="E321" i="17"/>
  <c r="F321" i="17"/>
  <c r="G321" i="17"/>
  <c r="E322" i="17"/>
  <c r="F322" i="17"/>
  <c r="G322" i="17"/>
  <c r="E323" i="17"/>
  <c r="F323" i="17"/>
  <c r="G323" i="17"/>
  <c r="E324" i="17"/>
  <c r="F324" i="17"/>
  <c r="G324" i="17"/>
  <c r="E325" i="17"/>
  <c r="F325" i="17"/>
  <c r="G325" i="17"/>
  <c r="E326" i="17"/>
  <c r="F326" i="17"/>
  <c r="G326" i="17"/>
  <c r="E327" i="17"/>
  <c r="F327" i="17"/>
  <c r="G327" i="17"/>
  <c r="E328" i="17"/>
  <c r="F328" i="17"/>
  <c r="G328" i="17"/>
  <c r="E329" i="17"/>
  <c r="F329" i="17"/>
  <c r="G329" i="17"/>
  <c r="E330" i="17"/>
  <c r="F330" i="17"/>
  <c r="G330" i="17"/>
  <c r="E331" i="17"/>
  <c r="F331" i="17"/>
  <c r="G331" i="17"/>
  <c r="E332" i="17"/>
  <c r="F332" i="17"/>
  <c r="G332" i="17"/>
  <c r="E333" i="17"/>
  <c r="F333" i="17"/>
  <c r="G333" i="17"/>
  <c r="E334" i="17"/>
  <c r="F334" i="17"/>
  <c r="G334" i="17"/>
  <c r="E335" i="17"/>
  <c r="F335" i="17"/>
  <c r="G335" i="17"/>
  <c r="E336" i="17"/>
  <c r="F336" i="17"/>
  <c r="G336" i="17"/>
  <c r="E337" i="17"/>
  <c r="F337" i="17"/>
  <c r="G337" i="17"/>
  <c r="E338" i="17"/>
  <c r="F338" i="17"/>
  <c r="G338" i="17"/>
  <c r="E339" i="17"/>
  <c r="F339" i="17"/>
  <c r="G339" i="17"/>
  <c r="E340" i="17"/>
  <c r="F340" i="17"/>
  <c r="G340" i="17"/>
  <c r="E341" i="17"/>
  <c r="F341" i="17"/>
  <c r="G341" i="17"/>
  <c r="E342" i="17"/>
  <c r="F342" i="17"/>
  <c r="G342" i="17"/>
  <c r="E343" i="17"/>
  <c r="F343" i="17"/>
  <c r="G343" i="17"/>
  <c r="E344" i="17"/>
  <c r="F344" i="17"/>
  <c r="G344" i="17"/>
  <c r="E345" i="17"/>
  <c r="F345" i="17"/>
  <c r="G345" i="17"/>
  <c r="E346" i="17"/>
  <c r="F346" i="17"/>
  <c r="G346" i="17"/>
  <c r="E347" i="17"/>
  <c r="F347" i="17"/>
  <c r="G347" i="17"/>
  <c r="E348" i="17"/>
  <c r="F348" i="17"/>
  <c r="G348" i="17"/>
  <c r="E349" i="17"/>
  <c r="F349" i="17"/>
  <c r="G349" i="17"/>
  <c r="E350" i="17"/>
  <c r="F350" i="17"/>
  <c r="G350" i="17"/>
  <c r="E351" i="17"/>
  <c r="F351" i="17"/>
  <c r="G351" i="17"/>
  <c r="E352" i="17"/>
  <c r="F352" i="17"/>
  <c r="G352" i="17"/>
  <c r="E353" i="17"/>
  <c r="F353" i="17"/>
  <c r="G353" i="17"/>
  <c r="E354" i="17"/>
  <c r="F354" i="17"/>
  <c r="G354" i="17"/>
  <c r="E355" i="17"/>
  <c r="F355" i="17"/>
  <c r="G355" i="17"/>
  <c r="E356" i="17"/>
  <c r="F356" i="17"/>
  <c r="G356" i="17"/>
  <c r="E357" i="17"/>
  <c r="F357" i="17"/>
  <c r="G357" i="17"/>
  <c r="E358" i="17"/>
  <c r="F358" i="17"/>
  <c r="G358" i="17"/>
  <c r="E359" i="17"/>
  <c r="F359" i="17"/>
  <c r="G359" i="17"/>
  <c r="E360" i="17"/>
  <c r="F360" i="17"/>
  <c r="G360" i="17"/>
  <c r="E361" i="17"/>
  <c r="F361" i="17"/>
  <c r="G361" i="17"/>
  <c r="E362" i="17"/>
  <c r="F362" i="17"/>
  <c r="G362" i="17"/>
  <c r="E363" i="17"/>
  <c r="F363" i="17"/>
  <c r="G363" i="17"/>
  <c r="E364" i="17"/>
  <c r="F364" i="17"/>
  <c r="G364" i="17"/>
  <c r="E365" i="17"/>
  <c r="F365" i="17"/>
  <c r="G365" i="17"/>
  <c r="E366" i="17"/>
  <c r="F366" i="17"/>
  <c r="G366" i="17"/>
  <c r="E367" i="17"/>
  <c r="F367" i="17"/>
  <c r="G367" i="17"/>
  <c r="E368" i="17"/>
  <c r="F368" i="17"/>
  <c r="G368" i="17"/>
  <c r="E369" i="17"/>
  <c r="F369" i="17"/>
  <c r="G369" i="17"/>
  <c r="E370" i="17"/>
  <c r="F370" i="17"/>
  <c r="G370" i="17"/>
  <c r="E371" i="17"/>
  <c r="F371" i="17"/>
  <c r="G371" i="17"/>
  <c r="E372" i="17"/>
  <c r="F372" i="17"/>
  <c r="G372" i="17"/>
  <c r="E373" i="17"/>
  <c r="F373" i="17"/>
  <c r="G373" i="17"/>
  <c r="E374" i="17"/>
  <c r="F374" i="17"/>
  <c r="G374" i="17"/>
  <c r="E375" i="17"/>
  <c r="F375" i="17"/>
  <c r="G375" i="17"/>
  <c r="E376" i="17"/>
  <c r="F376" i="17"/>
  <c r="G376" i="17"/>
  <c r="E377" i="17"/>
  <c r="F377" i="17"/>
  <c r="G377" i="17"/>
  <c r="E378" i="17"/>
  <c r="F378" i="17"/>
  <c r="G378" i="17"/>
  <c r="E379" i="17"/>
  <c r="F379" i="17"/>
  <c r="G379" i="17"/>
  <c r="E380" i="17"/>
  <c r="F380" i="17"/>
  <c r="G380" i="17"/>
  <c r="E381" i="17"/>
  <c r="F381" i="17"/>
  <c r="G381" i="17"/>
  <c r="E382" i="17"/>
  <c r="F382" i="17"/>
  <c r="G382" i="17"/>
  <c r="E383" i="17"/>
  <c r="F383" i="17"/>
  <c r="G383" i="17"/>
  <c r="E384" i="17"/>
  <c r="F384" i="17"/>
  <c r="G384" i="17"/>
  <c r="E385" i="17"/>
  <c r="F385" i="17"/>
  <c r="G385" i="17"/>
  <c r="E386" i="17"/>
  <c r="F386" i="17"/>
  <c r="G386" i="17"/>
  <c r="E387" i="17"/>
  <c r="F387" i="17"/>
  <c r="G387" i="17"/>
  <c r="E388" i="17"/>
  <c r="F388" i="17"/>
  <c r="G388" i="17"/>
  <c r="E389" i="17"/>
  <c r="F389" i="17"/>
  <c r="G389" i="17"/>
  <c r="E390" i="17"/>
  <c r="F390" i="17"/>
  <c r="G390" i="17"/>
  <c r="E391" i="17"/>
  <c r="F391" i="17"/>
  <c r="G391" i="17"/>
  <c r="E392" i="17"/>
  <c r="F392" i="17"/>
  <c r="G392" i="17"/>
  <c r="E393" i="17"/>
  <c r="F393" i="17"/>
  <c r="G393" i="17"/>
  <c r="E394" i="17"/>
  <c r="F394" i="17"/>
  <c r="G394" i="17"/>
  <c r="E395" i="17"/>
  <c r="F395" i="17"/>
  <c r="G395" i="17"/>
  <c r="E396" i="17"/>
  <c r="F396" i="17"/>
  <c r="G396" i="17"/>
  <c r="E397" i="17"/>
  <c r="F397" i="17"/>
  <c r="G397" i="17"/>
  <c r="E398" i="17"/>
  <c r="F398" i="17"/>
  <c r="G398" i="17"/>
  <c r="E399" i="17"/>
  <c r="F399" i="17"/>
  <c r="G399" i="17"/>
  <c r="E400" i="17"/>
  <c r="F400" i="17"/>
  <c r="G400" i="17"/>
  <c r="E401" i="17"/>
  <c r="F401" i="17"/>
  <c r="G401" i="17"/>
  <c r="E402" i="17"/>
  <c r="F402" i="17"/>
  <c r="G402" i="17"/>
  <c r="E403" i="17"/>
  <c r="F403" i="17"/>
  <c r="G403" i="17"/>
  <c r="E404" i="17"/>
  <c r="F404" i="17"/>
  <c r="G404" i="17"/>
  <c r="E405" i="17"/>
  <c r="F405" i="17"/>
  <c r="G405" i="17"/>
  <c r="E406" i="17"/>
  <c r="F406" i="17"/>
  <c r="G406" i="17"/>
  <c r="E407" i="17"/>
  <c r="F407" i="17"/>
  <c r="G407" i="17"/>
  <c r="E408" i="17"/>
  <c r="F408" i="17"/>
  <c r="G408" i="17"/>
  <c r="E409" i="17"/>
  <c r="F409" i="17"/>
  <c r="G409" i="17"/>
  <c r="E410" i="17"/>
  <c r="F410" i="17"/>
  <c r="G410" i="17"/>
  <c r="E411" i="17"/>
  <c r="F411" i="17"/>
  <c r="G411" i="17"/>
  <c r="E412" i="17"/>
  <c r="F412" i="17"/>
  <c r="G412" i="17"/>
  <c r="E413" i="17"/>
  <c r="F413" i="17"/>
  <c r="G413" i="17"/>
  <c r="E414" i="17"/>
  <c r="F414" i="17"/>
  <c r="G414" i="17"/>
  <c r="E415" i="17"/>
  <c r="F415" i="17"/>
  <c r="G415" i="17"/>
  <c r="E416" i="17"/>
  <c r="F416" i="17"/>
  <c r="G416" i="17"/>
  <c r="E417" i="17"/>
  <c r="F417" i="17"/>
  <c r="G417" i="17"/>
  <c r="E418" i="17"/>
  <c r="F418" i="17"/>
  <c r="G418" i="17"/>
  <c r="E419" i="17"/>
  <c r="F419" i="17"/>
  <c r="G419" i="17"/>
  <c r="E420" i="17"/>
  <c r="F420" i="17"/>
  <c r="G420" i="17"/>
  <c r="E421" i="17"/>
  <c r="F421" i="17"/>
  <c r="G421" i="17"/>
  <c r="E422" i="17"/>
  <c r="F422" i="17"/>
  <c r="G422" i="17"/>
  <c r="E423" i="17"/>
  <c r="F423" i="17"/>
  <c r="G423" i="17"/>
  <c r="E424" i="17"/>
  <c r="F424" i="17"/>
  <c r="G424" i="17"/>
  <c r="E425" i="17"/>
  <c r="F425" i="17"/>
  <c r="G425" i="17"/>
  <c r="E426" i="17"/>
  <c r="F426" i="17"/>
  <c r="G426" i="17"/>
  <c r="E427" i="17"/>
  <c r="F427" i="17"/>
  <c r="G427" i="17"/>
  <c r="E428" i="17"/>
  <c r="F428" i="17"/>
  <c r="G428" i="17"/>
  <c r="E429" i="17"/>
  <c r="F429" i="17"/>
  <c r="G429" i="17"/>
  <c r="E430" i="17"/>
  <c r="F430" i="17"/>
  <c r="G430" i="17"/>
  <c r="E431" i="17"/>
  <c r="F431" i="17"/>
  <c r="G431" i="17"/>
  <c r="E432" i="17"/>
  <c r="F432" i="17"/>
  <c r="G432" i="17"/>
  <c r="E433" i="17"/>
  <c r="F433" i="17"/>
  <c r="G433" i="17"/>
  <c r="E434" i="17"/>
  <c r="F434" i="17"/>
  <c r="G434" i="17"/>
  <c r="E435" i="17"/>
  <c r="F435" i="17"/>
  <c r="G435" i="17"/>
  <c r="E436" i="17"/>
  <c r="F436" i="17"/>
  <c r="G436" i="17"/>
  <c r="E437" i="17"/>
  <c r="F437" i="17"/>
  <c r="G437" i="17"/>
  <c r="E438" i="17"/>
  <c r="F438" i="17"/>
  <c r="G438" i="17"/>
  <c r="E439" i="17"/>
  <c r="F439" i="17"/>
  <c r="G439" i="17"/>
  <c r="E440" i="17"/>
  <c r="F440" i="17"/>
  <c r="G440" i="17"/>
  <c r="E441" i="17"/>
  <c r="F441" i="17"/>
  <c r="G441" i="17"/>
  <c r="E442" i="17"/>
  <c r="F442" i="17"/>
  <c r="G442" i="17"/>
  <c r="E443" i="17"/>
  <c r="F443" i="17"/>
  <c r="G443" i="17"/>
  <c r="E444" i="17"/>
  <c r="F444" i="17"/>
  <c r="G444" i="17"/>
  <c r="E445" i="17"/>
  <c r="F445" i="17"/>
  <c r="G445" i="17"/>
  <c r="E446" i="17"/>
  <c r="F446" i="17"/>
  <c r="G446" i="17"/>
  <c r="E447" i="17"/>
  <c r="F447" i="17"/>
  <c r="G447" i="17"/>
  <c r="E448" i="17"/>
  <c r="F448" i="17"/>
  <c r="G448" i="17"/>
  <c r="E449" i="17"/>
  <c r="F449" i="17"/>
  <c r="G449" i="17"/>
  <c r="E450" i="17"/>
  <c r="F450" i="17"/>
  <c r="G450" i="17"/>
  <c r="E451" i="17"/>
  <c r="F451" i="17"/>
  <c r="G451" i="17"/>
  <c r="E452" i="17"/>
  <c r="F452" i="17"/>
  <c r="G452" i="17"/>
  <c r="E453" i="17"/>
  <c r="F453" i="17"/>
  <c r="G453" i="17"/>
  <c r="E454" i="17"/>
  <c r="F454" i="17"/>
  <c r="G454" i="17"/>
  <c r="E455" i="17"/>
  <c r="F455" i="17"/>
  <c r="G455" i="17"/>
  <c r="E456" i="17"/>
  <c r="F456" i="17"/>
  <c r="G456" i="17"/>
  <c r="E457" i="17"/>
  <c r="F457" i="17"/>
  <c r="G457" i="17"/>
  <c r="E458" i="17"/>
  <c r="F458" i="17"/>
  <c r="G458" i="17"/>
  <c r="E459" i="17"/>
  <c r="F459" i="17"/>
  <c r="G459" i="17"/>
  <c r="E460" i="17"/>
  <c r="F460" i="17"/>
  <c r="G460" i="17"/>
  <c r="E461" i="17"/>
  <c r="F461" i="17"/>
  <c r="G461" i="17"/>
  <c r="E462" i="17"/>
  <c r="F462" i="17"/>
  <c r="G462" i="17"/>
  <c r="E463" i="17"/>
  <c r="F463" i="17"/>
  <c r="G463" i="17"/>
  <c r="E464" i="17"/>
  <c r="F464" i="17"/>
  <c r="G464" i="17"/>
  <c r="E465" i="17"/>
  <c r="F465" i="17"/>
  <c r="G465" i="17"/>
  <c r="E466" i="17"/>
  <c r="F466" i="17"/>
  <c r="G466" i="17"/>
  <c r="E467" i="17"/>
  <c r="F467" i="17"/>
  <c r="G467" i="17"/>
  <c r="E468" i="17"/>
  <c r="F468" i="17"/>
  <c r="G468" i="17"/>
  <c r="E469" i="17"/>
  <c r="F469" i="17"/>
  <c r="G469" i="17"/>
  <c r="E470" i="17"/>
  <c r="F470" i="17"/>
  <c r="G470" i="17"/>
  <c r="E471" i="17"/>
  <c r="F471" i="17"/>
  <c r="G471" i="17"/>
  <c r="E472" i="17"/>
  <c r="F472" i="17"/>
  <c r="G472" i="17"/>
  <c r="E473" i="17"/>
  <c r="F473" i="17"/>
  <c r="G473" i="17"/>
  <c r="E474" i="17"/>
  <c r="F474" i="17"/>
  <c r="G474" i="17"/>
  <c r="E475" i="17"/>
  <c r="F475" i="17"/>
  <c r="G475" i="17"/>
  <c r="E476" i="17"/>
  <c r="F476" i="17"/>
  <c r="G476" i="17"/>
  <c r="E477" i="17"/>
  <c r="F477" i="17"/>
  <c r="G477" i="17"/>
  <c r="E478" i="17"/>
  <c r="F478" i="17"/>
  <c r="G478" i="17"/>
  <c r="E479" i="17"/>
  <c r="F479" i="17"/>
  <c r="G479" i="17"/>
  <c r="E480" i="17"/>
  <c r="F480" i="17"/>
  <c r="G480" i="17"/>
  <c r="E481" i="17"/>
  <c r="F481" i="17"/>
  <c r="G481" i="17"/>
  <c r="E482" i="17"/>
  <c r="F482" i="17"/>
  <c r="G482" i="17"/>
  <c r="E483" i="17"/>
  <c r="F483" i="17"/>
  <c r="G483" i="17"/>
  <c r="E484" i="17"/>
  <c r="F484" i="17"/>
  <c r="G484" i="17"/>
  <c r="E485" i="17"/>
  <c r="F485" i="17"/>
  <c r="G485" i="17"/>
  <c r="E486" i="17"/>
  <c r="F486" i="17"/>
  <c r="G486" i="17"/>
  <c r="E487" i="17"/>
  <c r="F487" i="17"/>
  <c r="G487" i="17"/>
  <c r="E488" i="17"/>
  <c r="F488" i="17"/>
  <c r="G488" i="17"/>
  <c r="E489" i="17"/>
  <c r="F489" i="17"/>
  <c r="G489" i="17"/>
  <c r="E490" i="17"/>
  <c r="F490" i="17"/>
  <c r="G490" i="17"/>
  <c r="E491" i="17"/>
  <c r="F491" i="17"/>
  <c r="G491" i="17"/>
  <c r="E492" i="17"/>
  <c r="F492" i="17"/>
  <c r="G492" i="17"/>
  <c r="E493" i="17"/>
  <c r="F493" i="17"/>
  <c r="G493" i="17"/>
  <c r="E494" i="17"/>
  <c r="F494" i="17"/>
  <c r="G494" i="17"/>
  <c r="E495" i="17"/>
  <c r="F495" i="17"/>
  <c r="G495" i="17"/>
  <c r="E496" i="17"/>
  <c r="F496" i="17"/>
  <c r="G496" i="17"/>
  <c r="E497" i="17"/>
  <c r="F497" i="17"/>
  <c r="G497" i="17"/>
  <c r="E498" i="17"/>
  <c r="F498" i="17"/>
  <c r="G498" i="17"/>
  <c r="E499" i="17"/>
  <c r="F499" i="17"/>
  <c r="G499" i="17"/>
  <c r="E500" i="17"/>
  <c r="F500" i="17"/>
  <c r="G500" i="17"/>
  <c r="C501" i="17"/>
  <c r="E501" i="17"/>
  <c r="F501" i="17"/>
  <c r="G501" i="17"/>
  <c r="C502" i="17"/>
  <c r="E502" i="17"/>
  <c r="F502" i="17"/>
  <c r="G502" i="17"/>
  <c r="E503" i="17"/>
  <c r="F503" i="17"/>
  <c r="G503" i="17"/>
  <c r="E504" i="17"/>
  <c r="F504" i="17"/>
  <c r="G504" i="17"/>
  <c r="E505" i="17"/>
  <c r="F505" i="17"/>
  <c r="G505" i="17"/>
  <c r="E506" i="17"/>
  <c r="F506" i="17"/>
  <c r="G506" i="17"/>
  <c r="E507" i="17"/>
  <c r="F507" i="17"/>
  <c r="G507" i="17"/>
  <c r="E508" i="17"/>
  <c r="F508" i="17"/>
  <c r="G508" i="17"/>
  <c r="E509" i="17"/>
  <c r="F509" i="17"/>
  <c r="G509" i="17"/>
  <c r="E510" i="17"/>
  <c r="F510" i="17"/>
  <c r="G510" i="17"/>
  <c r="E511" i="17"/>
  <c r="F511" i="17"/>
  <c r="G511" i="17"/>
  <c r="E512" i="17"/>
  <c r="F512" i="17"/>
  <c r="G512" i="17"/>
  <c r="E513" i="17"/>
  <c r="F513" i="17"/>
  <c r="G513" i="17"/>
  <c r="E514" i="17"/>
  <c r="F514" i="17"/>
  <c r="G514" i="17"/>
  <c r="E515" i="17"/>
  <c r="F515" i="17"/>
  <c r="G515" i="17"/>
  <c r="E516" i="17"/>
  <c r="F516" i="17"/>
  <c r="G516" i="17"/>
  <c r="E517" i="17"/>
  <c r="F517" i="17"/>
  <c r="G517" i="17"/>
  <c r="E518" i="17"/>
  <c r="F518" i="17"/>
  <c r="G518" i="17"/>
  <c r="E519" i="17"/>
  <c r="F519" i="17"/>
  <c r="G519" i="17"/>
  <c r="E520" i="17"/>
  <c r="F520" i="17"/>
  <c r="G520" i="17"/>
  <c r="E521" i="17"/>
  <c r="F521" i="17"/>
  <c r="G521" i="17"/>
  <c r="E522" i="17"/>
  <c r="F522" i="17"/>
  <c r="G522" i="17"/>
  <c r="E523" i="17"/>
  <c r="F523" i="17"/>
  <c r="G523" i="17"/>
  <c r="E524" i="17"/>
  <c r="F524" i="17"/>
  <c r="G524" i="17"/>
  <c r="E525" i="17"/>
  <c r="F525" i="17"/>
  <c r="G525" i="17"/>
  <c r="E526" i="17"/>
  <c r="F526" i="17"/>
  <c r="G526" i="17"/>
  <c r="E527" i="17"/>
  <c r="F527" i="17"/>
  <c r="G527" i="17"/>
  <c r="E528" i="17"/>
  <c r="F528" i="17"/>
  <c r="G528" i="17"/>
  <c r="E529" i="17"/>
  <c r="F529" i="17"/>
  <c r="G529" i="17"/>
  <c r="E530" i="17"/>
  <c r="F530" i="17"/>
  <c r="G530" i="17"/>
  <c r="E531" i="17"/>
  <c r="F531" i="17"/>
  <c r="G531" i="17"/>
  <c r="E532" i="17"/>
  <c r="F532" i="17"/>
  <c r="G532" i="17"/>
  <c r="E533" i="17"/>
  <c r="F533" i="17"/>
  <c r="G533" i="17"/>
  <c r="E534" i="17"/>
  <c r="F534" i="17"/>
  <c r="G534" i="17"/>
  <c r="E535" i="17"/>
  <c r="F535" i="17"/>
  <c r="G535" i="17"/>
  <c r="E536" i="17"/>
  <c r="F536" i="17"/>
  <c r="G536" i="17"/>
  <c r="E537" i="17"/>
  <c r="F537" i="17"/>
  <c r="G537" i="17"/>
  <c r="E538" i="17"/>
  <c r="F538" i="17"/>
  <c r="G538" i="17"/>
  <c r="E539" i="17"/>
  <c r="F539" i="17"/>
  <c r="G539" i="17"/>
  <c r="E540" i="17"/>
  <c r="F540" i="17"/>
  <c r="G540" i="17"/>
  <c r="E541" i="17"/>
  <c r="F541" i="17"/>
  <c r="G541" i="17"/>
  <c r="E542" i="17"/>
  <c r="F542" i="17"/>
  <c r="G542" i="17"/>
  <c r="E543" i="17"/>
  <c r="F543" i="17"/>
  <c r="G543" i="17"/>
  <c r="E544" i="17"/>
  <c r="F544" i="17"/>
  <c r="G544" i="17"/>
  <c r="E545" i="17"/>
  <c r="F545" i="17"/>
  <c r="G545" i="17"/>
  <c r="E546" i="17"/>
  <c r="F546" i="17"/>
  <c r="G546" i="17"/>
  <c r="E547" i="17"/>
  <c r="F547" i="17"/>
  <c r="G547" i="17"/>
  <c r="E548" i="17"/>
  <c r="F548" i="17"/>
  <c r="G548" i="17"/>
  <c r="E549" i="17"/>
  <c r="F549" i="17"/>
  <c r="G549" i="17"/>
  <c r="E550" i="17"/>
  <c r="F550" i="17"/>
  <c r="G550" i="17"/>
  <c r="E551" i="17"/>
  <c r="F551" i="17"/>
  <c r="G551" i="17"/>
  <c r="E552" i="17"/>
  <c r="F552" i="17"/>
  <c r="G552" i="17"/>
  <c r="E553" i="17"/>
  <c r="F553" i="17"/>
  <c r="G553" i="17"/>
  <c r="E554" i="17"/>
  <c r="F554" i="17"/>
  <c r="G554" i="17"/>
  <c r="E555" i="17"/>
  <c r="F555" i="17"/>
  <c r="G555" i="17"/>
  <c r="E556" i="17"/>
  <c r="F556" i="17"/>
  <c r="G556" i="17"/>
  <c r="E557" i="17"/>
  <c r="F557" i="17"/>
  <c r="G557" i="17"/>
  <c r="E558" i="17"/>
  <c r="F558" i="17"/>
  <c r="G558" i="17"/>
  <c r="E559" i="17"/>
  <c r="F559" i="17"/>
  <c r="G559" i="17"/>
  <c r="E560" i="17"/>
  <c r="F560" i="17"/>
  <c r="G560" i="17"/>
  <c r="E561" i="17"/>
  <c r="F561" i="17"/>
  <c r="G561" i="17"/>
  <c r="E562" i="17"/>
  <c r="F562" i="17"/>
  <c r="G562" i="17"/>
  <c r="E563" i="17"/>
  <c r="F563" i="17"/>
  <c r="G563" i="17"/>
  <c r="E564" i="17"/>
  <c r="F564" i="17"/>
  <c r="G564" i="17"/>
  <c r="E565" i="17"/>
  <c r="F565" i="17"/>
  <c r="G565" i="17"/>
  <c r="E566" i="17"/>
  <c r="F566" i="17"/>
  <c r="G566" i="17"/>
  <c r="E567" i="17"/>
  <c r="F567" i="17"/>
  <c r="G567" i="17"/>
  <c r="E568" i="17"/>
  <c r="F568" i="17"/>
  <c r="G568" i="17"/>
  <c r="E569" i="17"/>
  <c r="F569" i="17"/>
  <c r="G569" i="17"/>
  <c r="E570" i="17"/>
  <c r="F570" i="17"/>
  <c r="G570" i="17"/>
  <c r="E571" i="17"/>
  <c r="F571" i="17"/>
  <c r="G571" i="17"/>
  <c r="E572" i="17"/>
  <c r="F572" i="17"/>
  <c r="G572" i="17"/>
  <c r="E573" i="17"/>
  <c r="F573" i="17"/>
  <c r="G573" i="17"/>
  <c r="E574" i="17"/>
  <c r="F574" i="17"/>
  <c r="G574" i="17"/>
  <c r="E575" i="17"/>
  <c r="F575" i="17"/>
  <c r="G575" i="17"/>
  <c r="E576" i="17"/>
  <c r="F576" i="17"/>
  <c r="G576" i="17"/>
  <c r="E577" i="17"/>
  <c r="F577" i="17"/>
  <c r="G577" i="17"/>
  <c r="E578" i="17"/>
  <c r="F578" i="17"/>
  <c r="G578" i="17"/>
  <c r="E579" i="17"/>
  <c r="F579" i="17"/>
  <c r="G579" i="17"/>
  <c r="E580" i="17"/>
  <c r="F580" i="17"/>
  <c r="G580" i="17"/>
  <c r="E581" i="17"/>
  <c r="F581" i="17"/>
  <c r="G581" i="17"/>
  <c r="E582" i="17"/>
  <c r="F582" i="17"/>
  <c r="G582" i="17"/>
  <c r="E583" i="17"/>
  <c r="F583" i="17"/>
  <c r="G583" i="17"/>
  <c r="E584" i="17"/>
  <c r="F584" i="17"/>
  <c r="G584" i="17"/>
  <c r="E585" i="17"/>
  <c r="F585" i="17"/>
  <c r="G585" i="17"/>
  <c r="E586" i="17"/>
  <c r="F586" i="17"/>
  <c r="G586" i="17"/>
  <c r="E587" i="17"/>
  <c r="F587" i="17"/>
  <c r="G587" i="17"/>
  <c r="E588" i="17"/>
  <c r="F588" i="17"/>
  <c r="G588" i="17"/>
  <c r="E589" i="17"/>
  <c r="F589" i="17"/>
  <c r="G589" i="17"/>
  <c r="E590" i="17"/>
  <c r="F590" i="17"/>
  <c r="G590" i="17"/>
  <c r="E591" i="17"/>
  <c r="F591" i="17"/>
  <c r="G591" i="17"/>
  <c r="E592" i="17"/>
  <c r="F592" i="17"/>
  <c r="G592" i="17"/>
  <c r="E593" i="17"/>
  <c r="F593" i="17"/>
  <c r="G593" i="17"/>
  <c r="E594" i="17"/>
  <c r="F594" i="17"/>
  <c r="G594" i="17"/>
  <c r="E595" i="17"/>
  <c r="F595" i="17"/>
  <c r="G595" i="17"/>
  <c r="E596" i="17"/>
  <c r="F596" i="17"/>
  <c r="G596" i="17"/>
  <c r="E597" i="17"/>
  <c r="F597" i="17"/>
  <c r="G597" i="17"/>
  <c r="E598" i="17"/>
  <c r="F598" i="17"/>
  <c r="G598" i="17"/>
  <c r="E599" i="17"/>
  <c r="F599" i="17"/>
  <c r="G599" i="17"/>
  <c r="E600" i="17"/>
  <c r="F600" i="17"/>
  <c r="G600" i="17"/>
  <c r="E601" i="17"/>
  <c r="F601" i="17"/>
  <c r="G601" i="17"/>
  <c r="E602" i="17"/>
  <c r="F602" i="17"/>
  <c r="G602" i="17"/>
  <c r="E603" i="17"/>
  <c r="F603" i="17"/>
  <c r="G603" i="17"/>
  <c r="E604" i="17"/>
  <c r="F604" i="17"/>
  <c r="G604" i="17"/>
  <c r="E605" i="17"/>
  <c r="F605" i="17"/>
  <c r="G605" i="17"/>
  <c r="E606" i="17"/>
  <c r="F606" i="17"/>
  <c r="G606" i="17"/>
  <c r="E607" i="17"/>
  <c r="F607" i="17"/>
  <c r="G607" i="17"/>
  <c r="E608" i="17"/>
  <c r="F608" i="17"/>
  <c r="G608" i="17"/>
  <c r="E609" i="17"/>
  <c r="F609" i="17"/>
  <c r="G609" i="17"/>
  <c r="E610" i="17"/>
  <c r="F610" i="17"/>
  <c r="G610" i="17"/>
  <c r="E611" i="17"/>
  <c r="F611" i="17"/>
  <c r="G611" i="17"/>
  <c r="E612" i="17"/>
  <c r="F612" i="17"/>
  <c r="G612" i="17"/>
  <c r="E613" i="17"/>
  <c r="F613" i="17"/>
  <c r="G613" i="17"/>
  <c r="E614" i="17"/>
  <c r="F614" i="17"/>
  <c r="G614" i="17"/>
  <c r="E615" i="17"/>
  <c r="F615" i="17"/>
  <c r="G615" i="17"/>
  <c r="E616" i="17"/>
  <c r="F616" i="17"/>
  <c r="G616" i="17"/>
  <c r="E617" i="17"/>
  <c r="F617" i="17"/>
  <c r="G617" i="17"/>
  <c r="E618" i="17"/>
  <c r="F618" i="17"/>
  <c r="G618" i="17"/>
  <c r="E619" i="17"/>
  <c r="F619" i="17"/>
  <c r="G619" i="17"/>
  <c r="E620" i="17"/>
  <c r="F620" i="17"/>
  <c r="G620" i="17"/>
  <c r="E621" i="17"/>
  <c r="F621" i="17"/>
  <c r="G621" i="17"/>
  <c r="E622" i="17"/>
  <c r="F622" i="17"/>
  <c r="G622" i="17"/>
  <c r="E623" i="17"/>
  <c r="F623" i="17"/>
  <c r="G623" i="17"/>
  <c r="E624" i="17"/>
  <c r="F624" i="17"/>
  <c r="G624" i="17"/>
  <c r="E625" i="17"/>
  <c r="F625" i="17"/>
  <c r="G625" i="17"/>
  <c r="E626" i="17"/>
  <c r="F626" i="17"/>
  <c r="G626" i="17"/>
  <c r="E627" i="17"/>
  <c r="F627" i="17"/>
  <c r="G627" i="17"/>
  <c r="E628" i="17"/>
  <c r="F628" i="17"/>
  <c r="G628" i="17"/>
  <c r="E629" i="17"/>
  <c r="F629" i="17"/>
  <c r="G629" i="17"/>
  <c r="E630" i="17"/>
  <c r="F630" i="17"/>
  <c r="G630" i="17"/>
  <c r="E631" i="17"/>
  <c r="F631" i="17"/>
  <c r="G631" i="17"/>
  <c r="E632" i="17"/>
  <c r="F632" i="17"/>
  <c r="G632" i="17"/>
  <c r="E633" i="17"/>
  <c r="F633" i="17"/>
  <c r="G633" i="17"/>
  <c r="E634" i="17"/>
  <c r="F634" i="17"/>
  <c r="G634" i="17"/>
  <c r="E635" i="17"/>
  <c r="F635" i="17"/>
  <c r="G635" i="17"/>
  <c r="E636" i="17"/>
  <c r="F636" i="17"/>
  <c r="G636" i="17"/>
  <c r="E637" i="17"/>
  <c r="F637" i="17"/>
  <c r="G637" i="17"/>
  <c r="E638" i="17"/>
  <c r="F638" i="17"/>
  <c r="G638" i="17"/>
  <c r="E639" i="17"/>
  <c r="F639" i="17"/>
  <c r="G639" i="17"/>
  <c r="C640" i="17"/>
  <c r="E640" i="17"/>
  <c r="F640" i="17"/>
  <c r="G640" i="17"/>
  <c r="E641" i="17"/>
  <c r="F641" i="17"/>
  <c r="G641" i="17"/>
  <c r="E642" i="17"/>
  <c r="F642" i="17"/>
  <c r="G642" i="17"/>
  <c r="E643" i="17"/>
  <c r="F643" i="17"/>
  <c r="G643" i="17"/>
  <c r="E644" i="17"/>
  <c r="F644" i="17"/>
  <c r="G644" i="17"/>
  <c r="E645" i="17"/>
  <c r="F645" i="17"/>
  <c r="G645" i="17"/>
  <c r="E646" i="17"/>
  <c r="F646" i="17"/>
  <c r="G646" i="17"/>
  <c r="E647" i="17"/>
  <c r="F647" i="17"/>
  <c r="G647" i="17"/>
  <c r="E648" i="17"/>
  <c r="F648" i="17"/>
  <c r="G648" i="17"/>
  <c r="E649" i="17"/>
  <c r="F649" i="17"/>
  <c r="G649" i="17"/>
  <c r="E650" i="17"/>
  <c r="F650" i="17"/>
  <c r="G650" i="17"/>
  <c r="E651" i="17"/>
  <c r="F651" i="17"/>
  <c r="G651" i="17"/>
  <c r="E652" i="17"/>
  <c r="F652" i="17"/>
  <c r="G652" i="17"/>
  <c r="E653" i="17"/>
  <c r="F653" i="17"/>
  <c r="G653" i="17"/>
  <c r="E654" i="17"/>
  <c r="F654" i="17"/>
  <c r="G654" i="17"/>
  <c r="E655" i="17"/>
  <c r="F655" i="17"/>
  <c r="G655" i="17"/>
  <c r="E656" i="17"/>
  <c r="F656" i="17"/>
  <c r="G656" i="17"/>
  <c r="E657" i="17"/>
  <c r="F657" i="17"/>
  <c r="G657" i="17"/>
  <c r="E658" i="17"/>
  <c r="F658" i="17"/>
  <c r="G658" i="17"/>
  <c r="E659" i="17"/>
  <c r="F659" i="17"/>
  <c r="G659" i="17"/>
  <c r="E660" i="17"/>
  <c r="F660" i="17"/>
  <c r="G660" i="17"/>
  <c r="E661" i="17"/>
  <c r="F661" i="17"/>
  <c r="G661" i="17"/>
  <c r="E662" i="17"/>
  <c r="F662" i="17"/>
  <c r="G662" i="17"/>
  <c r="E663" i="17"/>
  <c r="F663" i="17"/>
  <c r="G663" i="17"/>
  <c r="E664" i="17"/>
  <c r="F664" i="17"/>
  <c r="G664" i="17"/>
  <c r="E665" i="17"/>
  <c r="F665" i="17"/>
  <c r="G665" i="17"/>
  <c r="E666" i="17"/>
  <c r="F666" i="17"/>
  <c r="G666" i="17"/>
  <c r="E667" i="17"/>
  <c r="F667" i="17"/>
  <c r="G667" i="17"/>
  <c r="E668" i="17"/>
  <c r="F668" i="17"/>
  <c r="G668" i="17"/>
  <c r="E669" i="17"/>
  <c r="F669" i="17"/>
  <c r="G669" i="17"/>
  <c r="E670" i="17"/>
  <c r="F670" i="17"/>
  <c r="G670" i="17"/>
  <c r="E671" i="17"/>
  <c r="F671" i="17"/>
  <c r="G671" i="17"/>
  <c r="E672" i="17"/>
  <c r="F672" i="17"/>
  <c r="G672" i="17"/>
  <c r="E673" i="17"/>
  <c r="F673" i="17"/>
  <c r="G673" i="17"/>
  <c r="E674" i="17"/>
  <c r="F674" i="17"/>
  <c r="G674" i="17"/>
  <c r="E675" i="17"/>
  <c r="F675" i="17"/>
  <c r="G675" i="17"/>
  <c r="E676" i="17"/>
  <c r="F676" i="17"/>
  <c r="G676" i="17"/>
  <c r="E677" i="17"/>
  <c r="F677" i="17"/>
  <c r="G677" i="17"/>
  <c r="E678" i="17"/>
  <c r="F678" i="17"/>
  <c r="G678" i="17"/>
  <c r="E679" i="17"/>
  <c r="F679" i="17"/>
  <c r="G679" i="17"/>
  <c r="E680" i="17"/>
  <c r="F680" i="17"/>
  <c r="G680" i="17"/>
  <c r="E681" i="17"/>
  <c r="F681" i="17"/>
  <c r="G681" i="17"/>
  <c r="E682" i="17"/>
  <c r="F682" i="17"/>
  <c r="G682" i="17"/>
  <c r="E683" i="17"/>
  <c r="F683" i="17"/>
  <c r="G683" i="17"/>
  <c r="E684" i="17"/>
  <c r="F684" i="17"/>
  <c r="G684" i="17"/>
  <c r="E685" i="17"/>
  <c r="F685" i="17"/>
  <c r="G685" i="17"/>
  <c r="E686" i="17"/>
  <c r="F686" i="17"/>
  <c r="G686" i="17"/>
  <c r="E687" i="17"/>
  <c r="F687" i="17"/>
  <c r="G687" i="17"/>
  <c r="E688" i="17"/>
  <c r="F688" i="17"/>
  <c r="G688" i="17"/>
  <c r="E689" i="17"/>
  <c r="F689" i="17"/>
  <c r="G689" i="17"/>
  <c r="E690" i="17"/>
  <c r="F690" i="17"/>
  <c r="G690" i="17"/>
  <c r="E691" i="17"/>
  <c r="F691" i="17"/>
  <c r="G691" i="17"/>
  <c r="E692" i="17"/>
  <c r="F692" i="17"/>
  <c r="G692" i="17"/>
  <c r="E693" i="17"/>
  <c r="F693" i="17"/>
  <c r="G693" i="17"/>
  <c r="E694" i="17"/>
  <c r="F694" i="17"/>
  <c r="G694" i="17"/>
  <c r="E695" i="17"/>
  <c r="F695" i="17"/>
  <c r="G695" i="17"/>
  <c r="E696" i="17"/>
  <c r="F696" i="17"/>
  <c r="G696" i="17"/>
  <c r="E697" i="17"/>
  <c r="F697" i="17"/>
  <c r="G697" i="17"/>
  <c r="E698" i="17"/>
  <c r="F698" i="17"/>
  <c r="G698" i="17"/>
  <c r="E699" i="17"/>
  <c r="F699" i="17"/>
  <c r="G699" i="17"/>
  <c r="E700" i="17"/>
  <c r="F700" i="17"/>
  <c r="G700" i="17"/>
  <c r="E701" i="17"/>
  <c r="F701" i="17"/>
  <c r="G701" i="17"/>
  <c r="E702" i="17"/>
  <c r="F702" i="17"/>
  <c r="G702" i="17"/>
  <c r="E703" i="17"/>
  <c r="F703" i="17"/>
  <c r="G703" i="17"/>
  <c r="E704" i="17"/>
  <c r="F704" i="17"/>
  <c r="G704" i="17"/>
  <c r="E705" i="17"/>
  <c r="F705" i="17"/>
  <c r="G705" i="17"/>
  <c r="E706" i="17"/>
  <c r="F706" i="17"/>
  <c r="G706" i="17"/>
  <c r="E707" i="17"/>
  <c r="F707" i="17"/>
  <c r="G707" i="17"/>
  <c r="E708" i="17"/>
  <c r="F708" i="17"/>
  <c r="G708" i="17"/>
  <c r="E709" i="17"/>
  <c r="F709" i="17"/>
  <c r="G709" i="17"/>
  <c r="E710" i="17"/>
  <c r="F710" i="17"/>
  <c r="G710" i="17"/>
  <c r="E711" i="17"/>
  <c r="F711" i="17"/>
  <c r="G711" i="17"/>
  <c r="E712" i="17"/>
  <c r="F712" i="17"/>
  <c r="G712" i="17"/>
  <c r="E713" i="17"/>
  <c r="F713" i="17"/>
  <c r="G713" i="17"/>
  <c r="E714" i="17"/>
  <c r="F714" i="17"/>
  <c r="G714" i="17"/>
  <c r="E715" i="17"/>
  <c r="F715" i="17"/>
  <c r="G715" i="17"/>
  <c r="E716" i="17"/>
  <c r="F716" i="17"/>
  <c r="G716" i="17"/>
  <c r="E717" i="17"/>
  <c r="F717" i="17"/>
  <c r="G717" i="17"/>
  <c r="E718" i="17"/>
  <c r="F718" i="17"/>
  <c r="G718" i="17"/>
  <c r="E719" i="17"/>
  <c r="F719" i="17"/>
  <c r="G719" i="17"/>
  <c r="E720" i="17"/>
  <c r="F720" i="17"/>
  <c r="G720" i="17"/>
  <c r="E721" i="17"/>
  <c r="F721" i="17"/>
  <c r="G721" i="17"/>
  <c r="E722" i="17"/>
  <c r="F722" i="17"/>
  <c r="G722" i="17"/>
  <c r="E723" i="17"/>
  <c r="F723" i="17"/>
  <c r="G723" i="17"/>
  <c r="E724" i="17"/>
  <c r="F724" i="17"/>
  <c r="G724" i="17"/>
  <c r="E725" i="17"/>
  <c r="F725" i="17"/>
  <c r="G725" i="17"/>
  <c r="E726" i="17"/>
  <c r="F726" i="17"/>
  <c r="G726" i="17"/>
  <c r="E727" i="17"/>
  <c r="F727" i="17"/>
  <c r="G727" i="17"/>
  <c r="E728" i="17"/>
  <c r="F728" i="17"/>
  <c r="G728" i="17"/>
  <c r="E729" i="17"/>
  <c r="F729" i="17"/>
  <c r="G729" i="17"/>
  <c r="E730" i="17"/>
  <c r="F730" i="17"/>
  <c r="G730" i="17"/>
  <c r="E731" i="17"/>
  <c r="F731" i="17"/>
  <c r="G731" i="17"/>
  <c r="E732" i="17"/>
  <c r="F732" i="17"/>
  <c r="G732" i="17"/>
  <c r="E733" i="17"/>
  <c r="F733" i="17"/>
  <c r="G733" i="17"/>
  <c r="E734" i="17"/>
  <c r="F734" i="17"/>
  <c r="G734" i="17"/>
  <c r="E735" i="17"/>
  <c r="F735" i="17"/>
  <c r="G735" i="17"/>
  <c r="E736" i="17"/>
  <c r="F736" i="17"/>
  <c r="G736" i="17"/>
  <c r="E737" i="17"/>
  <c r="F737" i="17"/>
  <c r="G737" i="17"/>
  <c r="E738" i="17"/>
  <c r="F738" i="17"/>
  <c r="G738" i="17"/>
  <c r="E739" i="17"/>
  <c r="F739" i="17"/>
  <c r="G739" i="17"/>
  <c r="E740" i="17"/>
  <c r="F740" i="17"/>
  <c r="G740" i="17"/>
  <c r="E741" i="17"/>
  <c r="F741" i="17"/>
  <c r="G741" i="17"/>
  <c r="E742" i="17"/>
  <c r="F742" i="17"/>
  <c r="G742" i="17"/>
  <c r="E743" i="17"/>
  <c r="F743" i="17"/>
  <c r="G743" i="17"/>
  <c r="E744" i="17"/>
  <c r="F744" i="17"/>
  <c r="G744" i="17"/>
  <c r="E745" i="17"/>
  <c r="F745" i="17"/>
  <c r="G745" i="17"/>
  <c r="E746" i="17"/>
  <c r="F746" i="17"/>
  <c r="G746" i="17"/>
  <c r="E747" i="17"/>
  <c r="F747" i="17"/>
  <c r="G747" i="17"/>
  <c r="E748" i="17"/>
  <c r="F748" i="17"/>
  <c r="G748" i="17"/>
  <c r="E749" i="17"/>
  <c r="F749" i="17"/>
  <c r="G749" i="17"/>
  <c r="E750" i="17"/>
  <c r="F750" i="17"/>
  <c r="G750" i="17"/>
  <c r="E751" i="17"/>
  <c r="F751" i="17"/>
  <c r="G751" i="17"/>
  <c r="E752" i="17"/>
  <c r="F752" i="17"/>
  <c r="G752" i="17"/>
  <c r="E753" i="17"/>
  <c r="F753" i="17"/>
  <c r="G753" i="17"/>
  <c r="E754" i="17"/>
  <c r="F754" i="17"/>
  <c r="G754" i="17"/>
  <c r="E755" i="17"/>
  <c r="F755" i="17"/>
  <c r="G755" i="17"/>
  <c r="E875" i="17"/>
  <c r="E885" i="17"/>
  <c r="E884" i="17"/>
  <c r="E883" i="17"/>
  <c r="E882" i="17"/>
  <c r="E881" i="17"/>
  <c r="E880" i="17"/>
  <c r="E879" i="17"/>
  <c r="E878" i="17"/>
  <c r="E877" i="17"/>
  <c r="E876" i="17"/>
  <c r="E874" i="17"/>
  <c r="E873" i="17"/>
  <c r="E872" i="17"/>
  <c r="E871" i="17"/>
  <c r="I885" i="17"/>
  <c r="L885" i="17"/>
  <c r="C701" i="33"/>
  <c r="C702" i="33"/>
  <c r="C703" i="33"/>
  <c r="C704" i="33"/>
  <c r="C705" i="33"/>
  <c r="C706" i="33"/>
  <c r="C707" i="33"/>
  <c r="C708" i="33"/>
  <c r="F701" i="33"/>
  <c r="F702" i="33"/>
  <c r="F703" i="33"/>
  <c r="F704" i="33"/>
  <c r="F705" i="33"/>
  <c r="F706" i="33"/>
  <c r="F707" i="33"/>
  <c r="F708" i="33"/>
  <c r="G701" i="33"/>
  <c r="G702" i="33"/>
  <c r="G703" i="33"/>
  <c r="G704" i="33"/>
  <c r="G705" i="33"/>
  <c r="G706" i="33"/>
  <c r="G707" i="33"/>
  <c r="G708" i="33"/>
  <c r="J701" i="33"/>
  <c r="J702" i="33"/>
  <c r="J703" i="33"/>
  <c r="J704" i="33"/>
  <c r="J705" i="33"/>
  <c r="J706" i="33"/>
  <c r="J707" i="33"/>
  <c r="J708" i="33"/>
  <c r="K701" i="33"/>
  <c r="K702" i="33"/>
  <c r="K703" i="33"/>
  <c r="K704" i="33"/>
  <c r="K705" i="33"/>
  <c r="K706" i="33"/>
  <c r="K707" i="33"/>
  <c r="K708" i="33"/>
  <c r="L701" i="33"/>
  <c r="L702" i="33"/>
  <c r="L703" i="33"/>
  <c r="L704" i="33"/>
  <c r="L705" i="33"/>
  <c r="L706" i="33"/>
  <c r="L707" i="33"/>
  <c r="L708" i="33"/>
  <c r="M701" i="33"/>
  <c r="M702" i="33"/>
  <c r="M703" i="33"/>
  <c r="M704" i="33"/>
  <c r="M705" i="33"/>
  <c r="M706" i="33"/>
  <c r="M707" i="33"/>
  <c r="M708" i="33"/>
  <c r="N701" i="33"/>
  <c r="N702" i="33"/>
  <c r="N703" i="33"/>
  <c r="N704" i="33"/>
  <c r="N705" i="33"/>
  <c r="N706" i="33"/>
  <c r="N707" i="33"/>
  <c r="N708" i="33"/>
  <c r="O701" i="33"/>
  <c r="O702" i="33"/>
  <c r="O703" i="33"/>
  <c r="O704" i="33"/>
  <c r="O705" i="33"/>
  <c r="O706" i="33"/>
  <c r="O707" i="33"/>
  <c r="O708" i="33"/>
  <c r="P701" i="33"/>
  <c r="P702" i="33"/>
  <c r="P703" i="33"/>
  <c r="P704" i="33"/>
  <c r="P705" i="33"/>
  <c r="P706" i="33"/>
  <c r="P707" i="33"/>
  <c r="P708" i="33"/>
  <c r="Q701" i="33"/>
  <c r="Q702" i="33"/>
  <c r="Q703" i="33"/>
  <c r="Q704" i="33"/>
  <c r="Q705" i="33"/>
  <c r="Q706" i="33"/>
  <c r="Q707" i="33"/>
  <c r="Q708" i="33"/>
  <c r="R701" i="33"/>
  <c r="R702" i="33"/>
  <c r="R703" i="33"/>
  <c r="R704" i="33"/>
  <c r="R705" i="33"/>
  <c r="R706" i="33"/>
  <c r="R707" i="33"/>
  <c r="R708" i="33"/>
  <c r="C700" i="33"/>
  <c r="F700" i="33"/>
  <c r="G700" i="33"/>
  <c r="J700" i="33"/>
  <c r="K700" i="33"/>
  <c r="L700" i="33"/>
  <c r="M700" i="33"/>
  <c r="N700" i="33"/>
  <c r="O700" i="33"/>
  <c r="P700" i="33"/>
  <c r="Q700" i="33"/>
  <c r="R700" i="33"/>
  <c r="E861" i="17"/>
  <c r="E862" i="17"/>
  <c r="E863" i="17"/>
  <c r="E864" i="17"/>
  <c r="E865" i="17"/>
  <c r="E866" i="17"/>
  <c r="E867" i="17"/>
  <c r="E868" i="17"/>
  <c r="E869" i="17"/>
  <c r="E870" i="17"/>
  <c r="I870" i="17"/>
  <c r="L870" i="17"/>
  <c r="C694" i="33"/>
  <c r="C695" i="33"/>
  <c r="C696" i="33"/>
  <c r="C697" i="33"/>
  <c r="C698" i="33"/>
  <c r="C699" i="33"/>
  <c r="F694" i="33"/>
  <c r="F695" i="33"/>
  <c r="F696" i="33"/>
  <c r="F697" i="33"/>
  <c r="F698" i="33"/>
  <c r="F699" i="33"/>
  <c r="G694" i="33"/>
  <c r="G695" i="33"/>
  <c r="G696" i="33"/>
  <c r="G697" i="33"/>
  <c r="G698" i="33"/>
  <c r="G699" i="33"/>
  <c r="J694" i="33"/>
  <c r="J695" i="33"/>
  <c r="J696" i="33"/>
  <c r="J697" i="33"/>
  <c r="J698" i="33"/>
  <c r="J699" i="33"/>
  <c r="K694" i="33"/>
  <c r="K695" i="33"/>
  <c r="K696" i="33"/>
  <c r="K697" i="33"/>
  <c r="K698" i="33"/>
  <c r="K699" i="33"/>
  <c r="L694" i="33"/>
  <c r="L695" i="33"/>
  <c r="L696" i="33"/>
  <c r="L697" i="33"/>
  <c r="L698" i="33"/>
  <c r="L699" i="33"/>
  <c r="M694" i="33"/>
  <c r="M695" i="33"/>
  <c r="M696" i="33"/>
  <c r="M697" i="33"/>
  <c r="M698" i="33"/>
  <c r="M699" i="33"/>
  <c r="N694" i="33"/>
  <c r="N695" i="33"/>
  <c r="N696" i="33"/>
  <c r="N697" i="33"/>
  <c r="N698" i="33"/>
  <c r="N699" i="33"/>
  <c r="O694" i="33"/>
  <c r="O695" i="33"/>
  <c r="O696" i="33"/>
  <c r="O697" i="33"/>
  <c r="O698" i="33"/>
  <c r="O699" i="33"/>
  <c r="P694" i="33"/>
  <c r="P695" i="33"/>
  <c r="P696" i="33"/>
  <c r="P697" i="33"/>
  <c r="P698" i="33"/>
  <c r="P699" i="33"/>
  <c r="Q694" i="33"/>
  <c r="Q695" i="33"/>
  <c r="Q696" i="33"/>
  <c r="Q697" i="33"/>
  <c r="Q698" i="33"/>
  <c r="Q699" i="33"/>
  <c r="R694" i="33"/>
  <c r="R695" i="33"/>
  <c r="R696" i="33"/>
  <c r="R697" i="33"/>
  <c r="R698" i="33"/>
  <c r="R699" i="33"/>
  <c r="C693" i="33"/>
  <c r="F693" i="33"/>
  <c r="G693" i="33"/>
  <c r="J693" i="33"/>
  <c r="K693" i="33"/>
  <c r="L693" i="33"/>
  <c r="M693" i="33"/>
  <c r="N693" i="33"/>
  <c r="O693" i="33"/>
  <c r="P693" i="33"/>
  <c r="Q693" i="33"/>
  <c r="R693" i="33"/>
  <c r="J1075" i="17"/>
  <c r="I1075" i="17"/>
  <c r="K1071" i="17"/>
  <c r="K1074" i="17"/>
  <c r="K1073" i="17"/>
  <c r="K1072" i="17"/>
  <c r="K1075" i="17"/>
  <c r="E860" i="17"/>
  <c r="E859" i="17"/>
  <c r="E858" i="17"/>
  <c r="E857" i="17"/>
  <c r="E856" i="17"/>
  <c r="E855" i="17"/>
  <c r="E854" i="17"/>
  <c r="E853" i="17"/>
  <c r="E852" i="17"/>
  <c r="E851" i="17"/>
  <c r="C1074" i="17"/>
  <c r="I860" i="17"/>
  <c r="L860" i="17"/>
  <c r="C687" i="33"/>
  <c r="C688" i="33"/>
  <c r="C689" i="33"/>
  <c r="C690" i="33"/>
  <c r="C691" i="33"/>
  <c r="C692" i="33"/>
  <c r="F687" i="33"/>
  <c r="F688" i="33"/>
  <c r="F689" i="33"/>
  <c r="F690" i="33"/>
  <c r="F691" i="33"/>
  <c r="F692" i="33"/>
  <c r="G687" i="33"/>
  <c r="G688" i="33"/>
  <c r="G689" i="33"/>
  <c r="G690" i="33"/>
  <c r="G691" i="33"/>
  <c r="G692" i="33"/>
  <c r="J687" i="33"/>
  <c r="J688" i="33"/>
  <c r="J689" i="33"/>
  <c r="J690" i="33"/>
  <c r="J691" i="33"/>
  <c r="J692" i="33"/>
  <c r="K687" i="33"/>
  <c r="K688" i="33"/>
  <c r="K689" i="33"/>
  <c r="K690" i="33"/>
  <c r="K691" i="33"/>
  <c r="K692" i="33"/>
  <c r="L687" i="33"/>
  <c r="L688" i="33"/>
  <c r="L689" i="33"/>
  <c r="L690" i="33"/>
  <c r="L691" i="33"/>
  <c r="L692" i="33"/>
  <c r="M687" i="33"/>
  <c r="M688" i="33"/>
  <c r="M689" i="33"/>
  <c r="M690" i="33"/>
  <c r="M691" i="33"/>
  <c r="M692" i="33"/>
  <c r="N687" i="33"/>
  <c r="N688" i="33"/>
  <c r="N689" i="33"/>
  <c r="N690" i="33"/>
  <c r="N691" i="33"/>
  <c r="N692" i="33"/>
  <c r="O687" i="33"/>
  <c r="O688" i="33"/>
  <c r="O689" i="33"/>
  <c r="O690" i="33"/>
  <c r="O691" i="33"/>
  <c r="O692" i="33"/>
  <c r="P687" i="33"/>
  <c r="P688" i="33"/>
  <c r="P689" i="33"/>
  <c r="P690" i="33"/>
  <c r="P691" i="33"/>
  <c r="P692" i="33"/>
  <c r="Q687" i="33"/>
  <c r="Q688" i="33"/>
  <c r="Q689" i="33"/>
  <c r="Q690" i="33"/>
  <c r="Q691" i="33"/>
  <c r="Q692" i="33"/>
  <c r="R687" i="33"/>
  <c r="R688" i="33"/>
  <c r="R689" i="33"/>
  <c r="R690" i="33"/>
  <c r="R691" i="33"/>
  <c r="R692" i="33"/>
  <c r="C686" i="33"/>
  <c r="F686" i="33"/>
  <c r="G686" i="33"/>
  <c r="J686" i="33"/>
  <c r="K686" i="33"/>
  <c r="L686" i="33"/>
  <c r="M686" i="33"/>
  <c r="N686" i="33"/>
  <c r="O686" i="33"/>
  <c r="P686" i="33"/>
  <c r="Q686" i="33"/>
  <c r="R686" i="33"/>
  <c r="F684" i="33"/>
  <c r="F685" i="33"/>
  <c r="D825" i="33"/>
  <c r="L684" i="33"/>
  <c r="L685" i="33"/>
  <c r="E843" i="17"/>
  <c r="E844" i="17"/>
  <c r="E845" i="17"/>
  <c r="E846" i="17"/>
  <c r="E847" i="17"/>
  <c r="E848" i="17"/>
  <c r="E849" i="17"/>
  <c r="E850" i="17"/>
  <c r="I850" i="17"/>
  <c r="L850" i="17"/>
  <c r="C681" i="33"/>
  <c r="C682" i="33"/>
  <c r="C683" i="33"/>
  <c r="C684" i="33"/>
  <c r="C685" i="33"/>
  <c r="F681" i="33"/>
  <c r="F682" i="33"/>
  <c r="F683" i="33"/>
  <c r="G681" i="33"/>
  <c r="G682" i="33"/>
  <c r="G683" i="33"/>
  <c r="G684" i="33"/>
  <c r="G685" i="33"/>
  <c r="J681" i="33"/>
  <c r="J682" i="33"/>
  <c r="J683" i="33"/>
  <c r="J684" i="33"/>
  <c r="J685" i="33"/>
  <c r="K681" i="33"/>
  <c r="K682" i="33"/>
  <c r="K683" i="33"/>
  <c r="K684" i="33"/>
  <c r="M684" i="33"/>
  <c r="K685" i="33"/>
  <c r="M685" i="33"/>
  <c r="L681" i="33"/>
  <c r="L682" i="33"/>
  <c r="L683" i="33"/>
  <c r="M681" i="33"/>
  <c r="M682" i="33"/>
  <c r="M683" i="33"/>
  <c r="N681" i="33"/>
  <c r="N682" i="33"/>
  <c r="N683" i="33"/>
  <c r="N684" i="33"/>
  <c r="N685" i="33"/>
  <c r="O681" i="33"/>
  <c r="O682" i="33"/>
  <c r="O683" i="33"/>
  <c r="O684" i="33"/>
  <c r="O685" i="33"/>
  <c r="P681" i="33"/>
  <c r="P682" i="33"/>
  <c r="P683" i="33"/>
  <c r="P684" i="33"/>
  <c r="P685" i="33"/>
  <c r="Q681" i="33"/>
  <c r="Q682" i="33"/>
  <c r="Q683" i="33"/>
  <c r="Q684" i="33"/>
  <c r="Q685" i="33"/>
  <c r="R681" i="33"/>
  <c r="R682" i="33"/>
  <c r="R683" i="33"/>
  <c r="R684" i="33"/>
  <c r="R685" i="33"/>
  <c r="C680" i="33"/>
  <c r="F680" i="33"/>
  <c r="G680" i="33"/>
  <c r="J680" i="33"/>
  <c r="K680" i="33"/>
  <c r="L680" i="33"/>
  <c r="M680" i="33"/>
  <c r="N680" i="33"/>
  <c r="O680" i="33"/>
  <c r="P680" i="33"/>
  <c r="Q680" i="33"/>
  <c r="R680" i="33"/>
  <c r="E839" i="17"/>
  <c r="E840" i="17"/>
  <c r="E841" i="17"/>
  <c r="E842" i="17"/>
  <c r="E838" i="17"/>
  <c r="E837" i="17"/>
  <c r="E836" i="17"/>
  <c r="E835" i="17"/>
  <c r="E834" i="17"/>
  <c r="E833" i="17"/>
  <c r="E832" i="17"/>
  <c r="E831" i="17"/>
  <c r="E830" i="17"/>
  <c r="E829" i="17"/>
  <c r="I842" i="17"/>
  <c r="L842" i="17"/>
  <c r="C675" i="33"/>
  <c r="C676" i="33"/>
  <c r="C677" i="33"/>
  <c r="C678" i="33"/>
  <c r="C679" i="33"/>
  <c r="F675" i="33"/>
  <c r="F676" i="33"/>
  <c r="F677" i="33"/>
  <c r="F678" i="33"/>
  <c r="F679" i="33"/>
  <c r="G675" i="33"/>
  <c r="G676" i="33"/>
  <c r="G677" i="33"/>
  <c r="G678" i="33"/>
  <c r="G679" i="33"/>
  <c r="J675" i="33"/>
  <c r="J676" i="33"/>
  <c r="J677" i="33"/>
  <c r="J678" i="33"/>
  <c r="J679" i="33"/>
  <c r="K675" i="33"/>
  <c r="K676" i="33"/>
  <c r="K677" i="33"/>
  <c r="K678" i="33"/>
  <c r="K679" i="33"/>
  <c r="L675" i="33"/>
  <c r="L676" i="33"/>
  <c r="L677" i="33"/>
  <c r="L678" i="33"/>
  <c r="L679" i="33"/>
  <c r="M675" i="33"/>
  <c r="M676" i="33"/>
  <c r="M677" i="33"/>
  <c r="M678" i="33"/>
  <c r="M679" i="33"/>
  <c r="N675" i="33"/>
  <c r="N676" i="33"/>
  <c r="N677" i="33"/>
  <c r="N678" i="33"/>
  <c r="N679" i="33"/>
  <c r="O675" i="33"/>
  <c r="O676" i="33"/>
  <c r="O677" i="33"/>
  <c r="O678" i="33"/>
  <c r="O679" i="33"/>
  <c r="P675" i="33"/>
  <c r="P676" i="33"/>
  <c r="P677" i="33"/>
  <c r="P678" i="33"/>
  <c r="P679" i="33"/>
  <c r="Q675" i="33"/>
  <c r="Q676" i="33"/>
  <c r="Q677" i="33"/>
  <c r="Q678" i="33"/>
  <c r="Q679" i="33"/>
  <c r="R675" i="33"/>
  <c r="R676" i="33"/>
  <c r="R677" i="33"/>
  <c r="R678" i="33"/>
  <c r="R679" i="33"/>
  <c r="C674" i="33"/>
  <c r="F674" i="33"/>
  <c r="G674" i="33"/>
  <c r="J674" i="33"/>
  <c r="K674" i="33"/>
  <c r="L674" i="33"/>
  <c r="M674" i="33"/>
  <c r="N674" i="33"/>
  <c r="O674" i="33"/>
  <c r="P674" i="33"/>
  <c r="Q674" i="33"/>
  <c r="R674" i="33"/>
  <c r="E828" i="17"/>
  <c r="E827" i="17"/>
  <c r="E826" i="17"/>
  <c r="E825" i="17"/>
  <c r="E824" i="17"/>
  <c r="E823" i="17"/>
  <c r="E822" i="17"/>
  <c r="I828" i="17"/>
  <c r="L828" i="17"/>
  <c r="C667" i="33"/>
  <c r="C668" i="33"/>
  <c r="C669" i="33"/>
  <c r="C670" i="33"/>
  <c r="C671" i="33"/>
  <c r="C672" i="33"/>
  <c r="C673" i="33"/>
  <c r="F667" i="33"/>
  <c r="F668" i="33"/>
  <c r="F669" i="33"/>
  <c r="F670" i="33"/>
  <c r="F671" i="33"/>
  <c r="F672" i="33"/>
  <c r="F673" i="33"/>
  <c r="G667" i="33"/>
  <c r="G668" i="33"/>
  <c r="G669" i="33"/>
  <c r="G670" i="33"/>
  <c r="G671" i="33"/>
  <c r="G672" i="33"/>
  <c r="G673" i="33"/>
  <c r="J667" i="33"/>
  <c r="J668" i="33"/>
  <c r="J669" i="33"/>
  <c r="J670" i="33"/>
  <c r="J671" i="33"/>
  <c r="J672" i="33"/>
  <c r="J673" i="33"/>
  <c r="K667" i="33"/>
  <c r="K668" i="33"/>
  <c r="K669" i="33"/>
  <c r="K670" i="33"/>
  <c r="K671" i="33"/>
  <c r="K672" i="33"/>
  <c r="K673" i="33"/>
  <c r="L667" i="33"/>
  <c r="L668" i="33"/>
  <c r="L669" i="33"/>
  <c r="L670" i="33"/>
  <c r="L671" i="33"/>
  <c r="L672" i="33"/>
  <c r="L673" i="33"/>
  <c r="M667" i="33"/>
  <c r="M668" i="33"/>
  <c r="M669" i="33"/>
  <c r="M670" i="33"/>
  <c r="M671" i="33"/>
  <c r="M672" i="33"/>
  <c r="M673" i="33"/>
  <c r="N667" i="33"/>
  <c r="N668" i="33"/>
  <c r="N669" i="33"/>
  <c r="N670" i="33"/>
  <c r="N671" i="33"/>
  <c r="N672" i="33"/>
  <c r="N673" i="33"/>
  <c r="O667" i="33"/>
  <c r="O668" i="33"/>
  <c r="O669" i="33"/>
  <c r="O670" i="33"/>
  <c r="O671" i="33"/>
  <c r="O672" i="33"/>
  <c r="O673" i="33"/>
  <c r="P667" i="33"/>
  <c r="P668" i="33"/>
  <c r="P669" i="33"/>
  <c r="P670" i="33"/>
  <c r="P671" i="33"/>
  <c r="P672" i="33"/>
  <c r="P673" i="33"/>
  <c r="Q667" i="33"/>
  <c r="Q668" i="33"/>
  <c r="Q669" i="33"/>
  <c r="Q670" i="33"/>
  <c r="Q671" i="33"/>
  <c r="Q672" i="33"/>
  <c r="Q673" i="33"/>
  <c r="R667" i="33"/>
  <c r="R668" i="33"/>
  <c r="R669" i="33"/>
  <c r="R670" i="33"/>
  <c r="R671" i="33"/>
  <c r="R672" i="33"/>
  <c r="R673" i="33"/>
  <c r="C666" i="33"/>
  <c r="F666" i="33"/>
  <c r="G666" i="33"/>
  <c r="J666" i="33"/>
  <c r="K666" i="33"/>
  <c r="L666" i="33"/>
  <c r="M666" i="33"/>
  <c r="N666" i="33"/>
  <c r="O666" i="33"/>
  <c r="P666" i="33"/>
  <c r="Q666" i="33"/>
  <c r="R666" i="33"/>
  <c r="E821" i="17"/>
  <c r="E820" i="17"/>
  <c r="E819" i="17"/>
  <c r="E818" i="17"/>
  <c r="E817" i="17"/>
  <c r="E816" i="17"/>
  <c r="E815" i="17"/>
  <c r="E814" i="17"/>
  <c r="E813" i="17"/>
  <c r="I821" i="17"/>
  <c r="L821" i="17"/>
  <c r="C659" i="33"/>
  <c r="C660" i="33"/>
  <c r="C661" i="33"/>
  <c r="C662" i="33"/>
  <c r="C663" i="33"/>
  <c r="C664" i="33"/>
  <c r="C665" i="33"/>
  <c r="F659" i="33"/>
  <c r="F660" i="33"/>
  <c r="F661" i="33"/>
  <c r="F662" i="33"/>
  <c r="F663" i="33"/>
  <c r="F664" i="33"/>
  <c r="F665" i="33"/>
  <c r="G659" i="33"/>
  <c r="G660" i="33"/>
  <c r="G661" i="33"/>
  <c r="G662" i="33"/>
  <c r="G663" i="33"/>
  <c r="G664" i="33"/>
  <c r="G665" i="33"/>
  <c r="J659" i="33"/>
  <c r="J660" i="33"/>
  <c r="J661" i="33"/>
  <c r="J662" i="33"/>
  <c r="J663" i="33"/>
  <c r="J664" i="33"/>
  <c r="J665" i="33"/>
  <c r="K659" i="33"/>
  <c r="K660" i="33"/>
  <c r="K661" i="33"/>
  <c r="K662" i="33"/>
  <c r="K663" i="33"/>
  <c r="K664" i="33"/>
  <c r="K665" i="33"/>
  <c r="L659" i="33"/>
  <c r="L660" i="33"/>
  <c r="L661" i="33"/>
  <c r="L662" i="33"/>
  <c r="L663" i="33"/>
  <c r="L664" i="33"/>
  <c r="L665" i="33"/>
  <c r="M659" i="33"/>
  <c r="M660" i="33"/>
  <c r="M661" i="33"/>
  <c r="M662" i="33"/>
  <c r="M663" i="33"/>
  <c r="M664" i="33"/>
  <c r="M665" i="33"/>
  <c r="N659" i="33"/>
  <c r="N660" i="33"/>
  <c r="N661" i="33"/>
  <c r="N662" i="33"/>
  <c r="N663" i="33"/>
  <c r="N664" i="33"/>
  <c r="N665" i="33"/>
  <c r="O659" i="33"/>
  <c r="O660" i="33"/>
  <c r="O661" i="33"/>
  <c r="O662" i="33"/>
  <c r="O663" i="33"/>
  <c r="O664" i="33"/>
  <c r="O665" i="33"/>
  <c r="P659" i="33"/>
  <c r="P660" i="33"/>
  <c r="P661" i="33"/>
  <c r="P662" i="33"/>
  <c r="P663" i="33"/>
  <c r="P664" i="33"/>
  <c r="P665" i="33"/>
  <c r="Q659" i="33"/>
  <c r="Q660" i="33"/>
  <c r="Q661" i="33"/>
  <c r="Q662" i="33"/>
  <c r="Q663" i="33"/>
  <c r="Q664" i="33"/>
  <c r="Q665" i="33"/>
  <c r="R659" i="33"/>
  <c r="R660" i="33"/>
  <c r="R661" i="33"/>
  <c r="R662" i="33"/>
  <c r="R663" i="33"/>
  <c r="R664" i="33"/>
  <c r="R665" i="33"/>
  <c r="C658" i="33"/>
  <c r="F658" i="33"/>
  <c r="G658" i="33"/>
  <c r="J658" i="33"/>
  <c r="K658" i="33"/>
  <c r="L658" i="33"/>
  <c r="M658" i="33"/>
  <c r="N658" i="33"/>
  <c r="O658" i="33"/>
  <c r="P658" i="33"/>
  <c r="Q658" i="33"/>
  <c r="R658" i="33"/>
  <c r="E812" i="17"/>
  <c r="E811" i="17"/>
  <c r="E810" i="17"/>
  <c r="E809" i="17"/>
  <c r="E808" i="17"/>
  <c r="C652" i="33"/>
  <c r="C653" i="33"/>
  <c r="C654" i="33"/>
  <c r="C655" i="33"/>
  <c r="C656" i="33"/>
  <c r="C657" i="33"/>
  <c r="F652" i="33"/>
  <c r="F653" i="33"/>
  <c r="F654" i="33"/>
  <c r="F655" i="33"/>
  <c r="F656" i="33"/>
  <c r="F657" i="33"/>
  <c r="G652" i="33"/>
  <c r="G653" i="33"/>
  <c r="G654" i="33"/>
  <c r="G655" i="33"/>
  <c r="G656" i="33"/>
  <c r="G657" i="33"/>
  <c r="J652" i="33"/>
  <c r="J653" i="33"/>
  <c r="J654" i="33"/>
  <c r="J655" i="33"/>
  <c r="J656" i="33"/>
  <c r="J657" i="33"/>
  <c r="K652" i="33"/>
  <c r="K653" i="33"/>
  <c r="K654" i="33"/>
  <c r="K655" i="33"/>
  <c r="K656" i="33"/>
  <c r="K657" i="33"/>
  <c r="L652" i="33"/>
  <c r="L653" i="33"/>
  <c r="L654" i="33"/>
  <c r="L655" i="33"/>
  <c r="L656" i="33"/>
  <c r="L657" i="33"/>
  <c r="M652" i="33"/>
  <c r="M653" i="33"/>
  <c r="M654" i="33"/>
  <c r="M655" i="33"/>
  <c r="M656" i="33"/>
  <c r="M657" i="33"/>
  <c r="N652" i="33"/>
  <c r="N653" i="33"/>
  <c r="N654" i="33"/>
  <c r="N655" i="33"/>
  <c r="N656" i="33"/>
  <c r="N657" i="33"/>
  <c r="O652" i="33"/>
  <c r="O653" i="33"/>
  <c r="O654" i="33"/>
  <c r="O655" i="33"/>
  <c r="O656" i="33"/>
  <c r="O657" i="33"/>
  <c r="P652" i="33"/>
  <c r="P653" i="33"/>
  <c r="P654" i="33"/>
  <c r="P655" i="33"/>
  <c r="P656" i="33"/>
  <c r="P657" i="33"/>
  <c r="Q652" i="33"/>
  <c r="Q653" i="33"/>
  <c r="Q654" i="33"/>
  <c r="Q655" i="33"/>
  <c r="Q656" i="33"/>
  <c r="Q657" i="33"/>
  <c r="R652" i="33"/>
  <c r="R653" i="33"/>
  <c r="R654" i="33"/>
  <c r="R655" i="33"/>
  <c r="R656" i="33"/>
  <c r="R657" i="33"/>
  <c r="C651" i="33"/>
  <c r="F651" i="33"/>
  <c r="G651" i="33"/>
  <c r="J651" i="33"/>
  <c r="K651" i="33"/>
  <c r="L651" i="33"/>
  <c r="M651" i="33"/>
  <c r="N651" i="33"/>
  <c r="O651" i="33"/>
  <c r="P651" i="33"/>
  <c r="Q651" i="33"/>
  <c r="R651" i="33"/>
  <c r="I812" i="17"/>
  <c r="L812" i="17"/>
  <c r="C1066" i="17"/>
  <c r="E807" i="17"/>
  <c r="E806" i="17"/>
  <c r="E805" i="17"/>
  <c r="E804" i="17"/>
  <c r="E803" i="17"/>
  <c r="I807" i="17"/>
  <c r="L807" i="17"/>
  <c r="C645" i="33"/>
  <c r="C646" i="33"/>
  <c r="C647" i="33"/>
  <c r="C648" i="33"/>
  <c r="C649" i="33"/>
  <c r="C650" i="33"/>
  <c r="F645" i="33"/>
  <c r="F646" i="33"/>
  <c r="F647" i="33"/>
  <c r="F648" i="33"/>
  <c r="F649" i="33"/>
  <c r="F650" i="33"/>
  <c r="G645" i="33"/>
  <c r="G646" i="33"/>
  <c r="G647" i="33"/>
  <c r="G648" i="33"/>
  <c r="G649" i="33"/>
  <c r="G650" i="33"/>
  <c r="J645" i="33"/>
  <c r="J646" i="33"/>
  <c r="J647" i="33"/>
  <c r="J648" i="33"/>
  <c r="J649" i="33"/>
  <c r="J650" i="33"/>
  <c r="K645" i="33"/>
  <c r="K646" i="33"/>
  <c r="K647" i="33"/>
  <c r="K648" i="33"/>
  <c r="K649" i="33"/>
  <c r="K650" i="33"/>
  <c r="L645" i="33"/>
  <c r="L646" i="33"/>
  <c r="L647" i="33"/>
  <c r="L648" i="33"/>
  <c r="L649" i="33"/>
  <c r="L650" i="33"/>
  <c r="M645" i="33"/>
  <c r="M646" i="33"/>
  <c r="M647" i="33"/>
  <c r="M648" i="33"/>
  <c r="M649" i="33"/>
  <c r="M650" i="33"/>
  <c r="N645" i="33"/>
  <c r="N646" i="33"/>
  <c r="N647" i="33"/>
  <c r="N648" i="33"/>
  <c r="N649" i="33"/>
  <c r="N650" i="33"/>
  <c r="O645" i="33"/>
  <c r="O646" i="33"/>
  <c r="O647" i="33"/>
  <c r="O648" i="33"/>
  <c r="O649" i="33"/>
  <c r="O650" i="33"/>
  <c r="P645" i="33"/>
  <c r="P646" i="33"/>
  <c r="P647" i="33"/>
  <c r="P648" i="33"/>
  <c r="P649" i="33"/>
  <c r="P650" i="33"/>
  <c r="Q645" i="33"/>
  <c r="Q646" i="33"/>
  <c r="Q647" i="33"/>
  <c r="Q648" i="33"/>
  <c r="Q649" i="33"/>
  <c r="Q650" i="33"/>
  <c r="R645" i="33"/>
  <c r="R646" i="33"/>
  <c r="R647" i="33"/>
  <c r="R648" i="33"/>
  <c r="R649" i="33"/>
  <c r="R650" i="33"/>
  <c r="C644" i="33"/>
  <c r="F644" i="33"/>
  <c r="G644" i="33"/>
  <c r="J644" i="33"/>
  <c r="K644" i="33"/>
  <c r="L644" i="33"/>
  <c r="M644" i="33"/>
  <c r="N644" i="33"/>
  <c r="O644" i="33"/>
  <c r="P644" i="33"/>
  <c r="Q644" i="33"/>
  <c r="R644" i="33"/>
  <c r="E802" i="17"/>
  <c r="E801" i="17"/>
  <c r="E800" i="17"/>
  <c r="E799" i="17"/>
  <c r="E798" i="17"/>
  <c r="E797" i="17"/>
  <c r="E796" i="17"/>
  <c r="E795" i="17"/>
  <c r="E794" i="17"/>
  <c r="C1073" i="17"/>
  <c r="C636" i="33"/>
  <c r="C637" i="33"/>
  <c r="C638" i="33"/>
  <c r="C639" i="33"/>
  <c r="C640" i="33"/>
  <c r="C641" i="33"/>
  <c r="C642" i="33"/>
  <c r="C643" i="33"/>
  <c r="F636" i="33"/>
  <c r="F637" i="33"/>
  <c r="F638" i="33"/>
  <c r="F639" i="33"/>
  <c r="F640" i="33"/>
  <c r="F641" i="33"/>
  <c r="F642" i="33"/>
  <c r="F643" i="33"/>
  <c r="G636" i="33"/>
  <c r="G637" i="33"/>
  <c r="G638" i="33"/>
  <c r="G639" i="33"/>
  <c r="G640" i="33"/>
  <c r="G641" i="33"/>
  <c r="G642" i="33"/>
  <c r="G643" i="33"/>
  <c r="J636" i="33"/>
  <c r="J637" i="33"/>
  <c r="J638" i="33"/>
  <c r="J639" i="33"/>
  <c r="J640" i="33"/>
  <c r="J641" i="33"/>
  <c r="J642" i="33"/>
  <c r="J643" i="33"/>
  <c r="K636" i="33"/>
  <c r="K637" i="33"/>
  <c r="K638" i="33"/>
  <c r="K639" i="33"/>
  <c r="K640" i="33"/>
  <c r="K641" i="33"/>
  <c r="K642" i="33"/>
  <c r="K643" i="33"/>
  <c r="L636" i="33"/>
  <c r="L637" i="33"/>
  <c r="L638" i="33"/>
  <c r="L639" i="33"/>
  <c r="L640" i="33"/>
  <c r="L641" i="33"/>
  <c r="L642" i="33"/>
  <c r="L643" i="33"/>
  <c r="M636" i="33"/>
  <c r="M637" i="33"/>
  <c r="M638" i="33"/>
  <c r="M639" i="33"/>
  <c r="M640" i="33"/>
  <c r="M641" i="33"/>
  <c r="M642" i="33"/>
  <c r="M643" i="33"/>
  <c r="N636" i="33"/>
  <c r="N637" i="33"/>
  <c r="N638" i="33"/>
  <c r="N639" i="33"/>
  <c r="N640" i="33"/>
  <c r="N641" i="33"/>
  <c r="N642" i="33"/>
  <c r="N643" i="33"/>
  <c r="O636" i="33"/>
  <c r="O637" i="33"/>
  <c r="O638" i="33"/>
  <c r="O639" i="33"/>
  <c r="O640" i="33"/>
  <c r="O641" i="33"/>
  <c r="O642" i="33"/>
  <c r="O643" i="33"/>
  <c r="P636" i="33"/>
  <c r="P637" i="33"/>
  <c r="P638" i="33"/>
  <c r="P639" i="33"/>
  <c r="P640" i="33"/>
  <c r="P641" i="33"/>
  <c r="P642" i="33"/>
  <c r="P643" i="33"/>
  <c r="Q636" i="33"/>
  <c r="Q637" i="33"/>
  <c r="Q638" i="33"/>
  <c r="Q639" i="33"/>
  <c r="Q640" i="33"/>
  <c r="Q641" i="33"/>
  <c r="Q642" i="33"/>
  <c r="Q643" i="33"/>
  <c r="R636" i="33"/>
  <c r="R637" i="33"/>
  <c r="R638" i="33"/>
  <c r="R639" i="33"/>
  <c r="R640" i="33"/>
  <c r="R641" i="33"/>
  <c r="R642" i="33"/>
  <c r="R643" i="33"/>
  <c r="C635" i="33"/>
  <c r="F635" i="33"/>
  <c r="G635" i="33"/>
  <c r="J635" i="33"/>
  <c r="K635" i="33"/>
  <c r="L635" i="33"/>
  <c r="M635" i="33"/>
  <c r="N635" i="33"/>
  <c r="O635" i="33"/>
  <c r="P635" i="33"/>
  <c r="Q635" i="33"/>
  <c r="R635" i="33"/>
  <c r="E793" i="17"/>
  <c r="E792" i="17"/>
  <c r="E791" i="17"/>
  <c r="E790" i="17"/>
  <c r="I793" i="17"/>
  <c r="L793" i="17"/>
  <c r="C630" i="33"/>
  <c r="C631" i="33"/>
  <c r="C632" i="33"/>
  <c r="C633" i="33"/>
  <c r="C634" i="33"/>
  <c r="F630" i="33"/>
  <c r="F631" i="33"/>
  <c r="F632" i="33"/>
  <c r="F633" i="33"/>
  <c r="F634" i="33"/>
  <c r="G630" i="33"/>
  <c r="G631" i="33"/>
  <c r="G632" i="33"/>
  <c r="G633" i="33"/>
  <c r="G634" i="33"/>
  <c r="J630" i="33"/>
  <c r="J631" i="33"/>
  <c r="J632" i="33"/>
  <c r="J633" i="33"/>
  <c r="J634" i="33"/>
  <c r="K630" i="33"/>
  <c r="K631" i="33"/>
  <c r="K632" i="33"/>
  <c r="K633" i="33"/>
  <c r="K634" i="33"/>
  <c r="L630" i="33"/>
  <c r="L631" i="33"/>
  <c r="L632" i="33"/>
  <c r="L633" i="33"/>
  <c r="L634" i="33"/>
  <c r="M630" i="33"/>
  <c r="M631" i="33"/>
  <c r="M632" i="33"/>
  <c r="M633" i="33"/>
  <c r="M634" i="33"/>
  <c r="N630" i="33"/>
  <c r="N631" i="33"/>
  <c r="N632" i="33"/>
  <c r="N633" i="33"/>
  <c r="N634" i="33"/>
  <c r="O630" i="33"/>
  <c r="O631" i="33"/>
  <c r="O632" i="33"/>
  <c r="O633" i="33"/>
  <c r="O634" i="33"/>
  <c r="P630" i="33"/>
  <c r="P631" i="33"/>
  <c r="P632" i="33"/>
  <c r="P633" i="33"/>
  <c r="P634" i="33"/>
  <c r="Q630" i="33"/>
  <c r="Q631" i="33"/>
  <c r="Q632" i="33"/>
  <c r="Q633" i="33"/>
  <c r="Q634" i="33"/>
  <c r="R630" i="33"/>
  <c r="R631" i="33"/>
  <c r="R632" i="33"/>
  <c r="R633" i="33"/>
  <c r="R634" i="33"/>
  <c r="C629" i="33"/>
  <c r="F629" i="33"/>
  <c r="G629" i="33"/>
  <c r="J629" i="33"/>
  <c r="K629" i="33"/>
  <c r="L629" i="33"/>
  <c r="M629" i="33"/>
  <c r="N629" i="33"/>
  <c r="O629" i="33"/>
  <c r="P629" i="33"/>
  <c r="Q629" i="33"/>
  <c r="R629" i="33"/>
  <c r="C621" i="33"/>
  <c r="C622" i="33"/>
  <c r="C623" i="33"/>
  <c r="C624" i="33"/>
  <c r="C625" i="33"/>
  <c r="C626" i="33"/>
  <c r="C627" i="33"/>
  <c r="C628" i="33"/>
  <c r="F621" i="33"/>
  <c r="F622" i="33"/>
  <c r="F623" i="33"/>
  <c r="F624" i="33"/>
  <c r="F625" i="33"/>
  <c r="F626" i="33"/>
  <c r="F627" i="33"/>
  <c r="F628" i="33"/>
  <c r="G621" i="33"/>
  <c r="G622" i="33"/>
  <c r="G623" i="33"/>
  <c r="G624" i="33"/>
  <c r="G625" i="33"/>
  <c r="G626" i="33"/>
  <c r="G627" i="33"/>
  <c r="G628" i="33"/>
  <c r="J621" i="33"/>
  <c r="J622" i="33"/>
  <c r="J623" i="33"/>
  <c r="J624" i="33"/>
  <c r="J625" i="33"/>
  <c r="J626" i="33"/>
  <c r="J627" i="33"/>
  <c r="J628" i="33"/>
  <c r="K621" i="33"/>
  <c r="K622" i="33"/>
  <c r="K623" i="33"/>
  <c r="K624" i="33"/>
  <c r="K625" i="33"/>
  <c r="K626" i="33"/>
  <c r="K627" i="33"/>
  <c r="K628" i="33"/>
  <c r="L621" i="33"/>
  <c r="L622" i="33"/>
  <c r="L623" i="33"/>
  <c r="L624" i="33"/>
  <c r="L625" i="33"/>
  <c r="L626" i="33"/>
  <c r="L627" i="33"/>
  <c r="L628" i="33"/>
  <c r="M621" i="33"/>
  <c r="M622" i="33"/>
  <c r="M623" i="33"/>
  <c r="M624" i="33"/>
  <c r="M625" i="33"/>
  <c r="M626" i="33"/>
  <c r="M627" i="33"/>
  <c r="M628" i="33"/>
  <c r="N621" i="33"/>
  <c r="N622" i="33"/>
  <c r="N623" i="33"/>
  <c r="N624" i="33"/>
  <c r="N625" i="33"/>
  <c r="N626" i="33"/>
  <c r="N627" i="33"/>
  <c r="N628" i="33"/>
  <c r="O621" i="33"/>
  <c r="O622" i="33"/>
  <c r="O623" i="33"/>
  <c r="O624" i="33"/>
  <c r="O625" i="33"/>
  <c r="O626" i="33"/>
  <c r="O627" i="33"/>
  <c r="O628" i="33"/>
  <c r="P621" i="33"/>
  <c r="P622" i="33"/>
  <c r="P623" i="33"/>
  <c r="P624" i="33"/>
  <c r="P625" i="33"/>
  <c r="P626" i="33"/>
  <c r="P627" i="33"/>
  <c r="P628" i="33"/>
  <c r="Q621" i="33"/>
  <c r="Q622" i="33"/>
  <c r="Q623" i="33"/>
  <c r="Q624" i="33"/>
  <c r="Q625" i="33"/>
  <c r="Q626" i="33"/>
  <c r="Q627" i="33"/>
  <c r="Q628" i="33"/>
  <c r="R621" i="33"/>
  <c r="R622" i="33"/>
  <c r="R623" i="33"/>
  <c r="R624" i="33"/>
  <c r="R625" i="33"/>
  <c r="R626" i="33"/>
  <c r="R627" i="33"/>
  <c r="R628" i="33"/>
  <c r="C620" i="33"/>
  <c r="F620" i="33"/>
  <c r="G620" i="33"/>
  <c r="J620" i="33"/>
  <c r="K620" i="33"/>
  <c r="L620" i="33"/>
  <c r="M620" i="33"/>
  <c r="N620" i="33"/>
  <c r="O620" i="33"/>
  <c r="P620" i="33"/>
  <c r="Q620" i="33"/>
  <c r="R620" i="33"/>
  <c r="E789" i="17"/>
  <c r="E788" i="17"/>
  <c r="E787" i="17"/>
  <c r="E786" i="17"/>
  <c r="E785" i="17"/>
  <c r="I789" i="17"/>
  <c r="L789" i="17"/>
  <c r="C615" i="33"/>
  <c r="C616" i="33"/>
  <c r="C617" i="33"/>
  <c r="C618" i="33"/>
  <c r="C619" i="33"/>
  <c r="F615" i="33"/>
  <c r="F616" i="33"/>
  <c r="F617" i="33"/>
  <c r="F618" i="33"/>
  <c r="F619" i="33"/>
  <c r="G615" i="33"/>
  <c r="G616" i="33"/>
  <c r="G617" i="33"/>
  <c r="G618" i="33"/>
  <c r="G619" i="33"/>
  <c r="J615" i="33"/>
  <c r="J616" i="33"/>
  <c r="J617" i="33"/>
  <c r="J618" i="33"/>
  <c r="J619" i="33"/>
  <c r="K615" i="33"/>
  <c r="K616" i="33"/>
  <c r="K617" i="33"/>
  <c r="K618" i="33"/>
  <c r="K619" i="33"/>
  <c r="L615" i="33"/>
  <c r="L616" i="33"/>
  <c r="L617" i="33"/>
  <c r="L618" i="33"/>
  <c r="L619" i="33"/>
  <c r="M615" i="33"/>
  <c r="M616" i="33"/>
  <c r="M617" i="33"/>
  <c r="M618" i="33"/>
  <c r="M619" i="33"/>
  <c r="N615" i="33"/>
  <c r="N616" i="33"/>
  <c r="N617" i="33"/>
  <c r="N618" i="33"/>
  <c r="N619" i="33"/>
  <c r="O615" i="33"/>
  <c r="O616" i="33"/>
  <c r="O617" i="33"/>
  <c r="O618" i="33"/>
  <c r="O619" i="33"/>
  <c r="P615" i="33"/>
  <c r="P616" i="33"/>
  <c r="P617" i="33"/>
  <c r="P618" i="33"/>
  <c r="P619" i="33"/>
  <c r="Q615" i="33"/>
  <c r="Q616" i="33"/>
  <c r="Q617" i="33"/>
  <c r="Q618" i="33"/>
  <c r="Q619" i="33"/>
  <c r="R615" i="33"/>
  <c r="R616" i="33"/>
  <c r="R617" i="33"/>
  <c r="R618" i="33"/>
  <c r="R619" i="33"/>
  <c r="C614" i="33"/>
  <c r="F614" i="33"/>
  <c r="G614" i="33"/>
  <c r="J614" i="33"/>
  <c r="K614" i="33"/>
  <c r="L614" i="33"/>
  <c r="M614" i="33"/>
  <c r="N614" i="33"/>
  <c r="O614" i="33"/>
  <c r="P614" i="33"/>
  <c r="Q614" i="33"/>
  <c r="R614" i="33"/>
  <c r="E775" i="17"/>
  <c r="E776" i="17"/>
  <c r="E777" i="17"/>
  <c r="E778" i="17"/>
  <c r="E779" i="17"/>
  <c r="E780" i="17"/>
  <c r="E781" i="17"/>
  <c r="E782" i="17"/>
  <c r="E783" i="17"/>
  <c r="E784" i="17"/>
  <c r="C613" i="33"/>
  <c r="F613" i="33"/>
  <c r="G613" i="33"/>
  <c r="J613" i="33"/>
  <c r="K613" i="33"/>
  <c r="L613" i="33"/>
  <c r="M613" i="33"/>
  <c r="N613" i="33"/>
  <c r="O613" i="33"/>
  <c r="P613" i="33"/>
  <c r="Q613" i="33"/>
  <c r="R613" i="33"/>
  <c r="C606" i="33"/>
  <c r="C607" i="33"/>
  <c r="C608" i="33"/>
  <c r="C609" i="33"/>
  <c r="C610" i="33"/>
  <c r="C611" i="33"/>
  <c r="C612" i="33"/>
  <c r="F606" i="33"/>
  <c r="F607" i="33"/>
  <c r="F608" i="33"/>
  <c r="F609" i="33"/>
  <c r="F610" i="33"/>
  <c r="F611" i="33"/>
  <c r="F612" i="33"/>
  <c r="G606" i="33"/>
  <c r="G607" i="33"/>
  <c r="G608" i="33"/>
  <c r="G609" i="33"/>
  <c r="G610" i="33"/>
  <c r="G611" i="33"/>
  <c r="G612" i="33"/>
  <c r="J606" i="33"/>
  <c r="J607" i="33"/>
  <c r="J608" i="33"/>
  <c r="J609" i="33"/>
  <c r="J610" i="33"/>
  <c r="J611" i="33"/>
  <c r="J612" i="33"/>
  <c r="K606" i="33"/>
  <c r="K607" i="33"/>
  <c r="K608" i="33"/>
  <c r="K609" i="33"/>
  <c r="K610" i="33"/>
  <c r="K611" i="33"/>
  <c r="K612" i="33"/>
  <c r="L606" i="33"/>
  <c r="L607" i="33"/>
  <c r="L608" i="33"/>
  <c r="L609" i="33"/>
  <c r="L610" i="33"/>
  <c r="L611" i="33"/>
  <c r="L612" i="33"/>
  <c r="M606" i="33"/>
  <c r="M607" i="33"/>
  <c r="M608" i="33"/>
  <c r="M609" i="33"/>
  <c r="M610" i="33"/>
  <c r="M611" i="33"/>
  <c r="M612" i="33"/>
  <c r="N606" i="33"/>
  <c r="N607" i="33"/>
  <c r="N608" i="33"/>
  <c r="N609" i="33"/>
  <c r="N610" i="33"/>
  <c r="N611" i="33"/>
  <c r="N612" i="33"/>
  <c r="O606" i="33"/>
  <c r="O607" i="33"/>
  <c r="O608" i="33"/>
  <c r="O609" i="33"/>
  <c r="O610" i="33"/>
  <c r="O611" i="33"/>
  <c r="O612" i="33"/>
  <c r="P606" i="33"/>
  <c r="P607" i="33"/>
  <c r="P608" i="33"/>
  <c r="P609" i="33"/>
  <c r="P610" i="33"/>
  <c r="P611" i="33"/>
  <c r="P612" i="33"/>
  <c r="Q606" i="33"/>
  <c r="Q607" i="33"/>
  <c r="Q608" i="33"/>
  <c r="Q609" i="33"/>
  <c r="Q610" i="33"/>
  <c r="Q611" i="33"/>
  <c r="Q612" i="33"/>
  <c r="R606" i="33"/>
  <c r="R607" i="33"/>
  <c r="R608" i="33"/>
  <c r="R609" i="33"/>
  <c r="R610" i="33"/>
  <c r="R611" i="33"/>
  <c r="R612" i="33"/>
  <c r="C605" i="33"/>
  <c r="F605" i="33"/>
  <c r="G605" i="33"/>
  <c r="J605" i="33"/>
  <c r="K605" i="33"/>
  <c r="L605" i="33"/>
  <c r="M605" i="33"/>
  <c r="N605" i="33"/>
  <c r="O605" i="33"/>
  <c r="P605" i="33"/>
  <c r="Q605" i="33"/>
  <c r="R605" i="33"/>
  <c r="E774" i="17"/>
  <c r="E773" i="17"/>
  <c r="E772" i="17"/>
  <c r="E771" i="17"/>
  <c r="E770" i="17"/>
  <c r="E769" i="17"/>
  <c r="E768" i="17"/>
  <c r="E767" i="17"/>
  <c r="E766" i="17"/>
  <c r="I774" i="17"/>
  <c r="L774" i="17"/>
  <c r="C599" i="33"/>
  <c r="C600" i="33"/>
  <c r="C601" i="33"/>
  <c r="C602" i="33"/>
  <c r="C603" i="33"/>
  <c r="C604" i="33"/>
  <c r="F599" i="33"/>
  <c r="F600" i="33"/>
  <c r="F601" i="33"/>
  <c r="F602" i="33"/>
  <c r="F603" i="33"/>
  <c r="F604" i="33"/>
  <c r="G599" i="33"/>
  <c r="G600" i="33"/>
  <c r="G601" i="33"/>
  <c r="G602" i="33"/>
  <c r="G603" i="33"/>
  <c r="G604" i="33"/>
  <c r="J599" i="33"/>
  <c r="J600" i="33"/>
  <c r="J601" i="33"/>
  <c r="J602" i="33"/>
  <c r="J603" i="33"/>
  <c r="J604" i="33"/>
  <c r="K599" i="33"/>
  <c r="K600" i="33"/>
  <c r="K601" i="33"/>
  <c r="K602" i="33"/>
  <c r="K603" i="33"/>
  <c r="K604" i="33"/>
  <c r="L599" i="33"/>
  <c r="L600" i="33"/>
  <c r="L601" i="33"/>
  <c r="L602" i="33"/>
  <c r="L603" i="33"/>
  <c r="L604" i="33"/>
  <c r="M599" i="33"/>
  <c r="M600" i="33"/>
  <c r="M601" i="33"/>
  <c r="M602" i="33"/>
  <c r="M603" i="33"/>
  <c r="M604" i="33"/>
  <c r="N599" i="33"/>
  <c r="N600" i="33"/>
  <c r="N601" i="33"/>
  <c r="N602" i="33"/>
  <c r="N603" i="33"/>
  <c r="N604" i="33"/>
  <c r="O599" i="33"/>
  <c r="O600" i="33"/>
  <c r="O601" i="33"/>
  <c r="O602" i="33"/>
  <c r="O603" i="33"/>
  <c r="O604" i="33"/>
  <c r="P599" i="33"/>
  <c r="P600" i="33"/>
  <c r="P601" i="33"/>
  <c r="P602" i="33"/>
  <c r="P603" i="33"/>
  <c r="P604" i="33"/>
  <c r="Q599" i="33"/>
  <c r="Q600" i="33"/>
  <c r="Q601" i="33"/>
  <c r="Q602" i="33"/>
  <c r="Q603" i="33"/>
  <c r="Q604" i="33"/>
  <c r="R599" i="33"/>
  <c r="R600" i="33"/>
  <c r="R601" i="33"/>
  <c r="R602" i="33"/>
  <c r="R603" i="33"/>
  <c r="R604" i="33"/>
  <c r="C598" i="33"/>
  <c r="F598" i="33"/>
  <c r="G598" i="33"/>
  <c r="J598" i="33"/>
  <c r="K598" i="33"/>
  <c r="L598" i="33"/>
  <c r="M598" i="33"/>
  <c r="N598" i="33"/>
  <c r="O598" i="33"/>
  <c r="P598" i="33"/>
  <c r="Q598" i="33"/>
  <c r="R598" i="33"/>
  <c r="E765" i="17"/>
  <c r="E764" i="17"/>
  <c r="C597" i="33"/>
  <c r="F597" i="33"/>
  <c r="G597" i="33"/>
  <c r="J597" i="33"/>
  <c r="K597" i="33"/>
  <c r="L597" i="33"/>
  <c r="M597" i="33"/>
  <c r="N597" i="33"/>
  <c r="O597" i="33"/>
  <c r="P597" i="33"/>
  <c r="Q597" i="33"/>
  <c r="R597" i="33"/>
  <c r="I765" i="17"/>
  <c r="L765" i="17"/>
  <c r="C592" i="33"/>
  <c r="C593" i="33"/>
  <c r="C594" i="33"/>
  <c r="C595" i="33"/>
  <c r="C596" i="33"/>
  <c r="F592" i="33"/>
  <c r="F593" i="33"/>
  <c r="F594" i="33"/>
  <c r="F595" i="33"/>
  <c r="F596" i="33"/>
  <c r="G592" i="33"/>
  <c r="G593" i="33"/>
  <c r="G594" i="33"/>
  <c r="G595" i="33"/>
  <c r="G596" i="33"/>
  <c r="J592" i="33"/>
  <c r="J593" i="33"/>
  <c r="J594" i="33"/>
  <c r="J595" i="33"/>
  <c r="J596" i="33"/>
  <c r="K592" i="33"/>
  <c r="K593" i="33"/>
  <c r="K594" i="33"/>
  <c r="K595" i="33"/>
  <c r="K596" i="33"/>
  <c r="L592" i="33"/>
  <c r="L593" i="33"/>
  <c r="L594" i="33"/>
  <c r="L595" i="33"/>
  <c r="L596" i="33"/>
  <c r="M592" i="33"/>
  <c r="M593" i="33"/>
  <c r="M594" i="33"/>
  <c r="M595" i="33"/>
  <c r="M596" i="33"/>
  <c r="N592" i="33"/>
  <c r="N593" i="33"/>
  <c r="N594" i="33"/>
  <c r="N595" i="33"/>
  <c r="N596" i="33"/>
  <c r="O592" i="33"/>
  <c r="O593" i="33"/>
  <c r="O594" i="33"/>
  <c r="O595" i="33"/>
  <c r="O596" i="33"/>
  <c r="P592" i="33"/>
  <c r="P593" i="33"/>
  <c r="P594" i="33"/>
  <c r="P595" i="33"/>
  <c r="P596" i="33"/>
  <c r="Q592" i="33"/>
  <c r="Q593" i="33"/>
  <c r="Q594" i="33"/>
  <c r="Q595" i="33"/>
  <c r="Q596" i="33"/>
  <c r="R592" i="33"/>
  <c r="R593" i="33"/>
  <c r="R594" i="33"/>
  <c r="R595" i="33"/>
  <c r="R596" i="33"/>
  <c r="C591" i="33"/>
  <c r="F591" i="33"/>
  <c r="G591" i="33"/>
  <c r="J591" i="33"/>
  <c r="K591" i="33"/>
  <c r="L591" i="33"/>
  <c r="M591" i="33"/>
  <c r="N591" i="33"/>
  <c r="O591" i="33"/>
  <c r="P591" i="33"/>
  <c r="Q591" i="33"/>
  <c r="R591" i="33"/>
  <c r="E763" i="17"/>
  <c r="E762" i="17"/>
  <c r="E761" i="17"/>
  <c r="E760" i="17"/>
  <c r="E759" i="17"/>
  <c r="E758" i="17"/>
  <c r="E757" i="17"/>
  <c r="C1072" i="17"/>
  <c r="I763" i="17"/>
  <c r="L763" i="17"/>
  <c r="C586" i="33"/>
  <c r="C587" i="33"/>
  <c r="C588" i="33"/>
  <c r="C589" i="33"/>
  <c r="C590" i="33"/>
  <c r="F586" i="33"/>
  <c r="F587" i="33"/>
  <c r="F588" i="33"/>
  <c r="F589" i="33"/>
  <c r="F590" i="33"/>
  <c r="G586" i="33"/>
  <c r="G587" i="33"/>
  <c r="G588" i="33"/>
  <c r="G589" i="33"/>
  <c r="G590" i="33"/>
  <c r="J586" i="33"/>
  <c r="J587" i="33"/>
  <c r="J588" i="33"/>
  <c r="J589" i="33"/>
  <c r="J590" i="33"/>
  <c r="K586" i="33"/>
  <c r="K587" i="33"/>
  <c r="K588" i="33"/>
  <c r="K589" i="33"/>
  <c r="K590" i="33"/>
  <c r="L586" i="33"/>
  <c r="L587" i="33"/>
  <c r="L588" i="33"/>
  <c r="L589" i="33"/>
  <c r="L590" i="33"/>
  <c r="M586" i="33"/>
  <c r="M587" i="33"/>
  <c r="M588" i="33"/>
  <c r="M589" i="33"/>
  <c r="M590" i="33"/>
  <c r="N586" i="33"/>
  <c r="N587" i="33"/>
  <c r="N588" i="33"/>
  <c r="N589" i="33"/>
  <c r="N590" i="33"/>
  <c r="O586" i="33"/>
  <c r="O587" i="33"/>
  <c r="O588" i="33"/>
  <c r="O589" i="33"/>
  <c r="O590" i="33"/>
  <c r="P586" i="33"/>
  <c r="P587" i="33"/>
  <c r="P588" i="33"/>
  <c r="P589" i="33"/>
  <c r="P590" i="33"/>
  <c r="Q586" i="33"/>
  <c r="Q587" i="33"/>
  <c r="Q588" i="33"/>
  <c r="Q589" i="33"/>
  <c r="Q590" i="33"/>
  <c r="R586" i="33"/>
  <c r="R587" i="33"/>
  <c r="R588" i="33"/>
  <c r="R589" i="33"/>
  <c r="R590" i="33"/>
  <c r="C585" i="33"/>
  <c r="F585" i="33"/>
  <c r="G585" i="33"/>
  <c r="J585" i="33"/>
  <c r="K585" i="33"/>
  <c r="L585" i="33"/>
  <c r="M585" i="33"/>
  <c r="N585" i="33"/>
  <c r="O585" i="33"/>
  <c r="P585" i="33"/>
  <c r="Q585" i="33"/>
  <c r="R585" i="33"/>
  <c r="E756" i="17"/>
  <c r="I756" i="17"/>
  <c r="L756" i="17"/>
  <c r="C576" i="33"/>
  <c r="C577" i="33"/>
  <c r="C578" i="33"/>
  <c r="C579" i="33"/>
  <c r="C580" i="33"/>
  <c r="C581" i="33"/>
  <c r="C582" i="33"/>
  <c r="C583" i="33"/>
  <c r="C584" i="33"/>
  <c r="F576" i="33"/>
  <c r="F577" i="33"/>
  <c r="F578" i="33"/>
  <c r="F579" i="33"/>
  <c r="F580" i="33"/>
  <c r="F581" i="33"/>
  <c r="F582" i="33"/>
  <c r="F583" i="33"/>
  <c r="F584" i="33"/>
  <c r="G576" i="33"/>
  <c r="G577" i="33"/>
  <c r="G578" i="33"/>
  <c r="G579" i="33"/>
  <c r="G580" i="33"/>
  <c r="G581" i="33"/>
  <c r="G582" i="33"/>
  <c r="G583" i="33"/>
  <c r="G584" i="33"/>
  <c r="J576" i="33"/>
  <c r="J577" i="33"/>
  <c r="J578" i="33"/>
  <c r="J579" i="33"/>
  <c r="J580" i="33"/>
  <c r="J581" i="33"/>
  <c r="J582" i="33"/>
  <c r="J583" i="33"/>
  <c r="J584" i="33"/>
  <c r="K576" i="33"/>
  <c r="K577" i="33"/>
  <c r="K578" i="33"/>
  <c r="K579" i="33"/>
  <c r="K580" i="33"/>
  <c r="K581" i="33"/>
  <c r="K582" i="33"/>
  <c r="K583" i="33"/>
  <c r="K584" i="33"/>
  <c r="L576" i="33"/>
  <c r="L577" i="33"/>
  <c r="L578" i="33"/>
  <c r="L579" i="33"/>
  <c r="L580" i="33"/>
  <c r="L581" i="33"/>
  <c r="L582" i="33"/>
  <c r="L583" i="33"/>
  <c r="L584" i="33"/>
  <c r="M576" i="33"/>
  <c r="M577" i="33"/>
  <c r="M578" i="33"/>
  <c r="M579" i="33"/>
  <c r="M580" i="33"/>
  <c r="M581" i="33"/>
  <c r="M582" i="33"/>
  <c r="M583" i="33"/>
  <c r="M584" i="33"/>
  <c r="N576" i="33"/>
  <c r="N577" i="33"/>
  <c r="N578" i="33"/>
  <c r="N579" i="33"/>
  <c r="N580" i="33"/>
  <c r="N581" i="33"/>
  <c r="N582" i="33"/>
  <c r="N583" i="33"/>
  <c r="N584" i="33"/>
  <c r="O576" i="33"/>
  <c r="O577" i="33"/>
  <c r="O578" i="33"/>
  <c r="O579" i="33"/>
  <c r="O580" i="33"/>
  <c r="O581" i="33"/>
  <c r="O582" i="33"/>
  <c r="O583" i="33"/>
  <c r="O584" i="33"/>
  <c r="P576" i="33"/>
  <c r="P577" i="33"/>
  <c r="P578" i="33"/>
  <c r="P579" i="33"/>
  <c r="P580" i="33"/>
  <c r="P581" i="33"/>
  <c r="P582" i="33"/>
  <c r="P583" i="33"/>
  <c r="P584" i="33"/>
  <c r="Q576" i="33"/>
  <c r="Q577" i="33"/>
  <c r="Q578" i="33"/>
  <c r="Q579" i="33"/>
  <c r="Q580" i="33"/>
  <c r="Q581" i="33"/>
  <c r="Q582" i="33"/>
  <c r="Q583" i="33"/>
  <c r="Q584" i="33"/>
  <c r="R576" i="33"/>
  <c r="R577" i="33"/>
  <c r="R578" i="33"/>
  <c r="R579" i="33"/>
  <c r="R580" i="33"/>
  <c r="R581" i="33"/>
  <c r="R582" i="33"/>
  <c r="R583" i="33"/>
  <c r="R584" i="33"/>
  <c r="C575" i="33"/>
  <c r="F575" i="33"/>
  <c r="G575" i="33"/>
  <c r="J575" i="33"/>
  <c r="K575" i="33"/>
  <c r="L575" i="33"/>
  <c r="M575" i="33"/>
  <c r="N575" i="33"/>
  <c r="O575" i="33"/>
  <c r="P575" i="33"/>
  <c r="Q575" i="33"/>
  <c r="R575" i="33"/>
  <c r="I744" i="17"/>
  <c r="L744" i="17"/>
  <c r="C570" i="33"/>
  <c r="C571" i="33"/>
  <c r="C572" i="33"/>
  <c r="C573" i="33"/>
  <c r="C574" i="33"/>
  <c r="F570" i="33"/>
  <c r="F571" i="33"/>
  <c r="F572" i="33"/>
  <c r="F573" i="33"/>
  <c r="F574" i="33"/>
  <c r="G570" i="33"/>
  <c r="G571" i="33"/>
  <c r="G572" i="33"/>
  <c r="G573" i="33"/>
  <c r="G574" i="33"/>
  <c r="J570" i="33"/>
  <c r="J571" i="33"/>
  <c r="J572" i="33"/>
  <c r="J573" i="33"/>
  <c r="J574" i="33"/>
  <c r="K570" i="33"/>
  <c r="K571" i="33"/>
  <c r="K572" i="33"/>
  <c r="K573" i="33"/>
  <c r="K574" i="33"/>
  <c r="L570" i="33"/>
  <c r="L571" i="33"/>
  <c r="L572" i="33"/>
  <c r="L573" i="33"/>
  <c r="L574" i="33"/>
  <c r="M570" i="33"/>
  <c r="M571" i="33"/>
  <c r="M572" i="33"/>
  <c r="M573" i="33"/>
  <c r="M574" i="33"/>
  <c r="N570" i="33"/>
  <c r="N571" i="33"/>
  <c r="N572" i="33"/>
  <c r="N573" i="33"/>
  <c r="N574" i="33"/>
  <c r="O570" i="33"/>
  <c r="O571" i="33"/>
  <c r="O572" i="33"/>
  <c r="O573" i="33"/>
  <c r="O574" i="33"/>
  <c r="P570" i="33"/>
  <c r="P571" i="33"/>
  <c r="P572" i="33"/>
  <c r="P573" i="33"/>
  <c r="P574" i="33"/>
  <c r="Q570" i="33"/>
  <c r="Q571" i="33"/>
  <c r="Q572" i="33"/>
  <c r="Q573" i="33"/>
  <c r="Q574" i="33"/>
  <c r="R570" i="33"/>
  <c r="R571" i="33"/>
  <c r="R572" i="33"/>
  <c r="R573" i="33"/>
  <c r="R574" i="33"/>
  <c r="C569" i="33"/>
  <c r="F569" i="33"/>
  <c r="G569" i="33"/>
  <c r="J569" i="33"/>
  <c r="K569" i="33"/>
  <c r="L569" i="33"/>
  <c r="M569" i="33"/>
  <c r="N569" i="33"/>
  <c r="O569" i="33"/>
  <c r="P569" i="33"/>
  <c r="Q569" i="33"/>
  <c r="R569" i="33"/>
  <c r="I736" i="17"/>
  <c r="L736" i="17"/>
  <c r="C560" i="33"/>
  <c r="C561" i="33"/>
  <c r="C562" i="33"/>
  <c r="C563" i="33"/>
  <c r="C564" i="33"/>
  <c r="C565" i="33"/>
  <c r="C566" i="33"/>
  <c r="C567" i="33"/>
  <c r="C568" i="33"/>
  <c r="F560" i="33"/>
  <c r="F561" i="33"/>
  <c r="F562" i="33"/>
  <c r="F563" i="33"/>
  <c r="F564" i="33"/>
  <c r="F565" i="33"/>
  <c r="F566" i="33"/>
  <c r="F567" i="33"/>
  <c r="F568" i="33"/>
  <c r="G560" i="33"/>
  <c r="G561" i="33"/>
  <c r="G562" i="33"/>
  <c r="G563" i="33"/>
  <c r="G564" i="33"/>
  <c r="G565" i="33"/>
  <c r="G566" i="33"/>
  <c r="G567" i="33"/>
  <c r="G568" i="33"/>
  <c r="J560" i="33"/>
  <c r="J561" i="33"/>
  <c r="J562" i="33"/>
  <c r="J563" i="33"/>
  <c r="J564" i="33"/>
  <c r="J565" i="33"/>
  <c r="J566" i="33"/>
  <c r="J567" i="33"/>
  <c r="J568" i="33"/>
  <c r="K560" i="33"/>
  <c r="K561" i="33"/>
  <c r="K562" i="33"/>
  <c r="K563" i="33"/>
  <c r="K564" i="33"/>
  <c r="K565" i="33"/>
  <c r="K566" i="33"/>
  <c r="K567" i="33"/>
  <c r="K568" i="33"/>
  <c r="L560" i="33"/>
  <c r="L561" i="33"/>
  <c r="L562" i="33"/>
  <c r="L563" i="33"/>
  <c r="L564" i="33"/>
  <c r="L565" i="33"/>
  <c r="L566" i="33"/>
  <c r="L567" i="33"/>
  <c r="L568" i="33"/>
  <c r="M560" i="33"/>
  <c r="M561" i="33"/>
  <c r="M562" i="33"/>
  <c r="M563" i="33"/>
  <c r="M564" i="33"/>
  <c r="M565" i="33"/>
  <c r="M566" i="33"/>
  <c r="M567" i="33"/>
  <c r="M568" i="33"/>
  <c r="N560" i="33"/>
  <c r="N561" i="33"/>
  <c r="N562" i="33"/>
  <c r="N563" i="33"/>
  <c r="N564" i="33"/>
  <c r="N565" i="33"/>
  <c r="N566" i="33"/>
  <c r="N567" i="33"/>
  <c r="N568" i="33"/>
  <c r="O560" i="33"/>
  <c r="O561" i="33"/>
  <c r="O562" i="33"/>
  <c r="O563" i="33"/>
  <c r="O564" i="33"/>
  <c r="O565" i="33"/>
  <c r="O566" i="33"/>
  <c r="O567" i="33"/>
  <c r="O568" i="33"/>
  <c r="P560" i="33"/>
  <c r="P561" i="33"/>
  <c r="P562" i="33"/>
  <c r="P563" i="33"/>
  <c r="P564" i="33"/>
  <c r="P565" i="33"/>
  <c r="P566" i="33"/>
  <c r="P567" i="33"/>
  <c r="P568" i="33"/>
  <c r="Q560" i="33"/>
  <c r="Q561" i="33"/>
  <c r="Q562" i="33"/>
  <c r="Q563" i="33"/>
  <c r="Q564" i="33"/>
  <c r="Q565" i="33"/>
  <c r="Q566" i="33"/>
  <c r="Q567" i="33"/>
  <c r="Q568" i="33"/>
  <c r="R560" i="33"/>
  <c r="R561" i="33"/>
  <c r="R562" i="33"/>
  <c r="R563" i="33"/>
  <c r="R564" i="33"/>
  <c r="R565" i="33"/>
  <c r="R566" i="33"/>
  <c r="R567" i="33"/>
  <c r="R568" i="33"/>
  <c r="C559" i="33"/>
  <c r="F559" i="33"/>
  <c r="G559" i="33"/>
  <c r="J559" i="33"/>
  <c r="K559" i="33"/>
  <c r="L559" i="33"/>
  <c r="M559" i="33"/>
  <c r="N559" i="33"/>
  <c r="O559" i="33"/>
  <c r="P559" i="33"/>
  <c r="Q559" i="33"/>
  <c r="R559" i="33"/>
  <c r="I724" i="17"/>
  <c r="L724" i="17"/>
  <c r="C557" i="33"/>
  <c r="C558" i="33"/>
  <c r="F557" i="33"/>
  <c r="F558" i="33"/>
  <c r="G557" i="33"/>
  <c r="G558" i="33"/>
  <c r="J557" i="33"/>
  <c r="J558" i="33"/>
  <c r="K557" i="33"/>
  <c r="K558" i="33"/>
  <c r="L557" i="33"/>
  <c r="L558" i="33"/>
  <c r="M557" i="33"/>
  <c r="M558" i="33"/>
  <c r="N557" i="33"/>
  <c r="N558" i="33"/>
  <c r="O557" i="33"/>
  <c r="O558" i="33"/>
  <c r="P557" i="33"/>
  <c r="P558" i="33"/>
  <c r="Q557" i="33"/>
  <c r="Q558" i="33"/>
  <c r="R557" i="33"/>
  <c r="R558" i="33"/>
  <c r="C556" i="33"/>
  <c r="F556" i="33"/>
  <c r="G556" i="33"/>
  <c r="J556" i="33"/>
  <c r="K556" i="33"/>
  <c r="L556" i="33"/>
  <c r="M556" i="33"/>
  <c r="N556" i="33"/>
  <c r="O556" i="33"/>
  <c r="P556" i="33"/>
  <c r="Q556" i="33"/>
  <c r="R556" i="33"/>
  <c r="I720" i="17"/>
  <c r="L720" i="17"/>
  <c r="C553" i="33"/>
  <c r="C554" i="33"/>
  <c r="C555" i="33"/>
  <c r="F553" i="33"/>
  <c r="F554" i="33"/>
  <c r="F555" i="33"/>
  <c r="G553" i="33"/>
  <c r="G554" i="33"/>
  <c r="G555" i="33"/>
  <c r="J553" i="33"/>
  <c r="J554" i="33"/>
  <c r="J555" i="33"/>
  <c r="K553" i="33"/>
  <c r="K554" i="33"/>
  <c r="K555" i="33"/>
  <c r="L553" i="33"/>
  <c r="L554" i="33"/>
  <c r="L555" i="33"/>
  <c r="M553" i="33"/>
  <c r="M554" i="33"/>
  <c r="M555" i="33"/>
  <c r="N553" i="33"/>
  <c r="N554" i="33"/>
  <c r="N555" i="33"/>
  <c r="O553" i="33"/>
  <c r="O554" i="33"/>
  <c r="O555" i="33"/>
  <c r="P553" i="33"/>
  <c r="P554" i="33"/>
  <c r="P555" i="33"/>
  <c r="Q553" i="33"/>
  <c r="Q554" i="33"/>
  <c r="Q555" i="33"/>
  <c r="R553" i="33"/>
  <c r="R554" i="33"/>
  <c r="R555" i="33"/>
  <c r="C545" i="33"/>
  <c r="C546" i="33"/>
  <c r="C547" i="33"/>
  <c r="C548" i="33"/>
  <c r="C549" i="33"/>
  <c r="C550" i="33"/>
  <c r="C551" i="33"/>
  <c r="C552" i="33"/>
  <c r="F545" i="33"/>
  <c r="F546" i="33"/>
  <c r="F547" i="33"/>
  <c r="F548" i="33"/>
  <c r="F549" i="33"/>
  <c r="F550" i="33"/>
  <c r="F551" i="33"/>
  <c r="F552" i="33"/>
  <c r="G545" i="33"/>
  <c r="G546" i="33"/>
  <c r="G547" i="33"/>
  <c r="G548" i="33"/>
  <c r="G549" i="33"/>
  <c r="G550" i="33"/>
  <c r="G551" i="33"/>
  <c r="G552" i="33"/>
  <c r="J545" i="33"/>
  <c r="J546" i="33"/>
  <c r="J547" i="33"/>
  <c r="J548" i="33"/>
  <c r="J549" i="33"/>
  <c r="J550" i="33"/>
  <c r="J551" i="33"/>
  <c r="J552" i="33"/>
  <c r="K545" i="33"/>
  <c r="K546" i="33"/>
  <c r="K547" i="33"/>
  <c r="K548" i="33"/>
  <c r="K549" i="33"/>
  <c r="K550" i="33"/>
  <c r="K551" i="33"/>
  <c r="K552" i="33"/>
  <c r="L545" i="33"/>
  <c r="L546" i="33"/>
  <c r="L547" i="33"/>
  <c r="L548" i="33"/>
  <c r="L549" i="33"/>
  <c r="L550" i="33"/>
  <c r="L551" i="33"/>
  <c r="L552" i="33"/>
  <c r="M545" i="33"/>
  <c r="M546" i="33"/>
  <c r="M547" i="33"/>
  <c r="M548" i="33"/>
  <c r="M549" i="33"/>
  <c r="M550" i="33"/>
  <c r="M551" i="33"/>
  <c r="M552" i="33"/>
  <c r="N545" i="33"/>
  <c r="N546" i="33"/>
  <c r="N547" i="33"/>
  <c r="N548" i="33"/>
  <c r="N549" i="33"/>
  <c r="N550" i="33"/>
  <c r="N551" i="33"/>
  <c r="N552" i="33"/>
  <c r="O545" i="33"/>
  <c r="O546" i="33"/>
  <c r="O547" i="33"/>
  <c r="O548" i="33"/>
  <c r="O549" i="33"/>
  <c r="O550" i="33"/>
  <c r="O551" i="33"/>
  <c r="O552" i="33"/>
  <c r="P545" i="33"/>
  <c r="P546" i="33"/>
  <c r="P547" i="33"/>
  <c r="P548" i="33"/>
  <c r="P549" i="33"/>
  <c r="P550" i="33"/>
  <c r="P551" i="33"/>
  <c r="P552" i="33"/>
  <c r="Q545" i="33"/>
  <c r="Q546" i="33"/>
  <c r="Q547" i="33"/>
  <c r="Q548" i="33"/>
  <c r="Q549" i="33"/>
  <c r="Q550" i="33"/>
  <c r="Q551" i="33"/>
  <c r="Q552" i="33"/>
  <c r="R545" i="33"/>
  <c r="R546" i="33"/>
  <c r="R547" i="33"/>
  <c r="R548" i="33"/>
  <c r="R549" i="33"/>
  <c r="R550" i="33"/>
  <c r="R551" i="33"/>
  <c r="R552" i="33"/>
  <c r="C544" i="33"/>
  <c r="F544" i="33"/>
  <c r="G544" i="33"/>
  <c r="J544" i="33"/>
  <c r="K544" i="33"/>
  <c r="L544" i="33"/>
  <c r="M544" i="33"/>
  <c r="N544" i="33"/>
  <c r="O544" i="33"/>
  <c r="P544" i="33"/>
  <c r="Q544" i="33"/>
  <c r="R544" i="33"/>
  <c r="I708" i="17"/>
  <c r="L708" i="17"/>
  <c r="C543" i="33"/>
  <c r="F543" i="33"/>
  <c r="G543" i="33"/>
  <c r="J543" i="33"/>
  <c r="K543" i="33"/>
  <c r="L543" i="33"/>
  <c r="M543" i="33"/>
  <c r="N543" i="33"/>
  <c r="O543" i="33"/>
  <c r="P543" i="33"/>
  <c r="Q543" i="33"/>
  <c r="R543" i="33"/>
  <c r="C539" i="33"/>
  <c r="C540" i="33"/>
  <c r="C541" i="33"/>
  <c r="C542" i="33"/>
  <c r="F539" i="33"/>
  <c r="F540" i="33"/>
  <c r="F541" i="33"/>
  <c r="F542" i="33"/>
  <c r="G539" i="33"/>
  <c r="G540" i="33"/>
  <c r="G541" i="33"/>
  <c r="G542" i="33"/>
  <c r="J539" i="33"/>
  <c r="J540" i="33"/>
  <c r="J541" i="33"/>
  <c r="J542" i="33"/>
  <c r="K539" i="33"/>
  <c r="K540" i="33"/>
  <c r="K541" i="33"/>
  <c r="K542" i="33"/>
  <c r="L539" i="33"/>
  <c r="L540" i="33"/>
  <c r="L541" i="33"/>
  <c r="L542" i="33"/>
  <c r="M539" i="33"/>
  <c r="M540" i="33"/>
  <c r="M541" i="33"/>
  <c r="M542" i="33"/>
  <c r="N539" i="33"/>
  <c r="N540" i="33"/>
  <c r="N541" i="33"/>
  <c r="N542" i="33"/>
  <c r="O539" i="33"/>
  <c r="O540" i="33"/>
  <c r="O541" i="33"/>
  <c r="O542" i="33"/>
  <c r="P539" i="33"/>
  <c r="P540" i="33"/>
  <c r="P541" i="33"/>
  <c r="P542" i="33"/>
  <c r="Q539" i="33"/>
  <c r="Q540" i="33"/>
  <c r="Q541" i="33"/>
  <c r="Q542" i="33"/>
  <c r="R539" i="33"/>
  <c r="R540" i="33"/>
  <c r="R541" i="33"/>
  <c r="R542" i="33"/>
  <c r="C538" i="33"/>
  <c r="F538" i="33"/>
  <c r="G538" i="33"/>
  <c r="J538" i="33"/>
  <c r="K538" i="33"/>
  <c r="L538" i="33"/>
  <c r="M538" i="33"/>
  <c r="N538" i="33"/>
  <c r="O538" i="33"/>
  <c r="P538" i="33"/>
  <c r="Q538" i="33"/>
  <c r="R538" i="33"/>
  <c r="I701" i="17"/>
  <c r="L701" i="17"/>
  <c r="C531" i="33"/>
  <c r="C532" i="33"/>
  <c r="C533" i="33"/>
  <c r="C534" i="33"/>
  <c r="C535" i="33"/>
  <c r="C536" i="33"/>
  <c r="C537" i="33"/>
  <c r="F531" i="33"/>
  <c r="F532" i="33"/>
  <c r="F533" i="33"/>
  <c r="F534" i="33"/>
  <c r="F535" i="33"/>
  <c r="F536" i="33"/>
  <c r="F537" i="33"/>
  <c r="G531" i="33"/>
  <c r="G532" i="33"/>
  <c r="G533" i="33"/>
  <c r="G534" i="33"/>
  <c r="G535" i="33"/>
  <c r="G536" i="33"/>
  <c r="G537" i="33"/>
  <c r="J531" i="33"/>
  <c r="J532" i="33"/>
  <c r="J533" i="33"/>
  <c r="J534" i="33"/>
  <c r="J535" i="33"/>
  <c r="J536" i="33"/>
  <c r="J537" i="33"/>
  <c r="K531" i="33"/>
  <c r="K532" i="33"/>
  <c r="K533" i="33"/>
  <c r="K534" i="33"/>
  <c r="K535" i="33"/>
  <c r="K536" i="33"/>
  <c r="K537" i="33"/>
  <c r="L531" i="33"/>
  <c r="L532" i="33"/>
  <c r="L533" i="33"/>
  <c r="L534" i="33"/>
  <c r="L535" i="33"/>
  <c r="L536" i="33"/>
  <c r="L537" i="33"/>
  <c r="M531" i="33"/>
  <c r="M532" i="33"/>
  <c r="M533" i="33"/>
  <c r="M534" i="33"/>
  <c r="M535" i="33"/>
  <c r="M536" i="33"/>
  <c r="M537" i="33"/>
  <c r="N531" i="33"/>
  <c r="N532" i="33"/>
  <c r="N533" i="33"/>
  <c r="N534" i="33"/>
  <c r="N535" i="33"/>
  <c r="N536" i="33"/>
  <c r="N537" i="33"/>
  <c r="O531" i="33"/>
  <c r="O532" i="33"/>
  <c r="O533" i="33"/>
  <c r="O534" i="33"/>
  <c r="O535" i="33"/>
  <c r="O536" i="33"/>
  <c r="O537" i="33"/>
  <c r="P531" i="33"/>
  <c r="P532" i="33"/>
  <c r="P533" i="33"/>
  <c r="P534" i="33"/>
  <c r="P535" i="33"/>
  <c r="P536" i="33"/>
  <c r="P537" i="33"/>
  <c r="Q531" i="33"/>
  <c r="Q532" i="33"/>
  <c r="Q533" i="33"/>
  <c r="Q534" i="33"/>
  <c r="Q535" i="33"/>
  <c r="Q536" i="33"/>
  <c r="Q537" i="33"/>
  <c r="R531" i="33"/>
  <c r="R532" i="33"/>
  <c r="R533" i="33"/>
  <c r="R534" i="33"/>
  <c r="R535" i="33"/>
  <c r="R536" i="33"/>
  <c r="R537" i="33"/>
  <c r="C530" i="33"/>
  <c r="F530" i="33"/>
  <c r="G530" i="33"/>
  <c r="J530" i="33"/>
  <c r="K530" i="33"/>
  <c r="L530" i="33"/>
  <c r="M530" i="33"/>
  <c r="N530" i="33"/>
  <c r="O530" i="33"/>
  <c r="P530" i="33"/>
  <c r="Q530" i="33"/>
  <c r="R530" i="33"/>
  <c r="I691" i="17"/>
  <c r="L691" i="17"/>
  <c r="C529" i="33"/>
  <c r="F529" i="33"/>
  <c r="G529" i="33"/>
  <c r="J529" i="33"/>
  <c r="K529" i="33"/>
  <c r="L529" i="33"/>
  <c r="M529" i="33"/>
  <c r="N529" i="33"/>
  <c r="O529" i="33"/>
  <c r="P529" i="33"/>
  <c r="Q529" i="33"/>
  <c r="R529" i="33"/>
  <c r="C523" i="33"/>
  <c r="C524" i="33"/>
  <c r="C525" i="33"/>
  <c r="C526" i="33"/>
  <c r="C527" i="33"/>
  <c r="C528" i="33"/>
  <c r="F523" i="33"/>
  <c r="F524" i="33"/>
  <c r="F525" i="33"/>
  <c r="F526" i="33"/>
  <c r="F527" i="33"/>
  <c r="F528" i="33"/>
  <c r="G523" i="33"/>
  <c r="G524" i="33"/>
  <c r="G525" i="33"/>
  <c r="G526" i="33"/>
  <c r="G527" i="33"/>
  <c r="G528" i="33"/>
  <c r="J523" i="33"/>
  <c r="J524" i="33"/>
  <c r="J525" i="33"/>
  <c r="J526" i="33"/>
  <c r="J527" i="33"/>
  <c r="J528" i="33"/>
  <c r="K523" i="33"/>
  <c r="K524" i="33"/>
  <c r="K525" i="33"/>
  <c r="K526" i="33"/>
  <c r="K527" i="33"/>
  <c r="K528" i="33"/>
  <c r="L523" i="33"/>
  <c r="L524" i="33"/>
  <c r="L525" i="33"/>
  <c r="L526" i="33"/>
  <c r="L527" i="33"/>
  <c r="L528" i="33"/>
  <c r="M523" i="33"/>
  <c r="M524" i="33"/>
  <c r="M525" i="33"/>
  <c r="M526" i="33"/>
  <c r="M527" i="33"/>
  <c r="M528" i="33"/>
  <c r="N523" i="33"/>
  <c r="N524" i="33"/>
  <c r="N525" i="33"/>
  <c r="N526" i="33"/>
  <c r="N527" i="33"/>
  <c r="N528" i="33"/>
  <c r="O523" i="33"/>
  <c r="O524" i="33"/>
  <c r="O525" i="33"/>
  <c r="O526" i="33"/>
  <c r="O527" i="33"/>
  <c r="O528" i="33"/>
  <c r="P523" i="33"/>
  <c r="P524" i="33"/>
  <c r="P525" i="33"/>
  <c r="P526" i="33"/>
  <c r="P527" i="33"/>
  <c r="P528" i="33"/>
  <c r="Q523" i="33"/>
  <c r="Q524" i="33"/>
  <c r="Q525" i="33"/>
  <c r="Q526" i="33"/>
  <c r="Q527" i="33"/>
  <c r="Q528" i="33"/>
  <c r="R523" i="33"/>
  <c r="R524" i="33"/>
  <c r="R525" i="33"/>
  <c r="R526" i="33"/>
  <c r="R527" i="33"/>
  <c r="R528" i="33"/>
  <c r="C522" i="33"/>
  <c r="F522" i="33"/>
  <c r="G522" i="33"/>
  <c r="J522" i="33"/>
  <c r="K522" i="33"/>
  <c r="L522" i="33"/>
  <c r="M522" i="33"/>
  <c r="N522" i="33"/>
  <c r="O522" i="33"/>
  <c r="P522" i="33"/>
  <c r="Q522" i="33"/>
  <c r="R522" i="33"/>
  <c r="I677" i="17"/>
  <c r="L677" i="17"/>
  <c r="C515" i="33"/>
  <c r="C516" i="33"/>
  <c r="C517" i="33"/>
  <c r="C518" i="33"/>
  <c r="C519" i="33"/>
  <c r="C520" i="33"/>
  <c r="C521" i="33"/>
  <c r="F515" i="33"/>
  <c r="F516" i="33"/>
  <c r="F517" i="33"/>
  <c r="F518" i="33"/>
  <c r="F519" i="33"/>
  <c r="F520" i="33"/>
  <c r="F521" i="33"/>
  <c r="G515" i="33"/>
  <c r="G516" i="33"/>
  <c r="G517" i="33"/>
  <c r="G518" i="33"/>
  <c r="G519" i="33"/>
  <c r="G520" i="33"/>
  <c r="G521" i="33"/>
  <c r="J515" i="33"/>
  <c r="J516" i="33"/>
  <c r="J517" i="33"/>
  <c r="J518" i="33"/>
  <c r="J519" i="33"/>
  <c r="J520" i="33"/>
  <c r="J521" i="33"/>
  <c r="K515" i="33"/>
  <c r="K516" i="33"/>
  <c r="K517" i="33"/>
  <c r="K518" i="33"/>
  <c r="K519" i="33"/>
  <c r="K520" i="33"/>
  <c r="K521" i="33"/>
  <c r="L515" i="33"/>
  <c r="L516" i="33"/>
  <c r="L517" i="33"/>
  <c r="L518" i="33"/>
  <c r="L519" i="33"/>
  <c r="L520" i="33"/>
  <c r="L521" i="33"/>
  <c r="M515" i="33"/>
  <c r="M516" i="33"/>
  <c r="M517" i="33"/>
  <c r="M518" i="33"/>
  <c r="M519" i="33"/>
  <c r="M520" i="33"/>
  <c r="M521" i="33"/>
  <c r="N515" i="33"/>
  <c r="N516" i="33"/>
  <c r="N517" i="33"/>
  <c r="N518" i="33"/>
  <c r="N519" i="33"/>
  <c r="N520" i="33"/>
  <c r="N521" i="33"/>
  <c r="O515" i="33"/>
  <c r="O516" i="33"/>
  <c r="O517" i="33"/>
  <c r="O518" i="33"/>
  <c r="O519" i="33"/>
  <c r="O520" i="33"/>
  <c r="O521" i="33"/>
  <c r="P515" i="33"/>
  <c r="P516" i="33"/>
  <c r="P517" i="33"/>
  <c r="P518" i="33"/>
  <c r="P519" i="33"/>
  <c r="P520" i="33"/>
  <c r="P521" i="33"/>
  <c r="Q515" i="33"/>
  <c r="Q516" i="33"/>
  <c r="Q517" i="33"/>
  <c r="Q518" i="33"/>
  <c r="Q519" i="33"/>
  <c r="Q520" i="33"/>
  <c r="Q521" i="33"/>
  <c r="R515" i="33"/>
  <c r="R516" i="33"/>
  <c r="R517" i="33"/>
  <c r="R518" i="33"/>
  <c r="R519" i="33"/>
  <c r="R520" i="33"/>
  <c r="R521" i="33"/>
  <c r="C514" i="33"/>
  <c r="F514" i="33"/>
  <c r="G514" i="33"/>
  <c r="J514" i="33"/>
  <c r="K514" i="33"/>
  <c r="L514" i="33"/>
  <c r="M514" i="33"/>
  <c r="N514" i="33"/>
  <c r="O514" i="33"/>
  <c r="P514" i="33"/>
  <c r="Q514" i="33"/>
  <c r="R514" i="33"/>
  <c r="I663" i="17"/>
  <c r="L663" i="17"/>
  <c r="C505" i="33"/>
  <c r="C506" i="33"/>
  <c r="C507" i="33"/>
  <c r="C508" i="33"/>
  <c r="C509" i="33"/>
  <c r="C510" i="33"/>
  <c r="C511" i="33"/>
  <c r="C512" i="33"/>
  <c r="C513" i="33"/>
  <c r="F505" i="33"/>
  <c r="F506" i="33"/>
  <c r="F507" i="33"/>
  <c r="F508" i="33"/>
  <c r="F509" i="33"/>
  <c r="F510" i="33"/>
  <c r="F511" i="33"/>
  <c r="F512" i="33"/>
  <c r="F513" i="33"/>
  <c r="G505" i="33"/>
  <c r="G506" i="33"/>
  <c r="G507" i="33"/>
  <c r="G508" i="33"/>
  <c r="G509" i="33"/>
  <c r="G510" i="33"/>
  <c r="G511" i="33"/>
  <c r="G512" i="33"/>
  <c r="G513" i="33"/>
  <c r="J505" i="33"/>
  <c r="J506" i="33"/>
  <c r="J507" i="33"/>
  <c r="J508" i="33"/>
  <c r="J509" i="33"/>
  <c r="J510" i="33"/>
  <c r="J511" i="33"/>
  <c r="J512" i="33"/>
  <c r="J513" i="33"/>
  <c r="K505" i="33"/>
  <c r="K506" i="33"/>
  <c r="K507" i="33"/>
  <c r="K508" i="33"/>
  <c r="K509" i="33"/>
  <c r="K510" i="33"/>
  <c r="K511" i="33"/>
  <c r="K512" i="33"/>
  <c r="K513" i="33"/>
  <c r="L505" i="33"/>
  <c r="L506" i="33"/>
  <c r="L507" i="33"/>
  <c r="L508" i="33"/>
  <c r="L509" i="33"/>
  <c r="L510" i="33"/>
  <c r="L511" i="33"/>
  <c r="L512" i="33"/>
  <c r="L513" i="33"/>
  <c r="M505" i="33"/>
  <c r="M506" i="33"/>
  <c r="M507" i="33"/>
  <c r="M508" i="33"/>
  <c r="M509" i="33"/>
  <c r="M510" i="33"/>
  <c r="M511" i="33"/>
  <c r="M512" i="33"/>
  <c r="M513" i="33"/>
  <c r="N505" i="33"/>
  <c r="N506" i="33"/>
  <c r="N507" i="33"/>
  <c r="N508" i="33"/>
  <c r="N509" i="33"/>
  <c r="N510" i="33"/>
  <c r="N511" i="33"/>
  <c r="N512" i="33"/>
  <c r="N513" i="33"/>
  <c r="O505" i="33"/>
  <c r="O506" i="33"/>
  <c r="O507" i="33"/>
  <c r="O508" i="33"/>
  <c r="O509" i="33"/>
  <c r="O510" i="33"/>
  <c r="O511" i="33"/>
  <c r="O512" i="33"/>
  <c r="O513" i="33"/>
  <c r="P505" i="33"/>
  <c r="P506" i="33"/>
  <c r="P507" i="33"/>
  <c r="P508" i="33"/>
  <c r="P509" i="33"/>
  <c r="P510" i="33"/>
  <c r="P511" i="33"/>
  <c r="P512" i="33"/>
  <c r="P513" i="33"/>
  <c r="Q505" i="33"/>
  <c r="Q506" i="33"/>
  <c r="Q507" i="33"/>
  <c r="Q508" i="33"/>
  <c r="Q509" i="33"/>
  <c r="Q510" i="33"/>
  <c r="Q511" i="33"/>
  <c r="Q512" i="33"/>
  <c r="Q513" i="33"/>
  <c r="R505" i="33"/>
  <c r="R506" i="33"/>
  <c r="R507" i="33"/>
  <c r="R508" i="33"/>
  <c r="R509" i="33"/>
  <c r="R510" i="33"/>
  <c r="R511" i="33"/>
  <c r="R512" i="33"/>
  <c r="R513" i="33"/>
  <c r="C504" i="33"/>
  <c r="F504" i="33"/>
  <c r="G504" i="33"/>
  <c r="J504" i="33"/>
  <c r="K504" i="33"/>
  <c r="L504" i="33"/>
  <c r="M504" i="33"/>
  <c r="N504" i="33"/>
  <c r="O504" i="33"/>
  <c r="P504" i="33"/>
  <c r="Q504" i="33"/>
  <c r="R504" i="33"/>
  <c r="C2" i="33"/>
  <c r="F2" i="33"/>
  <c r="G2" i="33"/>
  <c r="J2" i="33"/>
  <c r="K2" i="33"/>
  <c r="L2" i="33"/>
  <c r="M2" i="33"/>
  <c r="N2" i="33"/>
  <c r="O2" i="33"/>
  <c r="P2" i="33"/>
  <c r="C3" i="33"/>
  <c r="F3" i="33"/>
  <c r="G3" i="33"/>
  <c r="J3" i="33"/>
  <c r="K3" i="33"/>
  <c r="L3" i="33"/>
  <c r="M3" i="33"/>
  <c r="N3" i="33"/>
  <c r="O3" i="33"/>
  <c r="P3" i="33"/>
  <c r="C4" i="33"/>
  <c r="F4" i="33"/>
  <c r="G4" i="33"/>
  <c r="J4" i="33"/>
  <c r="K4" i="33"/>
  <c r="L4" i="33"/>
  <c r="M4" i="33"/>
  <c r="N4" i="33"/>
  <c r="O4" i="33"/>
  <c r="P4" i="33"/>
  <c r="C5" i="33"/>
  <c r="F5" i="33"/>
  <c r="G5" i="33"/>
  <c r="J5" i="33"/>
  <c r="K5" i="33"/>
  <c r="L5" i="33"/>
  <c r="M5" i="33"/>
  <c r="N5" i="33"/>
  <c r="O5" i="33"/>
  <c r="P5" i="33"/>
  <c r="C6" i="33"/>
  <c r="F6" i="33"/>
  <c r="G6" i="33"/>
  <c r="J6" i="33"/>
  <c r="K6" i="33"/>
  <c r="L6" i="33"/>
  <c r="M6" i="33"/>
  <c r="N6" i="33"/>
  <c r="O6" i="33"/>
  <c r="P6" i="33"/>
  <c r="C7" i="33"/>
  <c r="F7" i="33"/>
  <c r="G7" i="33"/>
  <c r="J7" i="33"/>
  <c r="K7" i="33"/>
  <c r="L7" i="33"/>
  <c r="M7" i="33"/>
  <c r="N7" i="33"/>
  <c r="O7" i="33"/>
  <c r="P7" i="33"/>
  <c r="C8" i="33"/>
  <c r="F8" i="33"/>
  <c r="G8" i="33"/>
  <c r="J8" i="33"/>
  <c r="K8" i="33"/>
  <c r="L8" i="33"/>
  <c r="M8" i="33"/>
  <c r="N8" i="33"/>
  <c r="O8" i="33"/>
  <c r="P8" i="33"/>
  <c r="C9" i="33"/>
  <c r="F9" i="33"/>
  <c r="G9" i="33"/>
  <c r="J9" i="33"/>
  <c r="K9" i="33"/>
  <c r="L9" i="33"/>
  <c r="M9" i="33"/>
  <c r="N9" i="33"/>
  <c r="O9" i="33"/>
  <c r="P9" i="33"/>
  <c r="C10" i="33"/>
  <c r="F10" i="33"/>
  <c r="G10" i="33"/>
  <c r="J10" i="33"/>
  <c r="K10" i="33"/>
  <c r="L10" i="33"/>
  <c r="M10" i="33"/>
  <c r="N10" i="33"/>
  <c r="O10" i="33"/>
  <c r="P10" i="33"/>
  <c r="C11" i="33"/>
  <c r="F11" i="33"/>
  <c r="G11" i="33"/>
  <c r="J11" i="33"/>
  <c r="K11" i="33"/>
  <c r="L11" i="33"/>
  <c r="M11" i="33"/>
  <c r="N11" i="33"/>
  <c r="O11" i="33"/>
  <c r="P11" i="33"/>
  <c r="C12" i="33"/>
  <c r="F12" i="33"/>
  <c r="G12" i="33"/>
  <c r="J12" i="33"/>
  <c r="K12" i="33"/>
  <c r="L12" i="33"/>
  <c r="M12" i="33"/>
  <c r="N12" i="33"/>
  <c r="O12" i="33"/>
  <c r="P12" i="33"/>
  <c r="C13" i="33"/>
  <c r="F13" i="33"/>
  <c r="G13" i="33"/>
  <c r="J13" i="33"/>
  <c r="K13" i="33"/>
  <c r="L13" i="33"/>
  <c r="M13" i="33"/>
  <c r="N13" i="33"/>
  <c r="O13" i="33"/>
  <c r="P13" i="33"/>
  <c r="C14" i="33"/>
  <c r="F14" i="33"/>
  <c r="G14" i="33"/>
  <c r="J14" i="33"/>
  <c r="K14" i="33"/>
  <c r="L14" i="33"/>
  <c r="M14" i="33"/>
  <c r="N14" i="33"/>
  <c r="O14" i="33"/>
  <c r="P14" i="33"/>
  <c r="C15" i="33"/>
  <c r="F15" i="33"/>
  <c r="G15" i="33"/>
  <c r="J15" i="33"/>
  <c r="K15" i="33"/>
  <c r="L15" i="33"/>
  <c r="M15" i="33"/>
  <c r="N15" i="33"/>
  <c r="O15" i="33"/>
  <c r="P15" i="33"/>
  <c r="C16" i="33"/>
  <c r="F16" i="33"/>
  <c r="G16" i="33"/>
  <c r="J16" i="33"/>
  <c r="K16" i="33"/>
  <c r="L16" i="33"/>
  <c r="M16" i="33"/>
  <c r="N16" i="33"/>
  <c r="O16" i="33"/>
  <c r="P16" i="33"/>
  <c r="C17" i="33"/>
  <c r="F17" i="33"/>
  <c r="G17" i="33"/>
  <c r="J17" i="33"/>
  <c r="K17" i="33"/>
  <c r="L17" i="33"/>
  <c r="M17" i="33"/>
  <c r="N17" i="33"/>
  <c r="O17" i="33"/>
  <c r="P17" i="33"/>
  <c r="C18" i="33"/>
  <c r="F18" i="33"/>
  <c r="G18" i="33"/>
  <c r="J18" i="33"/>
  <c r="K18" i="33"/>
  <c r="L18" i="33"/>
  <c r="M18" i="33"/>
  <c r="N18" i="33"/>
  <c r="O18" i="33"/>
  <c r="P18" i="33"/>
  <c r="C19" i="33"/>
  <c r="F19" i="33"/>
  <c r="G19" i="33"/>
  <c r="J19" i="33"/>
  <c r="K19" i="33"/>
  <c r="L19" i="33"/>
  <c r="M19" i="33"/>
  <c r="N19" i="33"/>
  <c r="O19" i="33"/>
  <c r="P19" i="33"/>
  <c r="C20" i="33"/>
  <c r="F20" i="33"/>
  <c r="G20" i="33"/>
  <c r="J20" i="33"/>
  <c r="K20" i="33"/>
  <c r="L20" i="33"/>
  <c r="M20" i="33"/>
  <c r="N20" i="33"/>
  <c r="O20" i="33"/>
  <c r="P20" i="33"/>
  <c r="C21" i="33"/>
  <c r="F21" i="33"/>
  <c r="G21" i="33"/>
  <c r="J21" i="33"/>
  <c r="K21" i="33"/>
  <c r="L21" i="33"/>
  <c r="M21" i="33"/>
  <c r="N21" i="33"/>
  <c r="O21" i="33"/>
  <c r="P21" i="33"/>
  <c r="C22" i="33"/>
  <c r="F22" i="33"/>
  <c r="G22" i="33"/>
  <c r="J22" i="33"/>
  <c r="K22" i="33"/>
  <c r="L22" i="33"/>
  <c r="M22" i="33"/>
  <c r="N22" i="33"/>
  <c r="O22" i="33"/>
  <c r="P22" i="33"/>
  <c r="C23" i="33"/>
  <c r="F23" i="33"/>
  <c r="G23" i="33"/>
  <c r="J23" i="33"/>
  <c r="K23" i="33"/>
  <c r="L23" i="33"/>
  <c r="M23" i="33"/>
  <c r="N23" i="33"/>
  <c r="O23" i="33"/>
  <c r="P23" i="33"/>
  <c r="C24" i="33"/>
  <c r="F24" i="33"/>
  <c r="G24" i="33"/>
  <c r="J24" i="33"/>
  <c r="K24" i="33"/>
  <c r="L24" i="33"/>
  <c r="M24" i="33"/>
  <c r="N24" i="33"/>
  <c r="O24" i="33"/>
  <c r="P24" i="33"/>
  <c r="C25" i="33"/>
  <c r="F25" i="33"/>
  <c r="G25" i="33"/>
  <c r="J25" i="33"/>
  <c r="K25" i="33"/>
  <c r="L25" i="33"/>
  <c r="M25" i="33"/>
  <c r="N25" i="33"/>
  <c r="O25" i="33"/>
  <c r="P25" i="33"/>
  <c r="C26" i="33"/>
  <c r="F26" i="33"/>
  <c r="G26" i="33"/>
  <c r="J26" i="33"/>
  <c r="K26" i="33"/>
  <c r="L26" i="33"/>
  <c r="M26" i="33"/>
  <c r="N26" i="33"/>
  <c r="O26" i="33"/>
  <c r="P26" i="33"/>
  <c r="C27" i="33"/>
  <c r="F27" i="33"/>
  <c r="G27" i="33"/>
  <c r="J27" i="33"/>
  <c r="K27" i="33"/>
  <c r="L27" i="33"/>
  <c r="M27" i="33"/>
  <c r="N27" i="33"/>
  <c r="O27" i="33"/>
  <c r="P27" i="33"/>
  <c r="C28" i="33"/>
  <c r="F28" i="33"/>
  <c r="G28" i="33"/>
  <c r="J28" i="33"/>
  <c r="K28" i="33"/>
  <c r="L28" i="33"/>
  <c r="M28" i="33"/>
  <c r="N28" i="33"/>
  <c r="O28" i="33"/>
  <c r="P28" i="33"/>
  <c r="C29" i="33"/>
  <c r="F29" i="33"/>
  <c r="G29" i="33"/>
  <c r="J29" i="33"/>
  <c r="K29" i="33"/>
  <c r="L29" i="33"/>
  <c r="M29" i="33"/>
  <c r="N29" i="33"/>
  <c r="O29" i="33"/>
  <c r="P29" i="33"/>
  <c r="C30" i="33"/>
  <c r="F30" i="33"/>
  <c r="G30" i="33"/>
  <c r="J30" i="33"/>
  <c r="K30" i="33"/>
  <c r="L30" i="33"/>
  <c r="M30" i="33"/>
  <c r="N30" i="33"/>
  <c r="O30" i="33"/>
  <c r="P30" i="33"/>
  <c r="C31" i="33"/>
  <c r="F31" i="33"/>
  <c r="G31" i="33"/>
  <c r="J31" i="33"/>
  <c r="K31" i="33"/>
  <c r="L31" i="33"/>
  <c r="M31" i="33"/>
  <c r="N31" i="33"/>
  <c r="O31" i="33"/>
  <c r="P31" i="33"/>
  <c r="C32" i="33"/>
  <c r="F32" i="33"/>
  <c r="G32" i="33"/>
  <c r="J32" i="33"/>
  <c r="K32" i="33"/>
  <c r="L32" i="33"/>
  <c r="M32" i="33"/>
  <c r="N32" i="33"/>
  <c r="O32" i="33"/>
  <c r="P32" i="33"/>
  <c r="C33" i="33"/>
  <c r="F33" i="33"/>
  <c r="G33" i="33"/>
  <c r="J33" i="33"/>
  <c r="K33" i="33"/>
  <c r="L33" i="33"/>
  <c r="M33" i="33"/>
  <c r="N33" i="33"/>
  <c r="O33" i="33"/>
  <c r="P33" i="33"/>
  <c r="C34" i="33"/>
  <c r="F34" i="33"/>
  <c r="G34" i="33"/>
  <c r="J34" i="33"/>
  <c r="K34" i="33"/>
  <c r="L34" i="33"/>
  <c r="M34" i="33"/>
  <c r="N34" i="33"/>
  <c r="O34" i="33"/>
  <c r="P34" i="33"/>
  <c r="C35" i="33"/>
  <c r="F35" i="33"/>
  <c r="G35" i="33"/>
  <c r="J35" i="33"/>
  <c r="K35" i="33"/>
  <c r="L35" i="33"/>
  <c r="M35" i="33"/>
  <c r="N35" i="33"/>
  <c r="O35" i="33"/>
  <c r="P35" i="33"/>
  <c r="C36" i="33"/>
  <c r="F36" i="33"/>
  <c r="G36" i="33"/>
  <c r="J36" i="33"/>
  <c r="K36" i="33"/>
  <c r="L36" i="33"/>
  <c r="M36" i="33"/>
  <c r="N36" i="33"/>
  <c r="O36" i="33"/>
  <c r="P36" i="33"/>
  <c r="C37" i="33"/>
  <c r="F37" i="33"/>
  <c r="G37" i="33"/>
  <c r="J37" i="33"/>
  <c r="K37" i="33"/>
  <c r="L37" i="33"/>
  <c r="M37" i="33"/>
  <c r="N37" i="33"/>
  <c r="O37" i="33"/>
  <c r="P37" i="33"/>
  <c r="C38" i="33"/>
  <c r="F38" i="33"/>
  <c r="G38" i="33"/>
  <c r="J38" i="33"/>
  <c r="K38" i="33"/>
  <c r="L38" i="33"/>
  <c r="M38" i="33"/>
  <c r="N38" i="33"/>
  <c r="O38" i="33"/>
  <c r="P38" i="33"/>
  <c r="C39" i="33"/>
  <c r="F39" i="33"/>
  <c r="G39" i="33"/>
  <c r="J39" i="33"/>
  <c r="K39" i="33"/>
  <c r="L39" i="33"/>
  <c r="M39" i="33"/>
  <c r="N39" i="33"/>
  <c r="O39" i="33"/>
  <c r="P39" i="33"/>
  <c r="C40" i="33"/>
  <c r="F40" i="33"/>
  <c r="G40" i="33"/>
  <c r="J40" i="33"/>
  <c r="K40" i="33"/>
  <c r="L40" i="33"/>
  <c r="M40" i="33"/>
  <c r="N40" i="33"/>
  <c r="O40" i="33"/>
  <c r="P40" i="33"/>
  <c r="C41" i="33"/>
  <c r="F41" i="33"/>
  <c r="G41" i="33"/>
  <c r="J41" i="33"/>
  <c r="K41" i="33"/>
  <c r="L41" i="33"/>
  <c r="M41" i="33"/>
  <c r="N41" i="33"/>
  <c r="O41" i="33"/>
  <c r="P41" i="33"/>
  <c r="C42" i="33"/>
  <c r="F42" i="33"/>
  <c r="G42" i="33"/>
  <c r="J42" i="33"/>
  <c r="K42" i="33"/>
  <c r="L42" i="33"/>
  <c r="M42" i="33"/>
  <c r="N42" i="33"/>
  <c r="O42" i="33"/>
  <c r="P42" i="33"/>
  <c r="C43" i="33"/>
  <c r="F43" i="33"/>
  <c r="G43" i="33"/>
  <c r="J43" i="33"/>
  <c r="K43" i="33"/>
  <c r="L43" i="33"/>
  <c r="M43" i="33"/>
  <c r="N43" i="33"/>
  <c r="O43" i="33"/>
  <c r="P43" i="33"/>
  <c r="C44" i="33"/>
  <c r="F44" i="33"/>
  <c r="G44" i="33"/>
  <c r="J44" i="33"/>
  <c r="K44" i="33"/>
  <c r="L44" i="33"/>
  <c r="M44" i="33"/>
  <c r="N44" i="33"/>
  <c r="O44" i="33"/>
  <c r="P44" i="33"/>
  <c r="C45" i="33"/>
  <c r="F45" i="33"/>
  <c r="G45" i="33"/>
  <c r="J45" i="33"/>
  <c r="K45" i="33"/>
  <c r="L45" i="33"/>
  <c r="M45" i="33"/>
  <c r="N45" i="33"/>
  <c r="O45" i="33"/>
  <c r="P45" i="33"/>
  <c r="C46" i="33"/>
  <c r="F46" i="33"/>
  <c r="G46" i="33"/>
  <c r="J46" i="33"/>
  <c r="K46" i="33"/>
  <c r="L46" i="33"/>
  <c r="M46" i="33"/>
  <c r="N46" i="33"/>
  <c r="O46" i="33"/>
  <c r="P46" i="33"/>
  <c r="C47" i="33"/>
  <c r="F47" i="33"/>
  <c r="G47" i="33"/>
  <c r="J47" i="33"/>
  <c r="K47" i="33"/>
  <c r="L47" i="33"/>
  <c r="M47" i="33"/>
  <c r="N47" i="33"/>
  <c r="O47" i="33"/>
  <c r="P47" i="33"/>
  <c r="C48" i="33"/>
  <c r="F48" i="33"/>
  <c r="G48" i="33"/>
  <c r="J48" i="33"/>
  <c r="K48" i="33"/>
  <c r="L48" i="33"/>
  <c r="M48" i="33"/>
  <c r="N48" i="33"/>
  <c r="O48" i="33"/>
  <c r="P48" i="33"/>
  <c r="C49" i="33"/>
  <c r="F49" i="33"/>
  <c r="G49" i="33"/>
  <c r="J49" i="33"/>
  <c r="K49" i="33"/>
  <c r="L49" i="33"/>
  <c r="M49" i="33"/>
  <c r="N49" i="33"/>
  <c r="O49" i="33"/>
  <c r="P49" i="33"/>
  <c r="C50" i="33"/>
  <c r="F50" i="33"/>
  <c r="G50" i="33"/>
  <c r="J50" i="33"/>
  <c r="K50" i="33"/>
  <c r="L50" i="33"/>
  <c r="M50" i="33"/>
  <c r="N50" i="33"/>
  <c r="O50" i="33"/>
  <c r="P50" i="33"/>
  <c r="C51" i="33"/>
  <c r="F51" i="33"/>
  <c r="G51" i="33"/>
  <c r="J51" i="33"/>
  <c r="K51" i="33"/>
  <c r="L51" i="33"/>
  <c r="M51" i="33"/>
  <c r="N51" i="33"/>
  <c r="O51" i="33"/>
  <c r="P51" i="33"/>
  <c r="C52" i="33"/>
  <c r="F52" i="33"/>
  <c r="G52" i="33"/>
  <c r="J52" i="33"/>
  <c r="K52" i="33"/>
  <c r="L52" i="33"/>
  <c r="M52" i="33"/>
  <c r="N52" i="33"/>
  <c r="O52" i="33"/>
  <c r="P52" i="33"/>
  <c r="C53" i="33"/>
  <c r="F53" i="33"/>
  <c r="G53" i="33"/>
  <c r="J53" i="33"/>
  <c r="K53" i="33"/>
  <c r="L53" i="33"/>
  <c r="M53" i="33"/>
  <c r="N53" i="33"/>
  <c r="O53" i="33"/>
  <c r="P53" i="33"/>
  <c r="C54" i="33"/>
  <c r="F54" i="33"/>
  <c r="G54" i="33"/>
  <c r="J54" i="33"/>
  <c r="K54" i="33"/>
  <c r="L54" i="33"/>
  <c r="M54" i="33"/>
  <c r="N54" i="33"/>
  <c r="O54" i="33"/>
  <c r="P54" i="33"/>
  <c r="C55" i="33"/>
  <c r="F55" i="33"/>
  <c r="G55" i="33"/>
  <c r="J55" i="33"/>
  <c r="K55" i="33"/>
  <c r="L55" i="33"/>
  <c r="M55" i="33"/>
  <c r="N55" i="33"/>
  <c r="O55" i="33"/>
  <c r="P55" i="33"/>
  <c r="C56" i="33"/>
  <c r="F56" i="33"/>
  <c r="G56" i="33"/>
  <c r="J56" i="33"/>
  <c r="K56" i="33"/>
  <c r="L56" i="33"/>
  <c r="M56" i="33"/>
  <c r="N56" i="33"/>
  <c r="O56" i="33"/>
  <c r="P56" i="33"/>
  <c r="C57" i="33"/>
  <c r="F57" i="33"/>
  <c r="G57" i="33"/>
  <c r="J57" i="33"/>
  <c r="K57" i="33"/>
  <c r="L57" i="33"/>
  <c r="M57" i="33"/>
  <c r="N57" i="33"/>
  <c r="O57" i="33"/>
  <c r="P57" i="33"/>
  <c r="C58" i="33"/>
  <c r="F58" i="33"/>
  <c r="G58" i="33"/>
  <c r="J58" i="33"/>
  <c r="K58" i="33"/>
  <c r="L58" i="33"/>
  <c r="M58" i="33"/>
  <c r="N58" i="33"/>
  <c r="O58" i="33"/>
  <c r="P58" i="33"/>
  <c r="C59" i="33"/>
  <c r="F59" i="33"/>
  <c r="G59" i="33"/>
  <c r="J59" i="33"/>
  <c r="K59" i="33"/>
  <c r="L59" i="33"/>
  <c r="M59" i="33"/>
  <c r="N59" i="33"/>
  <c r="O59" i="33"/>
  <c r="P59" i="33"/>
  <c r="C60" i="33"/>
  <c r="F60" i="33"/>
  <c r="G60" i="33"/>
  <c r="J60" i="33"/>
  <c r="K60" i="33"/>
  <c r="L60" i="33"/>
  <c r="M60" i="33"/>
  <c r="N60" i="33"/>
  <c r="O60" i="33"/>
  <c r="P60" i="33"/>
  <c r="C61" i="33"/>
  <c r="F61" i="33"/>
  <c r="G61" i="33"/>
  <c r="J61" i="33"/>
  <c r="K61" i="33"/>
  <c r="L61" i="33"/>
  <c r="M61" i="33"/>
  <c r="N61" i="33"/>
  <c r="O61" i="33"/>
  <c r="P61" i="33"/>
  <c r="C62" i="33"/>
  <c r="F62" i="33"/>
  <c r="G62" i="33"/>
  <c r="J62" i="33"/>
  <c r="K62" i="33"/>
  <c r="L62" i="33"/>
  <c r="M62" i="33"/>
  <c r="N62" i="33"/>
  <c r="O62" i="33"/>
  <c r="P62" i="33"/>
  <c r="C63" i="33"/>
  <c r="F63" i="33"/>
  <c r="G63" i="33"/>
  <c r="J63" i="33"/>
  <c r="K63" i="33"/>
  <c r="L63" i="33"/>
  <c r="M63" i="33"/>
  <c r="N63" i="33"/>
  <c r="O63" i="33"/>
  <c r="P63" i="33"/>
  <c r="C64" i="33"/>
  <c r="F64" i="33"/>
  <c r="G64" i="33"/>
  <c r="J64" i="33"/>
  <c r="K64" i="33"/>
  <c r="L64" i="33"/>
  <c r="M64" i="33"/>
  <c r="N64" i="33"/>
  <c r="O64" i="33"/>
  <c r="P64" i="33"/>
  <c r="C65" i="33"/>
  <c r="F65" i="33"/>
  <c r="G65" i="33"/>
  <c r="J65" i="33"/>
  <c r="K65" i="33"/>
  <c r="L65" i="33"/>
  <c r="M65" i="33"/>
  <c r="N65" i="33"/>
  <c r="O65" i="33"/>
  <c r="P65" i="33"/>
  <c r="C66" i="33"/>
  <c r="F66" i="33"/>
  <c r="G66" i="33"/>
  <c r="J66" i="33"/>
  <c r="K66" i="33"/>
  <c r="L66" i="33"/>
  <c r="M66" i="33"/>
  <c r="N66" i="33"/>
  <c r="O66" i="33"/>
  <c r="P66" i="33"/>
  <c r="C67" i="33"/>
  <c r="F67" i="33"/>
  <c r="G67" i="33"/>
  <c r="J67" i="33"/>
  <c r="K67" i="33"/>
  <c r="L67" i="33"/>
  <c r="M67" i="33"/>
  <c r="N67" i="33"/>
  <c r="O67" i="33"/>
  <c r="P67" i="33"/>
  <c r="C68" i="33"/>
  <c r="F68" i="33"/>
  <c r="G68" i="33"/>
  <c r="J68" i="33"/>
  <c r="K68" i="33"/>
  <c r="L68" i="33"/>
  <c r="M68" i="33"/>
  <c r="N68" i="33"/>
  <c r="O68" i="33"/>
  <c r="P68" i="33"/>
  <c r="C69" i="33"/>
  <c r="F69" i="33"/>
  <c r="G69" i="33"/>
  <c r="J69" i="33"/>
  <c r="K69" i="33"/>
  <c r="L69" i="33"/>
  <c r="M69" i="33"/>
  <c r="N69" i="33"/>
  <c r="O69" i="33"/>
  <c r="P69" i="33"/>
  <c r="C70" i="33"/>
  <c r="F70" i="33"/>
  <c r="G70" i="33"/>
  <c r="J70" i="33"/>
  <c r="K70" i="33"/>
  <c r="L70" i="33"/>
  <c r="M70" i="33"/>
  <c r="N70" i="33"/>
  <c r="O70" i="33"/>
  <c r="P70" i="33"/>
  <c r="C71" i="33"/>
  <c r="F71" i="33"/>
  <c r="G71" i="33"/>
  <c r="J71" i="33"/>
  <c r="K71" i="33"/>
  <c r="L71" i="33"/>
  <c r="M71" i="33"/>
  <c r="N71" i="33"/>
  <c r="O71" i="33"/>
  <c r="P71" i="33"/>
  <c r="C72" i="33"/>
  <c r="F72" i="33"/>
  <c r="G72" i="33"/>
  <c r="J72" i="33"/>
  <c r="K72" i="33"/>
  <c r="L72" i="33"/>
  <c r="M72" i="33"/>
  <c r="N72" i="33"/>
  <c r="O72" i="33"/>
  <c r="P72" i="33"/>
  <c r="C73" i="33"/>
  <c r="F73" i="33"/>
  <c r="G73" i="33"/>
  <c r="J73" i="33"/>
  <c r="K73" i="33"/>
  <c r="L73" i="33"/>
  <c r="M73" i="33"/>
  <c r="N73" i="33"/>
  <c r="O73" i="33"/>
  <c r="P73" i="33"/>
  <c r="C74" i="33"/>
  <c r="F74" i="33"/>
  <c r="G74" i="33"/>
  <c r="J74" i="33"/>
  <c r="K74" i="33"/>
  <c r="L74" i="33"/>
  <c r="M74" i="33"/>
  <c r="N74" i="33"/>
  <c r="O74" i="33"/>
  <c r="P74" i="33"/>
  <c r="C75" i="33"/>
  <c r="F75" i="33"/>
  <c r="G75" i="33"/>
  <c r="J75" i="33"/>
  <c r="K75" i="33"/>
  <c r="L75" i="33"/>
  <c r="M75" i="33"/>
  <c r="N75" i="33"/>
  <c r="O75" i="33"/>
  <c r="P75" i="33"/>
  <c r="C76" i="33"/>
  <c r="F76" i="33"/>
  <c r="G76" i="33"/>
  <c r="J76" i="33"/>
  <c r="K76" i="33"/>
  <c r="L76" i="33"/>
  <c r="M76" i="33"/>
  <c r="N76" i="33"/>
  <c r="O76" i="33"/>
  <c r="P76" i="33"/>
  <c r="C77" i="33"/>
  <c r="F77" i="33"/>
  <c r="G77" i="33"/>
  <c r="J77" i="33"/>
  <c r="K77" i="33"/>
  <c r="L77" i="33"/>
  <c r="M77" i="33"/>
  <c r="N77" i="33"/>
  <c r="O77" i="33"/>
  <c r="P77" i="33"/>
  <c r="C78" i="33"/>
  <c r="F78" i="33"/>
  <c r="G78" i="33"/>
  <c r="J78" i="33"/>
  <c r="K78" i="33"/>
  <c r="L78" i="33"/>
  <c r="M78" i="33"/>
  <c r="N78" i="33"/>
  <c r="O78" i="33"/>
  <c r="P78" i="33"/>
  <c r="C79" i="33"/>
  <c r="F79" i="33"/>
  <c r="G79" i="33"/>
  <c r="J79" i="33"/>
  <c r="K79" i="33"/>
  <c r="L79" i="33"/>
  <c r="M79" i="33"/>
  <c r="N79" i="33"/>
  <c r="O79" i="33"/>
  <c r="P79" i="33"/>
  <c r="C80" i="33"/>
  <c r="F80" i="33"/>
  <c r="G80" i="33"/>
  <c r="J80" i="33"/>
  <c r="K80" i="33"/>
  <c r="L80" i="33"/>
  <c r="M80" i="33"/>
  <c r="N80" i="33"/>
  <c r="O80" i="33"/>
  <c r="P80" i="33"/>
  <c r="C81" i="33"/>
  <c r="F81" i="33"/>
  <c r="G81" i="33"/>
  <c r="J81" i="33"/>
  <c r="K81" i="33"/>
  <c r="L81" i="33"/>
  <c r="M81" i="33"/>
  <c r="N81" i="33"/>
  <c r="O81" i="33"/>
  <c r="P81" i="33"/>
  <c r="C82" i="33"/>
  <c r="F82" i="33"/>
  <c r="G82" i="33"/>
  <c r="J82" i="33"/>
  <c r="K82" i="33"/>
  <c r="L82" i="33"/>
  <c r="M82" i="33"/>
  <c r="N82" i="33"/>
  <c r="O82" i="33"/>
  <c r="P82" i="33"/>
  <c r="C83" i="33"/>
  <c r="F83" i="33"/>
  <c r="G83" i="33"/>
  <c r="J83" i="33"/>
  <c r="K83" i="33"/>
  <c r="L83" i="33"/>
  <c r="M83" i="33"/>
  <c r="N83" i="33"/>
  <c r="O83" i="33"/>
  <c r="P83" i="33"/>
  <c r="C84" i="33"/>
  <c r="F84" i="33"/>
  <c r="G84" i="33"/>
  <c r="J84" i="33"/>
  <c r="K84" i="33"/>
  <c r="L84" i="33"/>
  <c r="M84" i="33"/>
  <c r="N84" i="33"/>
  <c r="O84" i="33"/>
  <c r="P84" i="33"/>
  <c r="C85" i="33"/>
  <c r="F85" i="33"/>
  <c r="G85" i="33"/>
  <c r="J85" i="33"/>
  <c r="K85" i="33"/>
  <c r="L85" i="33"/>
  <c r="M85" i="33"/>
  <c r="N85" i="33"/>
  <c r="O85" i="33"/>
  <c r="P85" i="33"/>
  <c r="C86" i="33"/>
  <c r="F86" i="33"/>
  <c r="G86" i="33"/>
  <c r="J86" i="33"/>
  <c r="K86" i="33"/>
  <c r="L86" i="33"/>
  <c r="M86" i="33"/>
  <c r="N86" i="33"/>
  <c r="O86" i="33"/>
  <c r="P86" i="33"/>
  <c r="C87" i="33"/>
  <c r="F87" i="33"/>
  <c r="G87" i="33"/>
  <c r="J87" i="33"/>
  <c r="K87" i="33"/>
  <c r="L87" i="33"/>
  <c r="M87" i="33"/>
  <c r="N87" i="33"/>
  <c r="O87" i="33"/>
  <c r="P87" i="33"/>
  <c r="C88" i="33"/>
  <c r="F88" i="33"/>
  <c r="G88" i="33"/>
  <c r="J88" i="33"/>
  <c r="K88" i="33"/>
  <c r="L88" i="33"/>
  <c r="M88" i="33"/>
  <c r="N88" i="33"/>
  <c r="O88" i="33"/>
  <c r="P88" i="33"/>
  <c r="C89" i="33"/>
  <c r="F89" i="33"/>
  <c r="G89" i="33"/>
  <c r="J89" i="33"/>
  <c r="K89" i="33"/>
  <c r="L89" i="33"/>
  <c r="M89" i="33"/>
  <c r="N89" i="33"/>
  <c r="O89" i="33"/>
  <c r="P89" i="33"/>
  <c r="C90" i="33"/>
  <c r="F90" i="33"/>
  <c r="G90" i="33"/>
  <c r="J90" i="33"/>
  <c r="K90" i="33"/>
  <c r="L90" i="33"/>
  <c r="M90" i="33"/>
  <c r="N90" i="33"/>
  <c r="O90" i="33"/>
  <c r="P90" i="33"/>
  <c r="C91" i="33"/>
  <c r="F91" i="33"/>
  <c r="G91" i="33"/>
  <c r="J91" i="33"/>
  <c r="K91" i="33"/>
  <c r="L91" i="33"/>
  <c r="M91" i="33"/>
  <c r="N91" i="33"/>
  <c r="O91" i="33"/>
  <c r="P91" i="33"/>
  <c r="C92" i="33"/>
  <c r="F92" i="33"/>
  <c r="G92" i="33"/>
  <c r="J92" i="33"/>
  <c r="K92" i="33"/>
  <c r="L92" i="33"/>
  <c r="M92" i="33"/>
  <c r="N92" i="33"/>
  <c r="O92" i="33"/>
  <c r="P92" i="33"/>
  <c r="C93" i="33"/>
  <c r="F93" i="33"/>
  <c r="G93" i="33"/>
  <c r="J93" i="33"/>
  <c r="K93" i="33"/>
  <c r="L93" i="33"/>
  <c r="M93" i="33"/>
  <c r="N93" i="33"/>
  <c r="O93" i="33"/>
  <c r="P93" i="33"/>
  <c r="C94" i="33"/>
  <c r="F94" i="33"/>
  <c r="G94" i="33"/>
  <c r="J94" i="33"/>
  <c r="K94" i="33"/>
  <c r="L94" i="33"/>
  <c r="M94" i="33"/>
  <c r="N94" i="33"/>
  <c r="O94" i="33"/>
  <c r="P94" i="33"/>
  <c r="C95" i="33"/>
  <c r="F95" i="33"/>
  <c r="G95" i="33"/>
  <c r="J95" i="33"/>
  <c r="K95" i="33"/>
  <c r="L95" i="33"/>
  <c r="M95" i="33"/>
  <c r="N95" i="33"/>
  <c r="O95" i="33"/>
  <c r="P95" i="33"/>
  <c r="C96" i="33"/>
  <c r="F96" i="33"/>
  <c r="G96" i="33"/>
  <c r="J96" i="33"/>
  <c r="K96" i="33"/>
  <c r="L96" i="33"/>
  <c r="M96" i="33"/>
  <c r="N96" i="33"/>
  <c r="O96" i="33"/>
  <c r="P96" i="33"/>
  <c r="C97" i="33"/>
  <c r="F97" i="33"/>
  <c r="G97" i="33"/>
  <c r="J97" i="33"/>
  <c r="K97" i="33"/>
  <c r="L97" i="33"/>
  <c r="M97" i="33"/>
  <c r="N97" i="33"/>
  <c r="O97" i="33"/>
  <c r="P97" i="33"/>
  <c r="C98" i="33"/>
  <c r="F98" i="33"/>
  <c r="G98" i="33"/>
  <c r="J98" i="33"/>
  <c r="K98" i="33"/>
  <c r="L98" i="33"/>
  <c r="M98" i="33"/>
  <c r="N98" i="33"/>
  <c r="O98" i="33"/>
  <c r="P98" i="33"/>
  <c r="C99" i="33"/>
  <c r="F99" i="33"/>
  <c r="G99" i="33"/>
  <c r="J99" i="33"/>
  <c r="K99" i="33"/>
  <c r="L99" i="33"/>
  <c r="M99" i="33"/>
  <c r="N99" i="33"/>
  <c r="O99" i="33"/>
  <c r="P99" i="33"/>
  <c r="C100" i="33"/>
  <c r="F100" i="33"/>
  <c r="G100" i="33"/>
  <c r="J100" i="33"/>
  <c r="K100" i="33"/>
  <c r="L100" i="33"/>
  <c r="M100" i="33"/>
  <c r="N100" i="33"/>
  <c r="O100" i="33"/>
  <c r="P100" i="33"/>
  <c r="C101" i="33"/>
  <c r="F101" i="33"/>
  <c r="G101" i="33"/>
  <c r="J101" i="33"/>
  <c r="K101" i="33"/>
  <c r="L101" i="33"/>
  <c r="M101" i="33"/>
  <c r="N101" i="33"/>
  <c r="O101" i="33"/>
  <c r="P101" i="33"/>
  <c r="C102" i="33"/>
  <c r="F102" i="33"/>
  <c r="G102" i="33"/>
  <c r="J102" i="33"/>
  <c r="K102" i="33"/>
  <c r="L102" i="33"/>
  <c r="M102" i="33"/>
  <c r="N102" i="33"/>
  <c r="O102" i="33"/>
  <c r="P102" i="33"/>
  <c r="C103" i="33"/>
  <c r="F103" i="33"/>
  <c r="G103" i="33"/>
  <c r="J103" i="33"/>
  <c r="K103" i="33"/>
  <c r="L103" i="33"/>
  <c r="M103" i="33"/>
  <c r="N103" i="33"/>
  <c r="O103" i="33"/>
  <c r="P103" i="33"/>
  <c r="C104" i="33"/>
  <c r="F104" i="33"/>
  <c r="G104" i="33"/>
  <c r="J104" i="33"/>
  <c r="K104" i="33"/>
  <c r="L104" i="33"/>
  <c r="M104" i="33"/>
  <c r="N104" i="33"/>
  <c r="O104" i="33"/>
  <c r="P104" i="33"/>
  <c r="C105" i="33"/>
  <c r="F105" i="33"/>
  <c r="G105" i="33"/>
  <c r="J105" i="33"/>
  <c r="K105" i="33"/>
  <c r="L105" i="33"/>
  <c r="M105" i="33"/>
  <c r="N105" i="33"/>
  <c r="O105" i="33"/>
  <c r="P105" i="33"/>
  <c r="C106" i="33"/>
  <c r="F106" i="33"/>
  <c r="G106" i="33"/>
  <c r="J106" i="33"/>
  <c r="K106" i="33"/>
  <c r="L106" i="33"/>
  <c r="M106" i="33"/>
  <c r="N106" i="33"/>
  <c r="O106" i="33"/>
  <c r="P106" i="33"/>
  <c r="C107" i="33"/>
  <c r="F107" i="33"/>
  <c r="G107" i="33"/>
  <c r="J107" i="33"/>
  <c r="K107" i="33"/>
  <c r="L107" i="33"/>
  <c r="M107" i="33"/>
  <c r="N107" i="33"/>
  <c r="O107" i="33"/>
  <c r="P107" i="33"/>
  <c r="C108" i="33"/>
  <c r="F108" i="33"/>
  <c r="G108" i="33"/>
  <c r="J108" i="33"/>
  <c r="K108" i="33"/>
  <c r="L108" i="33"/>
  <c r="M108" i="33"/>
  <c r="N108" i="33"/>
  <c r="O108" i="33"/>
  <c r="P108" i="33"/>
  <c r="C109" i="33"/>
  <c r="F109" i="33"/>
  <c r="G109" i="33"/>
  <c r="J109" i="33"/>
  <c r="K109" i="33"/>
  <c r="L109" i="33"/>
  <c r="M109" i="33"/>
  <c r="N109" i="33"/>
  <c r="O109" i="33"/>
  <c r="P109" i="33"/>
  <c r="C110" i="33"/>
  <c r="F110" i="33"/>
  <c r="G110" i="33"/>
  <c r="J110" i="33"/>
  <c r="K110" i="33"/>
  <c r="L110" i="33"/>
  <c r="M110" i="33"/>
  <c r="N110" i="33"/>
  <c r="O110" i="33"/>
  <c r="P110" i="33"/>
  <c r="C111" i="33"/>
  <c r="F111" i="33"/>
  <c r="G111" i="33"/>
  <c r="J111" i="33"/>
  <c r="K111" i="33"/>
  <c r="L111" i="33"/>
  <c r="M111" i="33"/>
  <c r="N111" i="33"/>
  <c r="O111" i="33"/>
  <c r="P111" i="33"/>
  <c r="C112" i="33"/>
  <c r="F112" i="33"/>
  <c r="G112" i="33"/>
  <c r="J112" i="33"/>
  <c r="K112" i="33"/>
  <c r="L112" i="33"/>
  <c r="M112" i="33"/>
  <c r="N112" i="33"/>
  <c r="O112" i="33"/>
  <c r="P112" i="33"/>
  <c r="C113" i="33"/>
  <c r="F113" i="33"/>
  <c r="G113" i="33"/>
  <c r="J113" i="33"/>
  <c r="K113" i="33"/>
  <c r="L113" i="33"/>
  <c r="M113" i="33"/>
  <c r="N113" i="33"/>
  <c r="O113" i="33"/>
  <c r="P113" i="33"/>
  <c r="C114" i="33"/>
  <c r="F114" i="33"/>
  <c r="G114" i="33"/>
  <c r="J114" i="33"/>
  <c r="K114" i="33"/>
  <c r="L114" i="33"/>
  <c r="M114" i="33"/>
  <c r="N114" i="33"/>
  <c r="O114" i="33"/>
  <c r="P114" i="33"/>
  <c r="C115" i="33"/>
  <c r="F115" i="33"/>
  <c r="G115" i="33"/>
  <c r="J115" i="33"/>
  <c r="K115" i="33"/>
  <c r="L115" i="33"/>
  <c r="M115" i="33"/>
  <c r="N115" i="33"/>
  <c r="O115" i="33"/>
  <c r="P115" i="33"/>
  <c r="C116" i="33"/>
  <c r="F116" i="33"/>
  <c r="G116" i="33"/>
  <c r="J116" i="33"/>
  <c r="K116" i="33"/>
  <c r="L116" i="33"/>
  <c r="M116" i="33"/>
  <c r="N116" i="33"/>
  <c r="O116" i="33"/>
  <c r="P116" i="33"/>
  <c r="C117" i="33"/>
  <c r="F117" i="33"/>
  <c r="G117" i="33"/>
  <c r="J117" i="33"/>
  <c r="K117" i="33"/>
  <c r="L117" i="33"/>
  <c r="M117" i="33"/>
  <c r="N117" i="33"/>
  <c r="O117" i="33"/>
  <c r="P117" i="33"/>
  <c r="C118" i="33"/>
  <c r="F118" i="33"/>
  <c r="G118" i="33"/>
  <c r="J118" i="33"/>
  <c r="K118" i="33"/>
  <c r="L118" i="33"/>
  <c r="M118" i="33"/>
  <c r="N118" i="33"/>
  <c r="O118" i="33"/>
  <c r="P118" i="33"/>
  <c r="C119" i="33"/>
  <c r="F119" i="33"/>
  <c r="G119" i="33"/>
  <c r="J119" i="33"/>
  <c r="K119" i="33"/>
  <c r="L119" i="33"/>
  <c r="M119" i="33"/>
  <c r="N119" i="33"/>
  <c r="O119" i="33"/>
  <c r="P119" i="33"/>
  <c r="C120" i="33"/>
  <c r="F120" i="33"/>
  <c r="G120" i="33"/>
  <c r="J120" i="33"/>
  <c r="K120" i="33"/>
  <c r="L120" i="33"/>
  <c r="M120" i="33"/>
  <c r="N120" i="33"/>
  <c r="O120" i="33"/>
  <c r="P120" i="33"/>
  <c r="C121" i="33"/>
  <c r="F121" i="33"/>
  <c r="G121" i="33"/>
  <c r="J121" i="33"/>
  <c r="K121" i="33"/>
  <c r="L121" i="33"/>
  <c r="M121" i="33"/>
  <c r="N121" i="33"/>
  <c r="O121" i="33"/>
  <c r="P121" i="33"/>
  <c r="C122" i="33"/>
  <c r="F122" i="33"/>
  <c r="G122" i="33"/>
  <c r="J122" i="33"/>
  <c r="K122" i="33"/>
  <c r="L122" i="33"/>
  <c r="M122" i="33"/>
  <c r="N122" i="33"/>
  <c r="O122" i="33"/>
  <c r="P122" i="33"/>
  <c r="C123" i="33"/>
  <c r="F123" i="33"/>
  <c r="G123" i="33"/>
  <c r="J123" i="33"/>
  <c r="K123" i="33"/>
  <c r="L123" i="33"/>
  <c r="M123" i="33"/>
  <c r="N123" i="33"/>
  <c r="O123" i="33"/>
  <c r="P123" i="33"/>
  <c r="C124" i="33"/>
  <c r="F124" i="33"/>
  <c r="G124" i="33"/>
  <c r="J124" i="33"/>
  <c r="K124" i="33"/>
  <c r="L124" i="33"/>
  <c r="M124" i="33"/>
  <c r="N124" i="33"/>
  <c r="O124" i="33"/>
  <c r="P124" i="33"/>
  <c r="C125" i="33"/>
  <c r="F125" i="33"/>
  <c r="G125" i="33"/>
  <c r="J125" i="33"/>
  <c r="K125" i="33"/>
  <c r="L125" i="33"/>
  <c r="M125" i="33"/>
  <c r="N125" i="33"/>
  <c r="O125" i="33"/>
  <c r="P125" i="33"/>
  <c r="C126" i="33"/>
  <c r="F126" i="33"/>
  <c r="G126" i="33"/>
  <c r="J126" i="33"/>
  <c r="K126" i="33"/>
  <c r="L126" i="33"/>
  <c r="M126" i="33"/>
  <c r="N126" i="33"/>
  <c r="O126" i="33"/>
  <c r="P126" i="33"/>
  <c r="C127" i="33"/>
  <c r="F127" i="33"/>
  <c r="G127" i="33"/>
  <c r="J127" i="33"/>
  <c r="K127" i="33"/>
  <c r="L127" i="33"/>
  <c r="M127" i="33"/>
  <c r="N127" i="33"/>
  <c r="O127" i="33"/>
  <c r="P127" i="33"/>
  <c r="C128" i="33"/>
  <c r="F128" i="33"/>
  <c r="G128" i="33"/>
  <c r="J128" i="33"/>
  <c r="K128" i="33"/>
  <c r="L128" i="33"/>
  <c r="M128" i="33"/>
  <c r="N128" i="33"/>
  <c r="O128" i="33"/>
  <c r="P128" i="33"/>
  <c r="C129" i="33"/>
  <c r="F129" i="33"/>
  <c r="G129" i="33"/>
  <c r="J129" i="33"/>
  <c r="K129" i="33"/>
  <c r="L129" i="33"/>
  <c r="M129" i="33"/>
  <c r="N129" i="33"/>
  <c r="O129" i="33"/>
  <c r="P129" i="33"/>
  <c r="C130" i="33"/>
  <c r="F130" i="33"/>
  <c r="G130" i="33"/>
  <c r="J130" i="33"/>
  <c r="K130" i="33"/>
  <c r="L130" i="33"/>
  <c r="M130" i="33"/>
  <c r="N130" i="33"/>
  <c r="O130" i="33"/>
  <c r="P130" i="33"/>
  <c r="C131" i="33"/>
  <c r="F131" i="33"/>
  <c r="G131" i="33"/>
  <c r="J131" i="33"/>
  <c r="K131" i="33"/>
  <c r="L131" i="33"/>
  <c r="M131" i="33"/>
  <c r="N131" i="33"/>
  <c r="O131" i="33"/>
  <c r="P131" i="33"/>
  <c r="C132" i="33"/>
  <c r="F132" i="33"/>
  <c r="G132" i="33"/>
  <c r="J132" i="33"/>
  <c r="K132" i="33"/>
  <c r="L132" i="33"/>
  <c r="M132" i="33"/>
  <c r="N132" i="33"/>
  <c r="O132" i="33"/>
  <c r="P132" i="33"/>
  <c r="C133" i="33"/>
  <c r="F133" i="33"/>
  <c r="G133" i="33"/>
  <c r="J133" i="33"/>
  <c r="K133" i="33"/>
  <c r="L133" i="33"/>
  <c r="M133" i="33"/>
  <c r="N133" i="33"/>
  <c r="O133" i="33"/>
  <c r="P133" i="33"/>
  <c r="C134" i="33"/>
  <c r="F134" i="33"/>
  <c r="G134" i="33"/>
  <c r="J134" i="33"/>
  <c r="K134" i="33"/>
  <c r="L134" i="33"/>
  <c r="M134" i="33"/>
  <c r="N134" i="33"/>
  <c r="O134" i="33"/>
  <c r="P134" i="33"/>
  <c r="C135" i="33"/>
  <c r="F135" i="33"/>
  <c r="G135" i="33"/>
  <c r="J135" i="33"/>
  <c r="K135" i="33"/>
  <c r="L135" i="33"/>
  <c r="M135" i="33"/>
  <c r="N135" i="33"/>
  <c r="O135" i="33"/>
  <c r="P135" i="33"/>
  <c r="C136" i="33"/>
  <c r="F136" i="33"/>
  <c r="G136" i="33"/>
  <c r="J136" i="33"/>
  <c r="K136" i="33"/>
  <c r="L136" i="33"/>
  <c r="M136" i="33"/>
  <c r="N136" i="33"/>
  <c r="O136" i="33"/>
  <c r="P136" i="33"/>
  <c r="C137" i="33"/>
  <c r="F137" i="33"/>
  <c r="G137" i="33"/>
  <c r="J137" i="33"/>
  <c r="K137" i="33"/>
  <c r="L137" i="33"/>
  <c r="M137" i="33"/>
  <c r="N137" i="33"/>
  <c r="O137" i="33"/>
  <c r="P137" i="33"/>
  <c r="C138" i="33"/>
  <c r="F138" i="33"/>
  <c r="G138" i="33"/>
  <c r="J138" i="33"/>
  <c r="K138" i="33"/>
  <c r="L138" i="33"/>
  <c r="M138" i="33"/>
  <c r="N138" i="33"/>
  <c r="O138" i="33"/>
  <c r="P138" i="33"/>
  <c r="C139" i="33"/>
  <c r="F139" i="33"/>
  <c r="G139" i="33"/>
  <c r="J139" i="33"/>
  <c r="K139" i="33"/>
  <c r="L139" i="33"/>
  <c r="M139" i="33"/>
  <c r="N139" i="33"/>
  <c r="O139" i="33"/>
  <c r="P139" i="33"/>
  <c r="C140" i="33"/>
  <c r="F140" i="33"/>
  <c r="G140" i="33"/>
  <c r="J140" i="33"/>
  <c r="K140" i="33"/>
  <c r="L140" i="33"/>
  <c r="M140" i="33"/>
  <c r="N140" i="33"/>
  <c r="O140" i="33"/>
  <c r="P140" i="33"/>
  <c r="C141" i="33"/>
  <c r="F141" i="33"/>
  <c r="G141" i="33"/>
  <c r="J141" i="33"/>
  <c r="K141" i="33"/>
  <c r="L141" i="33"/>
  <c r="M141" i="33"/>
  <c r="N141" i="33"/>
  <c r="O141" i="33"/>
  <c r="P141" i="33"/>
  <c r="C142" i="33"/>
  <c r="F142" i="33"/>
  <c r="G142" i="33"/>
  <c r="J142" i="33"/>
  <c r="K142" i="33"/>
  <c r="L142" i="33"/>
  <c r="M142" i="33"/>
  <c r="N142" i="33"/>
  <c r="O142" i="33"/>
  <c r="P142" i="33"/>
  <c r="C143" i="33"/>
  <c r="F143" i="33"/>
  <c r="G143" i="33"/>
  <c r="J143" i="33"/>
  <c r="K143" i="33"/>
  <c r="L143" i="33"/>
  <c r="M143" i="33"/>
  <c r="N143" i="33"/>
  <c r="O143" i="33"/>
  <c r="P143" i="33"/>
  <c r="C144" i="33"/>
  <c r="F144" i="33"/>
  <c r="G144" i="33"/>
  <c r="J144" i="33"/>
  <c r="K144" i="33"/>
  <c r="L144" i="33"/>
  <c r="M144" i="33"/>
  <c r="N144" i="33"/>
  <c r="O144" i="33"/>
  <c r="P144" i="33"/>
  <c r="C145" i="33"/>
  <c r="F145" i="33"/>
  <c r="G145" i="33"/>
  <c r="J145" i="33"/>
  <c r="K145" i="33"/>
  <c r="L145" i="33"/>
  <c r="M145" i="33"/>
  <c r="N145" i="33"/>
  <c r="O145" i="33"/>
  <c r="P145" i="33"/>
  <c r="C146" i="33"/>
  <c r="F146" i="33"/>
  <c r="G146" i="33"/>
  <c r="J146" i="33"/>
  <c r="K146" i="33"/>
  <c r="L146" i="33"/>
  <c r="M146" i="33"/>
  <c r="N146" i="33"/>
  <c r="O146" i="33"/>
  <c r="P146" i="33"/>
  <c r="C147" i="33"/>
  <c r="F147" i="33"/>
  <c r="G147" i="33"/>
  <c r="J147" i="33"/>
  <c r="K147" i="33"/>
  <c r="L147" i="33"/>
  <c r="M147" i="33"/>
  <c r="N147" i="33"/>
  <c r="O147" i="33"/>
  <c r="P147" i="33"/>
  <c r="C148" i="33"/>
  <c r="F148" i="33"/>
  <c r="G148" i="33"/>
  <c r="J148" i="33"/>
  <c r="K148" i="33"/>
  <c r="L148" i="33"/>
  <c r="M148" i="33"/>
  <c r="N148" i="33"/>
  <c r="O148" i="33"/>
  <c r="P148" i="33"/>
  <c r="C149" i="33"/>
  <c r="F149" i="33"/>
  <c r="G149" i="33"/>
  <c r="J149" i="33"/>
  <c r="K149" i="33"/>
  <c r="L149" i="33"/>
  <c r="M149" i="33"/>
  <c r="N149" i="33"/>
  <c r="O149" i="33"/>
  <c r="P149" i="33"/>
  <c r="C150" i="33"/>
  <c r="F150" i="33"/>
  <c r="G150" i="33"/>
  <c r="J150" i="33"/>
  <c r="K150" i="33"/>
  <c r="L150" i="33"/>
  <c r="M150" i="33"/>
  <c r="N150" i="33"/>
  <c r="O150" i="33"/>
  <c r="P150" i="33"/>
  <c r="C151" i="33"/>
  <c r="F151" i="33"/>
  <c r="G151" i="33"/>
  <c r="J151" i="33"/>
  <c r="K151" i="33"/>
  <c r="L151" i="33"/>
  <c r="M151" i="33"/>
  <c r="N151" i="33"/>
  <c r="O151" i="33"/>
  <c r="P151" i="33"/>
  <c r="C152" i="33"/>
  <c r="F152" i="33"/>
  <c r="G152" i="33"/>
  <c r="J152" i="33"/>
  <c r="K152" i="33"/>
  <c r="L152" i="33"/>
  <c r="M152" i="33"/>
  <c r="N152" i="33"/>
  <c r="O152" i="33"/>
  <c r="P152" i="33"/>
  <c r="C153" i="33"/>
  <c r="F153" i="33"/>
  <c r="G153" i="33"/>
  <c r="J153" i="33"/>
  <c r="K153" i="33"/>
  <c r="L153" i="33"/>
  <c r="M153" i="33"/>
  <c r="N153" i="33"/>
  <c r="O153" i="33"/>
  <c r="P153" i="33"/>
  <c r="C154" i="33"/>
  <c r="F154" i="33"/>
  <c r="G154" i="33"/>
  <c r="J154" i="33"/>
  <c r="K154" i="33"/>
  <c r="L154" i="33"/>
  <c r="M154" i="33"/>
  <c r="N154" i="33"/>
  <c r="O154" i="33"/>
  <c r="P154" i="33"/>
  <c r="C155" i="33"/>
  <c r="F155" i="33"/>
  <c r="G155" i="33"/>
  <c r="J155" i="33"/>
  <c r="K155" i="33"/>
  <c r="L155" i="33"/>
  <c r="M155" i="33"/>
  <c r="N155" i="33"/>
  <c r="O155" i="33"/>
  <c r="P155" i="33"/>
  <c r="C156" i="33"/>
  <c r="F156" i="33"/>
  <c r="G156" i="33"/>
  <c r="J156" i="33"/>
  <c r="K156" i="33"/>
  <c r="L156" i="33"/>
  <c r="M156" i="33"/>
  <c r="N156" i="33"/>
  <c r="O156" i="33"/>
  <c r="P156" i="33"/>
  <c r="C157" i="33"/>
  <c r="F157" i="33"/>
  <c r="G157" i="33"/>
  <c r="J157" i="33"/>
  <c r="K157" i="33"/>
  <c r="L157" i="33"/>
  <c r="M157" i="33"/>
  <c r="N157" i="33"/>
  <c r="O157" i="33"/>
  <c r="P157" i="33"/>
  <c r="C158" i="33"/>
  <c r="F158" i="33"/>
  <c r="G158" i="33"/>
  <c r="J158" i="33"/>
  <c r="K158" i="33"/>
  <c r="L158" i="33"/>
  <c r="M158" i="33"/>
  <c r="N158" i="33"/>
  <c r="O158" i="33"/>
  <c r="P158" i="33"/>
  <c r="C159" i="33"/>
  <c r="F159" i="33"/>
  <c r="G159" i="33"/>
  <c r="J159" i="33"/>
  <c r="K159" i="33"/>
  <c r="L159" i="33"/>
  <c r="M159" i="33"/>
  <c r="N159" i="33"/>
  <c r="O159" i="33"/>
  <c r="P159" i="33"/>
  <c r="C160" i="33"/>
  <c r="F160" i="33"/>
  <c r="G160" i="33"/>
  <c r="J160" i="33"/>
  <c r="K160" i="33"/>
  <c r="L160" i="33"/>
  <c r="M160" i="33"/>
  <c r="N160" i="33"/>
  <c r="O160" i="33"/>
  <c r="P160" i="33"/>
  <c r="C161" i="33"/>
  <c r="F161" i="33"/>
  <c r="G161" i="33"/>
  <c r="J161" i="33"/>
  <c r="K161" i="33"/>
  <c r="L161" i="33"/>
  <c r="M161" i="33"/>
  <c r="N161" i="33"/>
  <c r="O161" i="33"/>
  <c r="P161" i="33"/>
  <c r="C162" i="33"/>
  <c r="F162" i="33"/>
  <c r="G162" i="33"/>
  <c r="J162" i="33"/>
  <c r="K162" i="33"/>
  <c r="L162" i="33"/>
  <c r="M162" i="33"/>
  <c r="N162" i="33"/>
  <c r="O162" i="33"/>
  <c r="P162" i="33"/>
  <c r="C163" i="33"/>
  <c r="F163" i="33"/>
  <c r="G163" i="33"/>
  <c r="J163" i="33"/>
  <c r="K163" i="33"/>
  <c r="L163" i="33"/>
  <c r="M163" i="33"/>
  <c r="N163" i="33"/>
  <c r="O163" i="33"/>
  <c r="P163" i="33"/>
  <c r="C164" i="33"/>
  <c r="F164" i="33"/>
  <c r="G164" i="33"/>
  <c r="J164" i="33"/>
  <c r="K164" i="33"/>
  <c r="L164" i="33"/>
  <c r="M164" i="33"/>
  <c r="N164" i="33"/>
  <c r="O164" i="33"/>
  <c r="P164" i="33"/>
  <c r="C165" i="33"/>
  <c r="F165" i="33"/>
  <c r="G165" i="33"/>
  <c r="J165" i="33"/>
  <c r="K165" i="33"/>
  <c r="L165" i="33"/>
  <c r="M165" i="33"/>
  <c r="N165" i="33"/>
  <c r="O165" i="33"/>
  <c r="P165" i="33"/>
  <c r="C166" i="33"/>
  <c r="F166" i="33"/>
  <c r="G166" i="33"/>
  <c r="J166" i="33"/>
  <c r="K166" i="33"/>
  <c r="L166" i="33"/>
  <c r="M166" i="33"/>
  <c r="N166" i="33"/>
  <c r="O166" i="33"/>
  <c r="P166" i="33"/>
  <c r="C167" i="33"/>
  <c r="F167" i="33"/>
  <c r="G167" i="33"/>
  <c r="J167" i="33"/>
  <c r="K167" i="33"/>
  <c r="L167" i="33"/>
  <c r="M167" i="33"/>
  <c r="N167" i="33"/>
  <c r="O167" i="33"/>
  <c r="P167" i="33"/>
  <c r="C168" i="33"/>
  <c r="F168" i="33"/>
  <c r="G168" i="33"/>
  <c r="J168" i="33"/>
  <c r="K168" i="33"/>
  <c r="L168" i="33"/>
  <c r="M168" i="33"/>
  <c r="N168" i="33"/>
  <c r="O168" i="33"/>
  <c r="P168" i="33"/>
  <c r="C169" i="33"/>
  <c r="F169" i="33"/>
  <c r="G169" i="33"/>
  <c r="J169" i="33"/>
  <c r="K169" i="33"/>
  <c r="L169" i="33"/>
  <c r="M169" i="33"/>
  <c r="N169" i="33"/>
  <c r="O169" i="33"/>
  <c r="P169" i="33"/>
  <c r="C170" i="33"/>
  <c r="F170" i="33"/>
  <c r="G170" i="33"/>
  <c r="J170" i="33"/>
  <c r="K170" i="33"/>
  <c r="L170" i="33"/>
  <c r="M170" i="33"/>
  <c r="N170" i="33"/>
  <c r="O170" i="33"/>
  <c r="P170" i="33"/>
  <c r="C171" i="33"/>
  <c r="F171" i="33"/>
  <c r="G171" i="33"/>
  <c r="J171" i="33"/>
  <c r="K171" i="33"/>
  <c r="L171" i="33"/>
  <c r="M171" i="33"/>
  <c r="N171" i="33"/>
  <c r="O171" i="33"/>
  <c r="P171" i="33"/>
  <c r="C172" i="33"/>
  <c r="F172" i="33"/>
  <c r="G172" i="33"/>
  <c r="J172" i="33"/>
  <c r="K172" i="33"/>
  <c r="L172" i="33"/>
  <c r="M172" i="33"/>
  <c r="N172" i="33"/>
  <c r="O172" i="33"/>
  <c r="P172" i="33"/>
  <c r="C173" i="33"/>
  <c r="F173" i="33"/>
  <c r="G173" i="33"/>
  <c r="J173" i="33"/>
  <c r="K173" i="33"/>
  <c r="L173" i="33"/>
  <c r="M173" i="33"/>
  <c r="N173" i="33"/>
  <c r="O173" i="33"/>
  <c r="P173" i="33"/>
  <c r="C174" i="33"/>
  <c r="F174" i="33"/>
  <c r="G174" i="33"/>
  <c r="J174" i="33"/>
  <c r="K174" i="33"/>
  <c r="L174" i="33"/>
  <c r="M174" i="33"/>
  <c r="N174" i="33"/>
  <c r="O174" i="33"/>
  <c r="P174" i="33"/>
  <c r="C175" i="33"/>
  <c r="F175" i="33"/>
  <c r="G175" i="33"/>
  <c r="J175" i="33"/>
  <c r="K175" i="33"/>
  <c r="L175" i="33"/>
  <c r="M175" i="33"/>
  <c r="N175" i="33"/>
  <c r="O175" i="33"/>
  <c r="P175" i="33"/>
  <c r="C176" i="33"/>
  <c r="F176" i="33"/>
  <c r="G176" i="33"/>
  <c r="J176" i="33"/>
  <c r="K176" i="33"/>
  <c r="L176" i="33"/>
  <c r="M176" i="33"/>
  <c r="N176" i="33"/>
  <c r="O176" i="33"/>
  <c r="P176" i="33"/>
  <c r="C177" i="33"/>
  <c r="F177" i="33"/>
  <c r="G177" i="33"/>
  <c r="J177" i="33"/>
  <c r="K177" i="33"/>
  <c r="L177" i="33"/>
  <c r="M177" i="33"/>
  <c r="N177" i="33"/>
  <c r="O177" i="33"/>
  <c r="P177" i="33"/>
  <c r="C178" i="33"/>
  <c r="F178" i="33"/>
  <c r="G178" i="33"/>
  <c r="J178" i="33"/>
  <c r="K178" i="33"/>
  <c r="L178" i="33"/>
  <c r="M178" i="33"/>
  <c r="N178" i="33"/>
  <c r="O178" i="33"/>
  <c r="P178" i="33"/>
  <c r="C179" i="33"/>
  <c r="F179" i="33"/>
  <c r="G179" i="33"/>
  <c r="J179" i="33"/>
  <c r="K179" i="33"/>
  <c r="L179" i="33"/>
  <c r="M179" i="33"/>
  <c r="N179" i="33"/>
  <c r="O179" i="33"/>
  <c r="P179" i="33"/>
  <c r="C180" i="33"/>
  <c r="F180" i="33"/>
  <c r="G180" i="33"/>
  <c r="J180" i="33"/>
  <c r="K180" i="33"/>
  <c r="L180" i="33"/>
  <c r="M180" i="33"/>
  <c r="N180" i="33"/>
  <c r="O180" i="33"/>
  <c r="P180" i="33"/>
  <c r="C181" i="33"/>
  <c r="F181" i="33"/>
  <c r="G181" i="33"/>
  <c r="J181" i="33"/>
  <c r="K181" i="33"/>
  <c r="L181" i="33"/>
  <c r="M181" i="33"/>
  <c r="N181" i="33"/>
  <c r="O181" i="33"/>
  <c r="P181" i="33"/>
  <c r="C182" i="33"/>
  <c r="F182" i="33"/>
  <c r="G182" i="33"/>
  <c r="J182" i="33"/>
  <c r="K182" i="33"/>
  <c r="L182" i="33"/>
  <c r="M182" i="33"/>
  <c r="N182" i="33"/>
  <c r="O182" i="33"/>
  <c r="P182" i="33"/>
  <c r="C183" i="33"/>
  <c r="F183" i="33"/>
  <c r="G183" i="33"/>
  <c r="J183" i="33"/>
  <c r="K183" i="33"/>
  <c r="L183" i="33"/>
  <c r="M183" i="33"/>
  <c r="N183" i="33"/>
  <c r="O183" i="33"/>
  <c r="P183" i="33"/>
  <c r="C184" i="33"/>
  <c r="F184" i="33"/>
  <c r="G184" i="33"/>
  <c r="J184" i="33"/>
  <c r="K184" i="33"/>
  <c r="L184" i="33"/>
  <c r="M184" i="33"/>
  <c r="N184" i="33"/>
  <c r="O184" i="33"/>
  <c r="P184" i="33"/>
  <c r="C185" i="33"/>
  <c r="F185" i="33"/>
  <c r="G185" i="33"/>
  <c r="J185" i="33"/>
  <c r="K185" i="33"/>
  <c r="L185" i="33"/>
  <c r="M185" i="33"/>
  <c r="N185" i="33"/>
  <c r="O185" i="33"/>
  <c r="P185" i="33"/>
  <c r="C186" i="33"/>
  <c r="F186" i="33"/>
  <c r="G186" i="33"/>
  <c r="J186" i="33"/>
  <c r="K186" i="33"/>
  <c r="L186" i="33"/>
  <c r="M186" i="33"/>
  <c r="N186" i="33"/>
  <c r="O186" i="33"/>
  <c r="P186" i="33"/>
  <c r="C187" i="33"/>
  <c r="F187" i="33"/>
  <c r="G187" i="33"/>
  <c r="J187" i="33"/>
  <c r="K187" i="33"/>
  <c r="L187" i="33"/>
  <c r="M187" i="33"/>
  <c r="N187" i="33"/>
  <c r="O187" i="33"/>
  <c r="P187" i="33"/>
  <c r="C188" i="33"/>
  <c r="F188" i="33"/>
  <c r="G188" i="33"/>
  <c r="J188" i="33"/>
  <c r="K188" i="33"/>
  <c r="L188" i="33"/>
  <c r="M188" i="33"/>
  <c r="N188" i="33"/>
  <c r="O188" i="33"/>
  <c r="P188" i="33"/>
  <c r="C189" i="33"/>
  <c r="F189" i="33"/>
  <c r="G189" i="33"/>
  <c r="J189" i="33"/>
  <c r="K189" i="33"/>
  <c r="L189" i="33"/>
  <c r="M189" i="33"/>
  <c r="N189" i="33"/>
  <c r="O189" i="33"/>
  <c r="P189" i="33"/>
  <c r="C190" i="33"/>
  <c r="F190" i="33"/>
  <c r="G190" i="33"/>
  <c r="J190" i="33"/>
  <c r="K190" i="33"/>
  <c r="L190" i="33"/>
  <c r="M190" i="33"/>
  <c r="N190" i="33"/>
  <c r="O190" i="33"/>
  <c r="P190" i="33"/>
  <c r="C191" i="33"/>
  <c r="F191" i="33"/>
  <c r="G191" i="33"/>
  <c r="J191" i="33"/>
  <c r="K191" i="33"/>
  <c r="L191" i="33"/>
  <c r="M191" i="33"/>
  <c r="N191" i="33"/>
  <c r="O191" i="33"/>
  <c r="P191" i="33"/>
  <c r="C192" i="33"/>
  <c r="F192" i="33"/>
  <c r="G192" i="33"/>
  <c r="J192" i="33"/>
  <c r="K192" i="33"/>
  <c r="L192" i="33"/>
  <c r="M192" i="33"/>
  <c r="N192" i="33"/>
  <c r="O192" i="33"/>
  <c r="P192" i="33"/>
  <c r="C193" i="33"/>
  <c r="F193" i="33"/>
  <c r="G193" i="33"/>
  <c r="J193" i="33"/>
  <c r="K193" i="33"/>
  <c r="L193" i="33"/>
  <c r="M193" i="33"/>
  <c r="N193" i="33"/>
  <c r="O193" i="33"/>
  <c r="P193" i="33"/>
  <c r="C194" i="33"/>
  <c r="F194" i="33"/>
  <c r="G194" i="33"/>
  <c r="J194" i="33"/>
  <c r="K194" i="33"/>
  <c r="L194" i="33"/>
  <c r="M194" i="33"/>
  <c r="N194" i="33"/>
  <c r="O194" i="33"/>
  <c r="P194" i="33"/>
  <c r="C195" i="33"/>
  <c r="F195" i="33"/>
  <c r="G195" i="33"/>
  <c r="J195" i="33"/>
  <c r="K195" i="33"/>
  <c r="L195" i="33"/>
  <c r="M195" i="33"/>
  <c r="N195" i="33"/>
  <c r="O195" i="33"/>
  <c r="P195" i="33"/>
  <c r="C196" i="33"/>
  <c r="F196" i="33"/>
  <c r="G196" i="33"/>
  <c r="J196" i="33"/>
  <c r="K196" i="33"/>
  <c r="L196" i="33"/>
  <c r="M196" i="33"/>
  <c r="N196" i="33"/>
  <c r="O196" i="33"/>
  <c r="P196" i="33"/>
  <c r="C197" i="33"/>
  <c r="F197" i="33"/>
  <c r="G197" i="33"/>
  <c r="J197" i="33"/>
  <c r="K197" i="33"/>
  <c r="L197" i="33"/>
  <c r="M197" i="33"/>
  <c r="N197" i="33"/>
  <c r="O197" i="33"/>
  <c r="P197" i="33"/>
  <c r="C198" i="33"/>
  <c r="F198" i="33"/>
  <c r="G198" i="33"/>
  <c r="J198" i="33"/>
  <c r="K198" i="33"/>
  <c r="L198" i="33"/>
  <c r="M198" i="33"/>
  <c r="N198" i="33"/>
  <c r="O198" i="33"/>
  <c r="P198" i="33"/>
  <c r="C199" i="33"/>
  <c r="F199" i="33"/>
  <c r="G199" i="33"/>
  <c r="J199" i="33"/>
  <c r="K199" i="33"/>
  <c r="L199" i="33"/>
  <c r="M199" i="33"/>
  <c r="N199" i="33"/>
  <c r="O199" i="33"/>
  <c r="P199" i="33"/>
  <c r="C200" i="33"/>
  <c r="F200" i="33"/>
  <c r="G200" i="33"/>
  <c r="J200" i="33"/>
  <c r="K200" i="33"/>
  <c r="L200" i="33"/>
  <c r="M200" i="33"/>
  <c r="N200" i="33"/>
  <c r="O200" i="33"/>
  <c r="P200" i="33"/>
  <c r="C201" i="33"/>
  <c r="F201" i="33"/>
  <c r="G201" i="33"/>
  <c r="J201" i="33"/>
  <c r="K201" i="33"/>
  <c r="L201" i="33"/>
  <c r="M201" i="33"/>
  <c r="N201" i="33"/>
  <c r="O201" i="33"/>
  <c r="P201" i="33"/>
  <c r="C202" i="33"/>
  <c r="F202" i="33"/>
  <c r="G202" i="33"/>
  <c r="J202" i="33"/>
  <c r="K202" i="33"/>
  <c r="L202" i="33"/>
  <c r="M202" i="33"/>
  <c r="N202" i="33"/>
  <c r="O202" i="33"/>
  <c r="P202" i="33"/>
  <c r="C203" i="33"/>
  <c r="F203" i="33"/>
  <c r="G203" i="33"/>
  <c r="J203" i="33"/>
  <c r="K203" i="33"/>
  <c r="L203" i="33"/>
  <c r="M203" i="33"/>
  <c r="N203" i="33"/>
  <c r="O203" i="33"/>
  <c r="P203" i="33"/>
  <c r="C204" i="33"/>
  <c r="F204" i="33"/>
  <c r="G204" i="33"/>
  <c r="J204" i="33"/>
  <c r="K204" i="33"/>
  <c r="L204" i="33"/>
  <c r="M204" i="33"/>
  <c r="N204" i="33"/>
  <c r="O204" i="33"/>
  <c r="P204" i="33"/>
  <c r="C205" i="33"/>
  <c r="F205" i="33"/>
  <c r="G205" i="33"/>
  <c r="J205" i="33"/>
  <c r="K205" i="33"/>
  <c r="L205" i="33"/>
  <c r="M205" i="33"/>
  <c r="N205" i="33"/>
  <c r="O205" i="33"/>
  <c r="P205" i="33"/>
  <c r="C206" i="33"/>
  <c r="F206" i="33"/>
  <c r="G206" i="33"/>
  <c r="J206" i="33"/>
  <c r="K206" i="33"/>
  <c r="L206" i="33"/>
  <c r="M206" i="33"/>
  <c r="N206" i="33"/>
  <c r="O206" i="33"/>
  <c r="P206" i="33"/>
  <c r="C207" i="33"/>
  <c r="F207" i="33"/>
  <c r="G207" i="33"/>
  <c r="J207" i="33"/>
  <c r="K207" i="33"/>
  <c r="L207" i="33"/>
  <c r="M207" i="33"/>
  <c r="N207" i="33"/>
  <c r="O207" i="33"/>
  <c r="P207" i="33"/>
  <c r="C208" i="33"/>
  <c r="F208" i="33"/>
  <c r="G208" i="33"/>
  <c r="J208" i="33"/>
  <c r="K208" i="33"/>
  <c r="L208" i="33"/>
  <c r="M208" i="33"/>
  <c r="N208" i="33"/>
  <c r="O208" i="33"/>
  <c r="P208" i="33"/>
  <c r="C209" i="33"/>
  <c r="F209" i="33"/>
  <c r="G209" i="33"/>
  <c r="J209" i="33"/>
  <c r="K209" i="33"/>
  <c r="L209" i="33"/>
  <c r="M209" i="33"/>
  <c r="N209" i="33"/>
  <c r="O209" i="33"/>
  <c r="P209" i="33"/>
  <c r="C210" i="33"/>
  <c r="F210" i="33"/>
  <c r="G210" i="33"/>
  <c r="J210" i="33"/>
  <c r="K210" i="33"/>
  <c r="L210" i="33"/>
  <c r="M210" i="33"/>
  <c r="N210" i="33"/>
  <c r="O210" i="33"/>
  <c r="P210" i="33"/>
  <c r="C211" i="33"/>
  <c r="F211" i="33"/>
  <c r="G211" i="33"/>
  <c r="J211" i="33"/>
  <c r="K211" i="33"/>
  <c r="L211" i="33"/>
  <c r="M211" i="33"/>
  <c r="N211" i="33"/>
  <c r="O211" i="33"/>
  <c r="P211" i="33"/>
  <c r="C212" i="33"/>
  <c r="F212" i="33"/>
  <c r="G212" i="33"/>
  <c r="J212" i="33"/>
  <c r="K212" i="33"/>
  <c r="L212" i="33"/>
  <c r="M212" i="33"/>
  <c r="N212" i="33"/>
  <c r="O212" i="33"/>
  <c r="P212" i="33"/>
  <c r="C213" i="33"/>
  <c r="F213" i="33"/>
  <c r="G213" i="33"/>
  <c r="J213" i="33"/>
  <c r="K213" i="33"/>
  <c r="L213" i="33"/>
  <c r="M213" i="33"/>
  <c r="N213" i="33"/>
  <c r="O213" i="33"/>
  <c r="P213" i="33"/>
  <c r="C214" i="33"/>
  <c r="F214" i="33"/>
  <c r="G214" i="33"/>
  <c r="J214" i="33"/>
  <c r="K214" i="33"/>
  <c r="L214" i="33"/>
  <c r="M214" i="33"/>
  <c r="N214" i="33"/>
  <c r="O214" i="33"/>
  <c r="P214" i="33"/>
  <c r="C215" i="33"/>
  <c r="F215" i="33"/>
  <c r="G215" i="33"/>
  <c r="J215" i="33"/>
  <c r="K215" i="33"/>
  <c r="L215" i="33"/>
  <c r="M215" i="33"/>
  <c r="N215" i="33"/>
  <c r="O215" i="33"/>
  <c r="P215" i="33"/>
  <c r="C216" i="33"/>
  <c r="F216" i="33"/>
  <c r="G216" i="33"/>
  <c r="J216" i="33"/>
  <c r="K216" i="33"/>
  <c r="L216" i="33"/>
  <c r="M216" i="33"/>
  <c r="N216" i="33"/>
  <c r="O216" i="33"/>
  <c r="P216" i="33"/>
  <c r="C217" i="33"/>
  <c r="F217" i="33"/>
  <c r="G217" i="33"/>
  <c r="J217" i="33"/>
  <c r="K217" i="33"/>
  <c r="L217" i="33"/>
  <c r="M217" i="33"/>
  <c r="N217" i="33"/>
  <c r="O217" i="33"/>
  <c r="P217" i="33"/>
  <c r="C218" i="33"/>
  <c r="F218" i="33"/>
  <c r="G218" i="33"/>
  <c r="J218" i="33"/>
  <c r="K218" i="33"/>
  <c r="L218" i="33"/>
  <c r="M218" i="33"/>
  <c r="N218" i="33"/>
  <c r="O218" i="33"/>
  <c r="P218" i="33"/>
  <c r="C219" i="33"/>
  <c r="F219" i="33"/>
  <c r="G219" i="33"/>
  <c r="J219" i="33"/>
  <c r="K219" i="33"/>
  <c r="L219" i="33"/>
  <c r="M219" i="33"/>
  <c r="N219" i="33"/>
  <c r="O219" i="33"/>
  <c r="P219" i="33"/>
  <c r="C220" i="33"/>
  <c r="F220" i="33"/>
  <c r="G220" i="33"/>
  <c r="J220" i="33"/>
  <c r="K220" i="33"/>
  <c r="L220" i="33"/>
  <c r="M220" i="33"/>
  <c r="N220" i="33"/>
  <c r="O220" i="33"/>
  <c r="P220" i="33"/>
  <c r="C221" i="33"/>
  <c r="F221" i="33"/>
  <c r="G221" i="33"/>
  <c r="J221" i="33"/>
  <c r="K221" i="33"/>
  <c r="L221" i="33"/>
  <c r="M221" i="33"/>
  <c r="N221" i="33"/>
  <c r="O221" i="33"/>
  <c r="P221" i="33"/>
  <c r="C222" i="33"/>
  <c r="F222" i="33"/>
  <c r="G222" i="33"/>
  <c r="J222" i="33"/>
  <c r="K222" i="33"/>
  <c r="L222" i="33"/>
  <c r="M222" i="33"/>
  <c r="N222" i="33"/>
  <c r="O222" i="33"/>
  <c r="P222" i="33"/>
  <c r="C223" i="33"/>
  <c r="F223" i="33"/>
  <c r="G223" i="33"/>
  <c r="J223" i="33"/>
  <c r="K223" i="33"/>
  <c r="L223" i="33"/>
  <c r="M223" i="33"/>
  <c r="N223" i="33"/>
  <c r="O223" i="33"/>
  <c r="P223" i="33"/>
  <c r="C224" i="33"/>
  <c r="F224" i="33"/>
  <c r="G224" i="33"/>
  <c r="J224" i="33"/>
  <c r="K224" i="33"/>
  <c r="L224" i="33"/>
  <c r="M224" i="33"/>
  <c r="N224" i="33"/>
  <c r="O224" i="33"/>
  <c r="P224" i="33"/>
  <c r="C225" i="33"/>
  <c r="F225" i="33"/>
  <c r="G225" i="33"/>
  <c r="J225" i="33"/>
  <c r="K225" i="33"/>
  <c r="L225" i="33"/>
  <c r="M225" i="33"/>
  <c r="N225" i="33"/>
  <c r="O225" i="33"/>
  <c r="P225" i="33"/>
  <c r="C226" i="33"/>
  <c r="F226" i="33"/>
  <c r="G226" i="33"/>
  <c r="J226" i="33"/>
  <c r="K226" i="33"/>
  <c r="L226" i="33"/>
  <c r="M226" i="33"/>
  <c r="N226" i="33"/>
  <c r="O226" i="33"/>
  <c r="P226" i="33"/>
  <c r="C227" i="33"/>
  <c r="F227" i="33"/>
  <c r="G227" i="33"/>
  <c r="J227" i="33"/>
  <c r="K227" i="33"/>
  <c r="L227" i="33"/>
  <c r="M227" i="33"/>
  <c r="N227" i="33"/>
  <c r="O227" i="33"/>
  <c r="P227" i="33"/>
  <c r="C228" i="33"/>
  <c r="F228" i="33"/>
  <c r="G228" i="33"/>
  <c r="J228" i="33"/>
  <c r="K228" i="33"/>
  <c r="L228" i="33"/>
  <c r="M228" i="33"/>
  <c r="N228" i="33"/>
  <c r="O228" i="33"/>
  <c r="P228" i="33"/>
  <c r="C229" i="33"/>
  <c r="F229" i="33"/>
  <c r="G229" i="33"/>
  <c r="J229" i="33"/>
  <c r="K229" i="33"/>
  <c r="L229" i="33"/>
  <c r="M229" i="33"/>
  <c r="N229" i="33"/>
  <c r="O229" i="33"/>
  <c r="P229" i="33"/>
  <c r="C230" i="33"/>
  <c r="F230" i="33"/>
  <c r="G230" i="33"/>
  <c r="J230" i="33"/>
  <c r="K230" i="33"/>
  <c r="L230" i="33"/>
  <c r="M230" i="33"/>
  <c r="N230" i="33"/>
  <c r="O230" i="33"/>
  <c r="P230" i="33"/>
  <c r="C231" i="33"/>
  <c r="F231" i="33"/>
  <c r="G231" i="33"/>
  <c r="J231" i="33"/>
  <c r="K231" i="33"/>
  <c r="L231" i="33"/>
  <c r="M231" i="33"/>
  <c r="N231" i="33"/>
  <c r="O231" i="33"/>
  <c r="P231" i="33"/>
  <c r="C232" i="33"/>
  <c r="F232" i="33"/>
  <c r="G232" i="33"/>
  <c r="J232" i="33"/>
  <c r="K232" i="33"/>
  <c r="L232" i="33"/>
  <c r="M232" i="33"/>
  <c r="N232" i="33"/>
  <c r="O232" i="33"/>
  <c r="P232" i="33"/>
  <c r="C233" i="33"/>
  <c r="F233" i="33"/>
  <c r="G233" i="33"/>
  <c r="J233" i="33"/>
  <c r="K233" i="33"/>
  <c r="L233" i="33"/>
  <c r="M233" i="33"/>
  <c r="N233" i="33"/>
  <c r="O233" i="33"/>
  <c r="P233" i="33"/>
  <c r="C234" i="33"/>
  <c r="F234" i="33"/>
  <c r="G234" i="33"/>
  <c r="J234" i="33"/>
  <c r="K234" i="33"/>
  <c r="L234" i="33"/>
  <c r="M234" i="33"/>
  <c r="N234" i="33"/>
  <c r="O234" i="33"/>
  <c r="P234" i="33"/>
  <c r="C235" i="33"/>
  <c r="F235" i="33"/>
  <c r="G235" i="33"/>
  <c r="J235" i="33"/>
  <c r="K235" i="33"/>
  <c r="L235" i="33"/>
  <c r="M235" i="33"/>
  <c r="N235" i="33"/>
  <c r="O235" i="33"/>
  <c r="P235" i="33"/>
  <c r="C236" i="33"/>
  <c r="F236" i="33"/>
  <c r="G236" i="33"/>
  <c r="J236" i="33"/>
  <c r="K236" i="33"/>
  <c r="L236" i="33"/>
  <c r="M236" i="33"/>
  <c r="N236" i="33"/>
  <c r="O236" i="33"/>
  <c r="P236" i="33"/>
  <c r="C237" i="33"/>
  <c r="F237" i="33"/>
  <c r="G237" i="33"/>
  <c r="J237" i="33"/>
  <c r="K237" i="33"/>
  <c r="L237" i="33"/>
  <c r="M237" i="33"/>
  <c r="N237" i="33"/>
  <c r="O237" i="33"/>
  <c r="P237" i="33"/>
  <c r="C238" i="33"/>
  <c r="F238" i="33"/>
  <c r="G238" i="33"/>
  <c r="J238" i="33"/>
  <c r="K238" i="33"/>
  <c r="L238" i="33"/>
  <c r="M238" i="33"/>
  <c r="N238" i="33"/>
  <c r="O238" i="33"/>
  <c r="P238" i="33"/>
  <c r="C239" i="33"/>
  <c r="F239" i="33"/>
  <c r="G239" i="33"/>
  <c r="J239" i="33"/>
  <c r="K239" i="33"/>
  <c r="L239" i="33"/>
  <c r="M239" i="33"/>
  <c r="N239" i="33"/>
  <c r="O239" i="33"/>
  <c r="P239" i="33"/>
  <c r="C240" i="33"/>
  <c r="F240" i="33"/>
  <c r="G240" i="33"/>
  <c r="J240" i="33"/>
  <c r="K240" i="33"/>
  <c r="L240" i="33"/>
  <c r="M240" i="33"/>
  <c r="N240" i="33"/>
  <c r="O240" i="33"/>
  <c r="P240" i="33"/>
  <c r="C241" i="33"/>
  <c r="F241" i="33"/>
  <c r="G241" i="33"/>
  <c r="J241" i="33"/>
  <c r="K241" i="33"/>
  <c r="L241" i="33"/>
  <c r="M241" i="33"/>
  <c r="N241" i="33"/>
  <c r="O241" i="33"/>
  <c r="P241" i="33"/>
  <c r="C242" i="33"/>
  <c r="F242" i="33"/>
  <c r="G242" i="33"/>
  <c r="J242" i="33"/>
  <c r="K242" i="33"/>
  <c r="L242" i="33"/>
  <c r="M242" i="33"/>
  <c r="N242" i="33"/>
  <c r="O242" i="33"/>
  <c r="P242" i="33"/>
  <c r="C243" i="33"/>
  <c r="F243" i="33"/>
  <c r="G243" i="33"/>
  <c r="J243" i="33"/>
  <c r="K243" i="33"/>
  <c r="L243" i="33"/>
  <c r="M243" i="33"/>
  <c r="N243" i="33"/>
  <c r="O243" i="33"/>
  <c r="P243" i="33"/>
  <c r="C244" i="33"/>
  <c r="F244" i="33"/>
  <c r="G244" i="33"/>
  <c r="J244" i="33"/>
  <c r="K244" i="33"/>
  <c r="L244" i="33"/>
  <c r="M244" i="33"/>
  <c r="N244" i="33"/>
  <c r="O244" i="33"/>
  <c r="P244" i="33"/>
  <c r="C245" i="33"/>
  <c r="F245" i="33"/>
  <c r="G245" i="33"/>
  <c r="J245" i="33"/>
  <c r="K245" i="33"/>
  <c r="L245" i="33"/>
  <c r="M245" i="33"/>
  <c r="N245" i="33"/>
  <c r="O245" i="33"/>
  <c r="P245" i="33"/>
  <c r="C246" i="33"/>
  <c r="F246" i="33"/>
  <c r="G246" i="33"/>
  <c r="J246" i="33"/>
  <c r="K246" i="33"/>
  <c r="L246" i="33"/>
  <c r="M246" i="33"/>
  <c r="N246" i="33"/>
  <c r="O246" i="33"/>
  <c r="P246" i="33"/>
  <c r="C247" i="33"/>
  <c r="F247" i="33"/>
  <c r="G247" i="33"/>
  <c r="J247" i="33"/>
  <c r="K247" i="33"/>
  <c r="L247" i="33"/>
  <c r="M247" i="33"/>
  <c r="N247" i="33"/>
  <c r="O247" i="33"/>
  <c r="P247" i="33"/>
  <c r="C248" i="33"/>
  <c r="F248" i="33"/>
  <c r="G248" i="33"/>
  <c r="J248" i="33"/>
  <c r="K248" i="33"/>
  <c r="L248" i="33"/>
  <c r="M248" i="33"/>
  <c r="N248" i="33"/>
  <c r="O248" i="33"/>
  <c r="P248" i="33"/>
  <c r="C249" i="33"/>
  <c r="F249" i="33"/>
  <c r="G249" i="33"/>
  <c r="J249" i="33"/>
  <c r="K249" i="33"/>
  <c r="L249" i="33"/>
  <c r="M249" i="33"/>
  <c r="N249" i="33"/>
  <c r="O249" i="33"/>
  <c r="P249" i="33"/>
  <c r="C250" i="33"/>
  <c r="F250" i="33"/>
  <c r="G250" i="33"/>
  <c r="J250" i="33"/>
  <c r="K250" i="33"/>
  <c r="L250" i="33"/>
  <c r="M250" i="33"/>
  <c r="N250" i="33"/>
  <c r="O250" i="33"/>
  <c r="P250" i="33"/>
  <c r="C251" i="33"/>
  <c r="F251" i="33"/>
  <c r="G251" i="33"/>
  <c r="J251" i="33"/>
  <c r="K251" i="33"/>
  <c r="L251" i="33"/>
  <c r="M251" i="33"/>
  <c r="N251" i="33"/>
  <c r="O251" i="33"/>
  <c r="P251" i="33"/>
  <c r="C252" i="33"/>
  <c r="F252" i="33"/>
  <c r="G252" i="33"/>
  <c r="J252" i="33"/>
  <c r="K252" i="33"/>
  <c r="L252" i="33"/>
  <c r="M252" i="33"/>
  <c r="N252" i="33"/>
  <c r="O252" i="33"/>
  <c r="P252" i="33"/>
  <c r="C253" i="33"/>
  <c r="F253" i="33"/>
  <c r="G253" i="33"/>
  <c r="J253" i="33"/>
  <c r="K253" i="33"/>
  <c r="L253" i="33"/>
  <c r="M253" i="33"/>
  <c r="N253" i="33"/>
  <c r="O253" i="33"/>
  <c r="P253" i="33"/>
  <c r="C254" i="33"/>
  <c r="F254" i="33"/>
  <c r="G254" i="33"/>
  <c r="J254" i="33"/>
  <c r="K254" i="33"/>
  <c r="L254" i="33"/>
  <c r="M254" i="33"/>
  <c r="N254" i="33"/>
  <c r="O254" i="33"/>
  <c r="P254" i="33"/>
  <c r="C255" i="33"/>
  <c r="F255" i="33"/>
  <c r="G255" i="33"/>
  <c r="J255" i="33"/>
  <c r="K255" i="33"/>
  <c r="L255" i="33"/>
  <c r="M255" i="33"/>
  <c r="N255" i="33"/>
  <c r="O255" i="33"/>
  <c r="P255" i="33"/>
  <c r="C256" i="33"/>
  <c r="F256" i="33"/>
  <c r="G256" i="33"/>
  <c r="J256" i="33"/>
  <c r="K256" i="33"/>
  <c r="L256" i="33"/>
  <c r="M256" i="33"/>
  <c r="N256" i="33"/>
  <c r="O256" i="33"/>
  <c r="P256" i="33"/>
  <c r="C257" i="33"/>
  <c r="F257" i="33"/>
  <c r="G257" i="33"/>
  <c r="J257" i="33"/>
  <c r="K257" i="33"/>
  <c r="L257" i="33"/>
  <c r="M257" i="33"/>
  <c r="N257" i="33"/>
  <c r="O257" i="33"/>
  <c r="P257" i="33"/>
  <c r="C258" i="33"/>
  <c r="F258" i="33"/>
  <c r="G258" i="33"/>
  <c r="J258" i="33"/>
  <c r="K258" i="33"/>
  <c r="L258" i="33"/>
  <c r="M258" i="33"/>
  <c r="N258" i="33"/>
  <c r="O258" i="33"/>
  <c r="P258" i="33"/>
  <c r="C259" i="33"/>
  <c r="F259" i="33"/>
  <c r="G259" i="33"/>
  <c r="J259" i="33"/>
  <c r="K259" i="33"/>
  <c r="L259" i="33"/>
  <c r="M259" i="33"/>
  <c r="N259" i="33"/>
  <c r="O259" i="33"/>
  <c r="P259" i="33"/>
  <c r="C260" i="33"/>
  <c r="F260" i="33"/>
  <c r="G260" i="33"/>
  <c r="J260" i="33"/>
  <c r="K260" i="33"/>
  <c r="L260" i="33"/>
  <c r="M260" i="33"/>
  <c r="N260" i="33"/>
  <c r="O260" i="33"/>
  <c r="P260" i="33"/>
  <c r="C261" i="33"/>
  <c r="F261" i="33"/>
  <c r="G261" i="33"/>
  <c r="J261" i="33"/>
  <c r="K261" i="33"/>
  <c r="L261" i="33"/>
  <c r="M261" i="33"/>
  <c r="N261" i="33"/>
  <c r="O261" i="33"/>
  <c r="P261" i="33"/>
  <c r="C262" i="33"/>
  <c r="F262" i="33"/>
  <c r="G262" i="33"/>
  <c r="J262" i="33"/>
  <c r="K262" i="33"/>
  <c r="L262" i="33"/>
  <c r="M262" i="33"/>
  <c r="N262" i="33"/>
  <c r="O262" i="33"/>
  <c r="P262" i="33"/>
  <c r="C263" i="33"/>
  <c r="F263" i="33"/>
  <c r="G263" i="33"/>
  <c r="J263" i="33"/>
  <c r="K263" i="33"/>
  <c r="L263" i="33"/>
  <c r="M263" i="33"/>
  <c r="N263" i="33"/>
  <c r="O263" i="33"/>
  <c r="P263" i="33"/>
  <c r="C264" i="33"/>
  <c r="F264" i="33"/>
  <c r="G264" i="33"/>
  <c r="J264" i="33"/>
  <c r="K264" i="33"/>
  <c r="L264" i="33"/>
  <c r="M264" i="33"/>
  <c r="N264" i="33"/>
  <c r="O264" i="33"/>
  <c r="P264" i="33"/>
  <c r="C265" i="33"/>
  <c r="F265" i="33"/>
  <c r="G265" i="33"/>
  <c r="J265" i="33"/>
  <c r="K265" i="33"/>
  <c r="L265" i="33"/>
  <c r="M265" i="33"/>
  <c r="N265" i="33"/>
  <c r="O265" i="33"/>
  <c r="P265" i="33"/>
  <c r="C266" i="33"/>
  <c r="F266" i="33"/>
  <c r="G266" i="33"/>
  <c r="J266" i="33"/>
  <c r="K266" i="33"/>
  <c r="L266" i="33"/>
  <c r="M266" i="33"/>
  <c r="N266" i="33"/>
  <c r="O266" i="33"/>
  <c r="P266" i="33"/>
  <c r="C267" i="33"/>
  <c r="F267" i="33"/>
  <c r="G267" i="33"/>
  <c r="J267" i="33"/>
  <c r="K267" i="33"/>
  <c r="L267" i="33"/>
  <c r="M267" i="33"/>
  <c r="N267" i="33"/>
  <c r="O267" i="33"/>
  <c r="P267" i="33"/>
  <c r="C268" i="33"/>
  <c r="F268" i="33"/>
  <c r="G268" i="33"/>
  <c r="J268" i="33"/>
  <c r="K268" i="33"/>
  <c r="L268" i="33"/>
  <c r="M268" i="33"/>
  <c r="N268" i="33"/>
  <c r="O268" i="33"/>
  <c r="P268" i="33"/>
  <c r="C269" i="33"/>
  <c r="F269" i="33"/>
  <c r="G269" i="33"/>
  <c r="J269" i="33"/>
  <c r="K269" i="33"/>
  <c r="L269" i="33"/>
  <c r="M269" i="33"/>
  <c r="N269" i="33"/>
  <c r="O269" i="33"/>
  <c r="P269" i="33"/>
  <c r="C270" i="33"/>
  <c r="F270" i="33"/>
  <c r="G270" i="33"/>
  <c r="J270" i="33"/>
  <c r="K270" i="33"/>
  <c r="L270" i="33"/>
  <c r="M270" i="33"/>
  <c r="N270" i="33"/>
  <c r="O270" i="33"/>
  <c r="P270" i="33"/>
  <c r="C271" i="33"/>
  <c r="F271" i="33"/>
  <c r="G271" i="33"/>
  <c r="J271" i="33"/>
  <c r="K271" i="33"/>
  <c r="L271" i="33"/>
  <c r="M271" i="33"/>
  <c r="N271" i="33"/>
  <c r="O271" i="33"/>
  <c r="P271" i="33"/>
  <c r="C272" i="33"/>
  <c r="F272" i="33"/>
  <c r="G272" i="33"/>
  <c r="J272" i="33"/>
  <c r="K272" i="33"/>
  <c r="L272" i="33"/>
  <c r="M272" i="33"/>
  <c r="N272" i="33"/>
  <c r="O272" i="33"/>
  <c r="P272" i="33"/>
  <c r="C273" i="33"/>
  <c r="F273" i="33"/>
  <c r="G273" i="33"/>
  <c r="J273" i="33"/>
  <c r="K273" i="33"/>
  <c r="L273" i="33"/>
  <c r="M273" i="33"/>
  <c r="N273" i="33"/>
  <c r="O273" i="33"/>
  <c r="P273" i="33"/>
  <c r="C274" i="33"/>
  <c r="F274" i="33"/>
  <c r="G274" i="33"/>
  <c r="J274" i="33"/>
  <c r="K274" i="33"/>
  <c r="L274" i="33"/>
  <c r="M274" i="33"/>
  <c r="N274" i="33"/>
  <c r="O274" i="33"/>
  <c r="P274" i="33"/>
  <c r="C275" i="33"/>
  <c r="F275" i="33"/>
  <c r="G275" i="33"/>
  <c r="J275" i="33"/>
  <c r="K275" i="33"/>
  <c r="L275" i="33"/>
  <c r="M275" i="33"/>
  <c r="N275" i="33"/>
  <c r="O275" i="33"/>
  <c r="P275" i="33"/>
  <c r="C276" i="33"/>
  <c r="F276" i="33"/>
  <c r="G276" i="33"/>
  <c r="J276" i="33"/>
  <c r="K276" i="33"/>
  <c r="L276" i="33"/>
  <c r="M276" i="33"/>
  <c r="N276" i="33"/>
  <c r="O276" i="33"/>
  <c r="P276" i="33"/>
  <c r="C277" i="33"/>
  <c r="F277" i="33"/>
  <c r="G277" i="33"/>
  <c r="J277" i="33"/>
  <c r="K277" i="33"/>
  <c r="L277" i="33"/>
  <c r="M277" i="33"/>
  <c r="N277" i="33"/>
  <c r="O277" i="33"/>
  <c r="P277" i="33"/>
  <c r="C278" i="33"/>
  <c r="F278" i="33"/>
  <c r="G278" i="33"/>
  <c r="J278" i="33"/>
  <c r="K278" i="33"/>
  <c r="L278" i="33"/>
  <c r="M278" i="33"/>
  <c r="N278" i="33"/>
  <c r="O278" i="33"/>
  <c r="P278" i="33"/>
  <c r="C279" i="33"/>
  <c r="F279" i="33"/>
  <c r="G279" i="33"/>
  <c r="J279" i="33"/>
  <c r="K279" i="33"/>
  <c r="L279" i="33"/>
  <c r="M279" i="33"/>
  <c r="N279" i="33"/>
  <c r="O279" i="33"/>
  <c r="P279" i="33"/>
  <c r="C280" i="33"/>
  <c r="F280" i="33"/>
  <c r="G280" i="33"/>
  <c r="J280" i="33"/>
  <c r="K280" i="33"/>
  <c r="L280" i="33"/>
  <c r="M280" i="33"/>
  <c r="N280" i="33"/>
  <c r="O280" i="33"/>
  <c r="P280" i="33"/>
  <c r="C281" i="33"/>
  <c r="F281" i="33"/>
  <c r="G281" i="33"/>
  <c r="J281" i="33"/>
  <c r="K281" i="33"/>
  <c r="L281" i="33"/>
  <c r="M281" i="33"/>
  <c r="N281" i="33"/>
  <c r="O281" i="33"/>
  <c r="P281" i="33"/>
  <c r="C282" i="33"/>
  <c r="F282" i="33"/>
  <c r="G282" i="33"/>
  <c r="J282" i="33"/>
  <c r="K282" i="33"/>
  <c r="L282" i="33"/>
  <c r="M282" i="33"/>
  <c r="N282" i="33"/>
  <c r="O282" i="33"/>
  <c r="P282" i="33"/>
  <c r="C283" i="33"/>
  <c r="F283" i="33"/>
  <c r="G283" i="33"/>
  <c r="J283" i="33"/>
  <c r="K283" i="33"/>
  <c r="L283" i="33"/>
  <c r="M283" i="33"/>
  <c r="N283" i="33"/>
  <c r="O283" i="33"/>
  <c r="P283" i="33"/>
  <c r="C284" i="33"/>
  <c r="F284" i="33"/>
  <c r="G284" i="33"/>
  <c r="J284" i="33"/>
  <c r="K284" i="33"/>
  <c r="L284" i="33"/>
  <c r="M284" i="33"/>
  <c r="N284" i="33"/>
  <c r="O284" i="33"/>
  <c r="P284" i="33"/>
  <c r="C285" i="33"/>
  <c r="F285" i="33"/>
  <c r="G285" i="33"/>
  <c r="J285" i="33"/>
  <c r="K285" i="33"/>
  <c r="L285" i="33"/>
  <c r="M285" i="33"/>
  <c r="N285" i="33"/>
  <c r="O285" i="33"/>
  <c r="P285" i="33"/>
  <c r="C286" i="33"/>
  <c r="F286" i="33"/>
  <c r="G286" i="33"/>
  <c r="J286" i="33"/>
  <c r="K286" i="33"/>
  <c r="L286" i="33"/>
  <c r="M286" i="33"/>
  <c r="N286" i="33"/>
  <c r="O286" i="33"/>
  <c r="P286" i="33"/>
  <c r="C287" i="33"/>
  <c r="F287" i="33"/>
  <c r="G287" i="33"/>
  <c r="J287" i="33"/>
  <c r="K287" i="33"/>
  <c r="L287" i="33"/>
  <c r="M287" i="33"/>
  <c r="N287" i="33"/>
  <c r="O287" i="33"/>
  <c r="P287" i="33"/>
  <c r="C288" i="33"/>
  <c r="F288" i="33"/>
  <c r="G288" i="33"/>
  <c r="J288" i="33"/>
  <c r="K288" i="33"/>
  <c r="L288" i="33"/>
  <c r="M288" i="33"/>
  <c r="N288" i="33"/>
  <c r="O288" i="33"/>
  <c r="P288" i="33"/>
  <c r="C289" i="33"/>
  <c r="F289" i="33"/>
  <c r="G289" i="33"/>
  <c r="J289" i="33"/>
  <c r="K289" i="33"/>
  <c r="L289" i="33"/>
  <c r="M289" i="33"/>
  <c r="N289" i="33"/>
  <c r="O289" i="33"/>
  <c r="P289" i="33"/>
  <c r="C290" i="33"/>
  <c r="F290" i="33"/>
  <c r="G290" i="33"/>
  <c r="J290" i="33"/>
  <c r="K290" i="33"/>
  <c r="L290" i="33"/>
  <c r="M290" i="33"/>
  <c r="N290" i="33"/>
  <c r="O290" i="33"/>
  <c r="P290" i="33"/>
  <c r="C291" i="33"/>
  <c r="F291" i="33"/>
  <c r="G291" i="33"/>
  <c r="J291" i="33"/>
  <c r="K291" i="33"/>
  <c r="L291" i="33"/>
  <c r="M291" i="33"/>
  <c r="N291" i="33"/>
  <c r="O291" i="33"/>
  <c r="P291" i="33"/>
  <c r="C292" i="33"/>
  <c r="F292" i="33"/>
  <c r="G292" i="33"/>
  <c r="J292" i="33"/>
  <c r="K292" i="33"/>
  <c r="L292" i="33"/>
  <c r="M292" i="33"/>
  <c r="N292" i="33"/>
  <c r="O292" i="33"/>
  <c r="P292" i="33"/>
  <c r="C293" i="33"/>
  <c r="F293" i="33"/>
  <c r="G293" i="33"/>
  <c r="J293" i="33"/>
  <c r="K293" i="33"/>
  <c r="L293" i="33"/>
  <c r="M293" i="33"/>
  <c r="N293" i="33"/>
  <c r="O293" i="33"/>
  <c r="P293" i="33"/>
  <c r="C294" i="33"/>
  <c r="F294" i="33"/>
  <c r="G294" i="33"/>
  <c r="J294" i="33"/>
  <c r="K294" i="33"/>
  <c r="L294" i="33"/>
  <c r="M294" i="33"/>
  <c r="N294" i="33"/>
  <c r="O294" i="33"/>
  <c r="P294" i="33"/>
  <c r="C295" i="33"/>
  <c r="F295" i="33"/>
  <c r="G295" i="33"/>
  <c r="J295" i="33"/>
  <c r="K295" i="33"/>
  <c r="L295" i="33"/>
  <c r="M295" i="33"/>
  <c r="N295" i="33"/>
  <c r="O295" i="33"/>
  <c r="P295" i="33"/>
  <c r="C296" i="33"/>
  <c r="F296" i="33"/>
  <c r="G296" i="33"/>
  <c r="J296" i="33"/>
  <c r="K296" i="33"/>
  <c r="L296" i="33"/>
  <c r="M296" i="33"/>
  <c r="N296" i="33"/>
  <c r="O296" i="33"/>
  <c r="P296" i="33"/>
  <c r="C297" i="33"/>
  <c r="F297" i="33"/>
  <c r="G297" i="33"/>
  <c r="J297" i="33"/>
  <c r="K297" i="33"/>
  <c r="L297" i="33"/>
  <c r="M297" i="33"/>
  <c r="N297" i="33"/>
  <c r="O297" i="33"/>
  <c r="P297" i="33"/>
  <c r="C298" i="33"/>
  <c r="F298" i="33"/>
  <c r="G298" i="33"/>
  <c r="J298" i="33"/>
  <c r="K298" i="33"/>
  <c r="L298" i="33"/>
  <c r="M298" i="33"/>
  <c r="N298" i="33"/>
  <c r="O298" i="33"/>
  <c r="P298" i="33"/>
  <c r="C299" i="33"/>
  <c r="F299" i="33"/>
  <c r="G299" i="33"/>
  <c r="J299" i="33"/>
  <c r="K299" i="33"/>
  <c r="L299" i="33"/>
  <c r="M299" i="33"/>
  <c r="N299" i="33"/>
  <c r="O299" i="33"/>
  <c r="P299" i="33"/>
  <c r="C300" i="33"/>
  <c r="F300" i="33"/>
  <c r="G300" i="33"/>
  <c r="J300" i="33"/>
  <c r="K300" i="33"/>
  <c r="L300" i="33"/>
  <c r="M300" i="33"/>
  <c r="N300" i="33"/>
  <c r="O300" i="33"/>
  <c r="P300" i="33"/>
  <c r="C1071" i="17"/>
  <c r="I645" i="17"/>
  <c r="L645" i="17"/>
  <c r="C500" i="33"/>
  <c r="C501" i="33"/>
  <c r="C502" i="33"/>
  <c r="C503" i="33"/>
  <c r="F500" i="33"/>
  <c r="F501" i="33"/>
  <c r="F502" i="33"/>
  <c r="F503" i="33"/>
  <c r="G500" i="33"/>
  <c r="G501" i="33"/>
  <c r="G502" i="33"/>
  <c r="G503" i="33"/>
  <c r="J500" i="33"/>
  <c r="J501" i="33"/>
  <c r="J502" i="33"/>
  <c r="J503" i="33"/>
  <c r="K500" i="33"/>
  <c r="K501" i="33"/>
  <c r="K502" i="33"/>
  <c r="K503" i="33"/>
  <c r="L500" i="33"/>
  <c r="L501" i="33"/>
  <c r="L502" i="33"/>
  <c r="L503" i="33"/>
  <c r="M500" i="33"/>
  <c r="M501" i="33"/>
  <c r="M502" i="33"/>
  <c r="M503" i="33"/>
  <c r="N500" i="33"/>
  <c r="N501" i="33"/>
  <c r="N502" i="33"/>
  <c r="N503" i="33"/>
  <c r="O500" i="33"/>
  <c r="O501" i="33"/>
  <c r="O502" i="33"/>
  <c r="O503" i="33"/>
  <c r="P500" i="33"/>
  <c r="P501" i="33"/>
  <c r="P502" i="33"/>
  <c r="P503" i="33"/>
  <c r="Q500" i="33"/>
  <c r="Q501" i="33"/>
  <c r="Q502" i="33"/>
  <c r="Q503" i="33"/>
  <c r="R500" i="33"/>
  <c r="R501" i="33"/>
  <c r="R502" i="33"/>
  <c r="R503" i="33"/>
  <c r="C499" i="33"/>
  <c r="F499" i="33"/>
  <c r="G499" i="33"/>
  <c r="J499" i="33"/>
  <c r="K499" i="33"/>
  <c r="L499" i="33"/>
  <c r="M499" i="33"/>
  <c r="N499" i="33"/>
  <c r="O499" i="33"/>
  <c r="P499" i="33"/>
  <c r="Q499" i="33"/>
  <c r="R499" i="33"/>
  <c r="C491" i="33"/>
  <c r="C492" i="33"/>
  <c r="C493" i="33"/>
  <c r="C494" i="33"/>
  <c r="C495" i="33"/>
  <c r="C496" i="33"/>
  <c r="C497" i="33"/>
  <c r="C498" i="33"/>
  <c r="F491" i="33"/>
  <c r="F492" i="33"/>
  <c r="F493" i="33"/>
  <c r="F494" i="33"/>
  <c r="F495" i="33"/>
  <c r="F496" i="33"/>
  <c r="F497" i="33"/>
  <c r="F498" i="33"/>
  <c r="G491" i="33"/>
  <c r="G492" i="33"/>
  <c r="G493" i="33"/>
  <c r="G494" i="33"/>
  <c r="G495" i="33"/>
  <c r="G496" i="33"/>
  <c r="G497" i="33"/>
  <c r="G498" i="33"/>
  <c r="J491" i="33"/>
  <c r="J492" i="33"/>
  <c r="J493" i="33"/>
  <c r="J494" i="33"/>
  <c r="J495" i="33"/>
  <c r="J496" i="33"/>
  <c r="J497" i="33"/>
  <c r="J498" i="33"/>
  <c r="K491" i="33"/>
  <c r="K492" i="33"/>
  <c r="K493" i="33"/>
  <c r="K494" i="33"/>
  <c r="K495" i="33"/>
  <c r="K496" i="33"/>
  <c r="K497" i="33"/>
  <c r="K498" i="33"/>
  <c r="L491" i="33"/>
  <c r="L492" i="33"/>
  <c r="L493" i="33"/>
  <c r="L494" i="33"/>
  <c r="L495" i="33"/>
  <c r="L496" i="33"/>
  <c r="L497" i="33"/>
  <c r="L498" i="33"/>
  <c r="M491" i="33"/>
  <c r="M492" i="33"/>
  <c r="M493" i="33"/>
  <c r="M494" i="33"/>
  <c r="M495" i="33"/>
  <c r="M496" i="33"/>
  <c r="M497" i="33"/>
  <c r="M498" i="33"/>
  <c r="N491" i="33"/>
  <c r="N492" i="33"/>
  <c r="N493" i="33"/>
  <c r="N494" i="33"/>
  <c r="N495" i="33"/>
  <c r="N496" i="33"/>
  <c r="N497" i="33"/>
  <c r="N498" i="33"/>
  <c r="O491" i="33"/>
  <c r="O492" i="33"/>
  <c r="O493" i="33"/>
  <c r="O494" i="33"/>
  <c r="O495" i="33"/>
  <c r="O496" i="33"/>
  <c r="O497" i="33"/>
  <c r="O498" i="33"/>
  <c r="P491" i="33"/>
  <c r="P492" i="33"/>
  <c r="P493" i="33"/>
  <c r="P494" i="33"/>
  <c r="P495" i="33"/>
  <c r="P496" i="33"/>
  <c r="P497" i="33"/>
  <c r="P498" i="33"/>
  <c r="Q491" i="33"/>
  <c r="Q492" i="33"/>
  <c r="Q493" i="33"/>
  <c r="Q494" i="33"/>
  <c r="Q495" i="33"/>
  <c r="Q496" i="33"/>
  <c r="Q497" i="33"/>
  <c r="Q498" i="33"/>
  <c r="R491" i="33"/>
  <c r="R492" i="33"/>
  <c r="R493" i="33"/>
  <c r="R494" i="33"/>
  <c r="R495" i="33"/>
  <c r="R496" i="33"/>
  <c r="R497" i="33"/>
  <c r="R498" i="33"/>
  <c r="C490" i="33"/>
  <c r="F490" i="33"/>
  <c r="G490" i="33"/>
  <c r="J490" i="33"/>
  <c r="K490" i="33"/>
  <c r="L490" i="33"/>
  <c r="M490" i="33"/>
  <c r="N490" i="33"/>
  <c r="O490" i="33"/>
  <c r="P490" i="33"/>
  <c r="Q490" i="33"/>
  <c r="R490" i="33"/>
  <c r="T486" i="33"/>
  <c r="S486" i="33"/>
  <c r="I624" i="17"/>
  <c r="L624" i="17"/>
  <c r="C487" i="33"/>
  <c r="C488" i="33"/>
  <c r="C489" i="33"/>
  <c r="F487" i="33"/>
  <c r="F488" i="33"/>
  <c r="F489" i="33"/>
  <c r="G487" i="33"/>
  <c r="G488" i="33"/>
  <c r="G489" i="33"/>
  <c r="J487" i="33"/>
  <c r="J488" i="33"/>
  <c r="J489" i="33"/>
  <c r="K487" i="33"/>
  <c r="K488" i="33"/>
  <c r="K489" i="33"/>
  <c r="L487" i="33"/>
  <c r="L488" i="33"/>
  <c r="L489" i="33"/>
  <c r="M487" i="33"/>
  <c r="M488" i="33"/>
  <c r="M489" i="33"/>
  <c r="N487" i="33"/>
  <c r="N488" i="33"/>
  <c r="N489" i="33"/>
  <c r="O487" i="33"/>
  <c r="O488" i="33"/>
  <c r="O489" i="33"/>
  <c r="P487" i="33"/>
  <c r="P488" i="33"/>
  <c r="P489" i="33"/>
  <c r="Q487" i="33"/>
  <c r="Q488" i="33"/>
  <c r="Q489" i="33"/>
  <c r="R487" i="33"/>
  <c r="R488" i="33"/>
  <c r="R489" i="33"/>
  <c r="C486" i="33"/>
  <c r="F486" i="33"/>
  <c r="G486" i="33"/>
  <c r="J486" i="33"/>
  <c r="K486" i="33"/>
  <c r="L486" i="33"/>
  <c r="U486" i="33"/>
  <c r="M486" i="33"/>
  <c r="N486" i="33"/>
  <c r="O486" i="33"/>
  <c r="P486" i="33"/>
  <c r="Q486" i="33"/>
  <c r="R486" i="33"/>
  <c r="I615" i="17"/>
  <c r="L615" i="17"/>
  <c r="C485" i="33"/>
  <c r="F485" i="33"/>
  <c r="G485" i="33"/>
  <c r="J485" i="33"/>
  <c r="K485" i="33"/>
  <c r="L485" i="33"/>
  <c r="M485" i="33"/>
  <c r="N485" i="33"/>
  <c r="O485" i="33"/>
  <c r="P485" i="33"/>
  <c r="Q485" i="33"/>
  <c r="R485" i="33"/>
  <c r="C475" i="33"/>
  <c r="C476" i="33"/>
  <c r="C477" i="33"/>
  <c r="C478" i="33"/>
  <c r="C479" i="33"/>
  <c r="C480" i="33"/>
  <c r="C481" i="33"/>
  <c r="C482" i="33"/>
  <c r="C483" i="33"/>
  <c r="C484" i="33"/>
  <c r="F476" i="33"/>
  <c r="F477" i="33"/>
  <c r="F478" i="33"/>
  <c r="F479" i="33"/>
  <c r="F480" i="33"/>
  <c r="F481" i="33"/>
  <c r="F482" i="33"/>
  <c r="F483" i="33"/>
  <c r="F484" i="33"/>
  <c r="G476" i="33"/>
  <c r="G477" i="33"/>
  <c r="G478" i="33"/>
  <c r="G479" i="33"/>
  <c r="G480" i="33"/>
  <c r="G481" i="33"/>
  <c r="G482" i="33"/>
  <c r="G483" i="33"/>
  <c r="G484" i="33"/>
  <c r="J476" i="33"/>
  <c r="J477" i="33"/>
  <c r="J478" i="33"/>
  <c r="J479" i="33"/>
  <c r="J480" i="33"/>
  <c r="J481" i="33"/>
  <c r="J482" i="33"/>
  <c r="J483" i="33"/>
  <c r="J484" i="33"/>
  <c r="K476" i="33"/>
  <c r="K477" i="33"/>
  <c r="K478" i="33"/>
  <c r="K479" i="33"/>
  <c r="K480" i="33"/>
  <c r="K481" i="33"/>
  <c r="K482" i="33"/>
  <c r="K483" i="33"/>
  <c r="K484" i="33"/>
  <c r="L476" i="33"/>
  <c r="L477" i="33"/>
  <c r="L478" i="33"/>
  <c r="L479" i="33"/>
  <c r="L480" i="33"/>
  <c r="L481" i="33"/>
  <c r="L482" i="33"/>
  <c r="L483" i="33"/>
  <c r="L484" i="33"/>
  <c r="M476" i="33"/>
  <c r="M477" i="33"/>
  <c r="M478" i="33"/>
  <c r="M479" i="33"/>
  <c r="M480" i="33"/>
  <c r="M481" i="33"/>
  <c r="M482" i="33"/>
  <c r="M483" i="33"/>
  <c r="M484" i="33"/>
  <c r="N476" i="33"/>
  <c r="N477" i="33"/>
  <c r="N478" i="33"/>
  <c r="N479" i="33"/>
  <c r="N480" i="33"/>
  <c r="N481" i="33"/>
  <c r="N482" i="33"/>
  <c r="N483" i="33"/>
  <c r="N484" i="33"/>
  <c r="O476" i="33"/>
  <c r="O477" i="33"/>
  <c r="O478" i="33"/>
  <c r="O479" i="33"/>
  <c r="O480" i="33"/>
  <c r="O481" i="33"/>
  <c r="O482" i="33"/>
  <c r="O483" i="33"/>
  <c r="O484" i="33"/>
  <c r="P476" i="33"/>
  <c r="P477" i="33"/>
  <c r="P478" i="33"/>
  <c r="P479" i="33"/>
  <c r="P480" i="33"/>
  <c r="P481" i="33"/>
  <c r="P482" i="33"/>
  <c r="P483" i="33"/>
  <c r="P484" i="33"/>
  <c r="Q476" i="33"/>
  <c r="Q477" i="33"/>
  <c r="Q478" i="33"/>
  <c r="Q479" i="33"/>
  <c r="Q480" i="33"/>
  <c r="Q481" i="33"/>
  <c r="Q482" i="33"/>
  <c r="Q483" i="33"/>
  <c r="Q484" i="33"/>
  <c r="R476" i="33"/>
  <c r="R477" i="33"/>
  <c r="R478" i="33"/>
  <c r="R479" i="33"/>
  <c r="R480" i="33"/>
  <c r="R481" i="33"/>
  <c r="R482" i="33"/>
  <c r="R483" i="33"/>
  <c r="R484" i="33"/>
  <c r="F475" i="33"/>
  <c r="G475" i="33"/>
  <c r="J475" i="33"/>
  <c r="K475" i="33"/>
  <c r="L475" i="33"/>
  <c r="M475" i="33"/>
  <c r="N475" i="33"/>
  <c r="O475" i="33"/>
  <c r="P475" i="33"/>
  <c r="Q475" i="33"/>
  <c r="R475" i="33"/>
  <c r="I594" i="17"/>
  <c r="L594" i="17"/>
  <c r="C470" i="33"/>
  <c r="C471" i="33"/>
  <c r="C472" i="33"/>
  <c r="C473" i="33"/>
  <c r="C474" i="33"/>
  <c r="F470" i="33"/>
  <c r="F471" i="33"/>
  <c r="F472" i="33"/>
  <c r="F473" i="33"/>
  <c r="F474" i="33"/>
  <c r="G470" i="33"/>
  <c r="G471" i="33"/>
  <c r="G472" i="33"/>
  <c r="G473" i="33"/>
  <c r="G474" i="33"/>
  <c r="J470" i="33"/>
  <c r="J471" i="33"/>
  <c r="J472" i="33"/>
  <c r="J473" i="33"/>
  <c r="J474" i="33"/>
  <c r="K470" i="33"/>
  <c r="K471" i="33"/>
  <c r="K472" i="33"/>
  <c r="K473" i="33"/>
  <c r="K474" i="33"/>
  <c r="L470" i="33"/>
  <c r="L471" i="33"/>
  <c r="L472" i="33"/>
  <c r="L473" i="33"/>
  <c r="L474" i="33"/>
  <c r="M470" i="33"/>
  <c r="M471" i="33"/>
  <c r="M472" i="33"/>
  <c r="M473" i="33"/>
  <c r="M474" i="33"/>
  <c r="N470" i="33"/>
  <c r="N471" i="33"/>
  <c r="N472" i="33"/>
  <c r="N473" i="33"/>
  <c r="N474" i="33"/>
  <c r="O470" i="33"/>
  <c r="O471" i="33"/>
  <c r="O472" i="33"/>
  <c r="O473" i="33"/>
  <c r="O474" i="33"/>
  <c r="P470" i="33"/>
  <c r="P471" i="33"/>
  <c r="P472" i="33"/>
  <c r="P473" i="33"/>
  <c r="P474" i="33"/>
  <c r="Q470" i="33"/>
  <c r="Q471" i="33"/>
  <c r="Q472" i="33"/>
  <c r="Q473" i="33"/>
  <c r="Q474" i="33"/>
  <c r="R470" i="33"/>
  <c r="R471" i="33"/>
  <c r="R472" i="33"/>
  <c r="R473" i="33"/>
  <c r="R474" i="33"/>
  <c r="C469" i="33"/>
  <c r="F469" i="33"/>
  <c r="G469" i="33"/>
  <c r="J469" i="33"/>
  <c r="K469" i="33"/>
  <c r="L469" i="33"/>
  <c r="M469" i="33"/>
  <c r="N469" i="33"/>
  <c r="O469" i="33"/>
  <c r="P469" i="33"/>
  <c r="Q469" i="33"/>
  <c r="R469" i="33"/>
  <c r="I580" i="17"/>
  <c r="L580" i="17"/>
  <c r="C466" i="33"/>
  <c r="C467" i="33"/>
  <c r="C468" i="33"/>
  <c r="F466" i="33"/>
  <c r="F467" i="33"/>
  <c r="F468" i="33"/>
  <c r="G466" i="33"/>
  <c r="G467" i="33"/>
  <c r="G468" i="33"/>
  <c r="J466" i="33"/>
  <c r="J467" i="33"/>
  <c r="J468" i="33"/>
  <c r="K466" i="33"/>
  <c r="K467" i="33"/>
  <c r="K468" i="33"/>
  <c r="L466" i="33"/>
  <c r="L467" i="33"/>
  <c r="L468" i="33"/>
  <c r="M466" i="33"/>
  <c r="M467" i="33"/>
  <c r="M468" i="33"/>
  <c r="N466" i="33"/>
  <c r="N467" i="33"/>
  <c r="N468" i="33"/>
  <c r="O466" i="33"/>
  <c r="O467" i="33"/>
  <c r="O468" i="33"/>
  <c r="P466" i="33"/>
  <c r="P467" i="33"/>
  <c r="P468" i="33"/>
  <c r="Q466" i="33"/>
  <c r="Q467" i="33"/>
  <c r="Q468" i="33"/>
  <c r="R466" i="33"/>
  <c r="R467" i="33"/>
  <c r="R468" i="33"/>
  <c r="C461" i="33"/>
  <c r="C462" i="33"/>
  <c r="C463" i="33"/>
  <c r="C464" i="33"/>
  <c r="C465" i="33"/>
  <c r="F461" i="33"/>
  <c r="F462" i="33"/>
  <c r="F463" i="33"/>
  <c r="F464" i="33"/>
  <c r="F465" i="33"/>
  <c r="G461" i="33"/>
  <c r="G462" i="33"/>
  <c r="G463" i="33"/>
  <c r="G464" i="33"/>
  <c r="G465" i="33"/>
  <c r="J461" i="33"/>
  <c r="J462" i="33"/>
  <c r="J463" i="33"/>
  <c r="J464" i="33"/>
  <c r="J465" i="33"/>
  <c r="K461" i="33"/>
  <c r="K462" i="33"/>
  <c r="K463" i="33"/>
  <c r="K464" i="33"/>
  <c r="K465" i="33"/>
  <c r="L461" i="33"/>
  <c r="L462" i="33"/>
  <c r="L463" i="33"/>
  <c r="L464" i="33"/>
  <c r="L465" i="33"/>
  <c r="M461" i="33"/>
  <c r="M462" i="33"/>
  <c r="M463" i="33"/>
  <c r="M464" i="33"/>
  <c r="M465" i="33"/>
  <c r="N461" i="33"/>
  <c r="N462" i="33"/>
  <c r="N463" i="33"/>
  <c r="N464" i="33"/>
  <c r="N465" i="33"/>
  <c r="O461" i="33"/>
  <c r="O462" i="33"/>
  <c r="O463" i="33"/>
  <c r="O464" i="33"/>
  <c r="O465" i="33"/>
  <c r="P461" i="33"/>
  <c r="P462" i="33"/>
  <c r="P463" i="33"/>
  <c r="P464" i="33"/>
  <c r="P465" i="33"/>
  <c r="Q461" i="33"/>
  <c r="Q462" i="33"/>
  <c r="Q463" i="33"/>
  <c r="Q464" i="33"/>
  <c r="Q465" i="33"/>
  <c r="R461" i="33"/>
  <c r="R462" i="33"/>
  <c r="R463" i="33"/>
  <c r="R464" i="33"/>
  <c r="R465" i="33"/>
  <c r="C460" i="33"/>
  <c r="F460" i="33"/>
  <c r="G460" i="33"/>
  <c r="J460" i="33"/>
  <c r="K460" i="33"/>
  <c r="L460" i="33"/>
  <c r="M460" i="33"/>
  <c r="N460" i="33"/>
  <c r="O460" i="33"/>
  <c r="P460" i="33"/>
  <c r="Q460" i="33"/>
  <c r="R460" i="33"/>
  <c r="I568" i="17"/>
  <c r="L568" i="17"/>
  <c r="C452" i="33"/>
  <c r="C453" i="33"/>
  <c r="C454" i="33"/>
  <c r="C455" i="33"/>
  <c r="C456" i="33"/>
  <c r="C457" i="33"/>
  <c r="C458" i="33"/>
  <c r="C459" i="33"/>
  <c r="F452" i="33"/>
  <c r="F453" i="33"/>
  <c r="F454" i="33"/>
  <c r="F455" i="33"/>
  <c r="F456" i="33"/>
  <c r="F457" i="33"/>
  <c r="F458" i="33"/>
  <c r="F459" i="33"/>
  <c r="G452" i="33"/>
  <c r="G453" i="33"/>
  <c r="G454" i="33"/>
  <c r="G455" i="33"/>
  <c r="G456" i="33"/>
  <c r="G457" i="33"/>
  <c r="G458" i="33"/>
  <c r="G459" i="33"/>
  <c r="J452" i="33"/>
  <c r="J453" i="33"/>
  <c r="J454" i="33"/>
  <c r="J455" i="33"/>
  <c r="J456" i="33"/>
  <c r="J457" i="33"/>
  <c r="J458" i="33"/>
  <c r="J459" i="33"/>
  <c r="K452" i="33"/>
  <c r="K453" i="33"/>
  <c r="K454" i="33"/>
  <c r="K455" i="33"/>
  <c r="K456" i="33"/>
  <c r="K457" i="33"/>
  <c r="K458" i="33"/>
  <c r="K459" i="33"/>
  <c r="L452" i="33"/>
  <c r="L453" i="33"/>
  <c r="L454" i="33"/>
  <c r="L455" i="33"/>
  <c r="L456" i="33"/>
  <c r="L457" i="33"/>
  <c r="L458" i="33"/>
  <c r="L459" i="33"/>
  <c r="M452" i="33"/>
  <c r="M453" i="33"/>
  <c r="M454" i="33"/>
  <c r="M455" i="33"/>
  <c r="M456" i="33"/>
  <c r="M457" i="33"/>
  <c r="M458" i="33"/>
  <c r="M459" i="33"/>
  <c r="N452" i="33"/>
  <c r="N453" i="33"/>
  <c r="N454" i="33"/>
  <c r="N455" i="33"/>
  <c r="N456" i="33"/>
  <c r="N457" i="33"/>
  <c r="N458" i="33"/>
  <c r="N459" i="33"/>
  <c r="O452" i="33"/>
  <c r="O453" i="33"/>
  <c r="O454" i="33"/>
  <c r="O455" i="33"/>
  <c r="O456" i="33"/>
  <c r="O457" i="33"/>
  <c r="O458" i="33"/>
  <c r="O459" i="33"/>
  <c r="P452" i="33"/>
  <c r="P453" i="33"/>
  <c r="P454" i="33"/>
  <c r="P455" i="33"/>
  <c r="P456" i="33"/>
  <c r="P457" i="33"/>
  <c r="P458" i="33"/>
  <c r="P459" i="33"/>
  <c r="Q452" i="33"/>
  <c r="Q453" i="33"/>
  <c r="Q454" i="33"/>
  <c r="Q455" i="33"/>
  <c r="Q456" i="33"/>
  <c r="Q457" i="33"/>
  <c r="Q458" i="33"/>
  <c r="Q459" i="33"/>
  <c r="R452" i="33"/>
  <c r="R453" i="33"/>
  <c r="R454" i="33"/>
  <c r="R455" i="33"/>
  <c r="R456" i="33"/>
  <c r="R457" i="33"/>
  <c r="R458" i="33"/>
  <c r="R459" i="33"/>
  <c r="C451" i="33"/>
  <c r="F451" i="33"/>
  <c r="G451" i="33"/>
  <c r="J451" i="33"/>
  <c r="K451" i="33"/>
  <c r="L451" i="33"/>
  <c r="M451" i="33"/>
  <c r="N451" i="33"/>
  <c r="O451" i="33"/>
  <c r="P451" i="33"/>
  <c r="Q451" i="33"/>
  <c r="R451" i="33"/>
  <c r="I551" i="17"/>
  <c r="L551" i="17"/>
  <c r="C448" i="33"/>
  <c r="C449" i="33"/>
  <c r="C450" i="33"/>
  <c r="F448" i="33"/>
  <c r="F449" i="33"/>
  <c r="F450" i="33"/>
  <c r="G448" i="33"/>
  <c r="G449" i="33"/>
  <c r="G450" i="33"/>
  <c r="J448" i="33"/>
  <c r="J449" i="33"/>
  <c r="J450" i="33"/>
  <c r="K448" i="33"/>
  <c r="K449" i="33"/>
  <c r="K450" i="33"/>
  <c r="L448" i="33"/>
  <c r="L449" i="33"/>
  <c r="L450" i="33"/>
  <c r="M448" i="33"/>
  <c r="M449" i="33"/>
  <c r="M450" i="33"/>
  <c r="N448" i="33"/>
  <c r="N449" i="33"/>
  <c r="N450" i="33"/>
  <c r="O448" i="33"/>
  <c r="O449" i="33"/>
  <c r="O450" i="33"/>
  <c r="P448" i="33"/>
  <c r="P449" i="33"/>
  <c r="P450" i="33"/>
  <c r="Q448" i="33"/>
  <c r="Q449" i="33"/>
  <c r="Q450" i="33"/>
  <c r="R448" i="33"/>
  <c r="R449" i="33"/>
  <c r="R450" i="33"/>
  <c r="C446" i="33"/>
  <c r="C447" i="33"/>
  <c r="F446" i="33"/>
  <c r="F447" i="33"/>
  <c r="G446" i="33"/>
  <c r="G447" i="33"/>
  <c r="J446" i="33"/>
  <c r="J447" i="33"/>
  <c r="K446" i="33"/>
  <c r="K447" i="33"/>
  <c r="L446" i="33"/>
  <c r="L447" i="33"/>
  <c r="M446" i="33"/>
  <c r="M447" i="33"/>
  <c r="N446" i="33"/>
  <c r="N447" i="33"/>
  <c r="O446" i="33"/>
  <c r="O447" i="33"/>
  <c r="P446" i="33"/>
  <c r="P447" i="33"/>
  <c r="Q446" i="33"/>
  <c r="Q447" i="33"/>
  <c r="R446" i="33"/>
  <c r="R447" i="33"/>
  <c r="I539" i="17"/>
  <c r="L539" i="17"/>
  <c r="C435" i="33"/>
  <c r="C436" i="33"/>
  <c r="F435" i="33"/>
  <c r="F436" i="33"/>
  <c r="G435" i="33"/>
  <c r="G436" i="33"/>
  <c r="J435" i="33"/>
  <c r="J436" i="33"/>
  <c r="K435" i="33"/>
  <c r="K436" i="33"/>
  <c r="L435" i="33"/>
  <c r="L436" i="33"/>
  <c r="M435" i="33"/>
  <c r="M436" i="33"/>
  <c r="N435" i="33"/>
  <c r="N436" i="33"/>
  <c r="O435" i="33"/>
  <c r="O436" i="33"/>
  <c r="P435" i="33"/>
  <c r="P436" i="33"/>
  <c r="Q435" i="33"/>
  <c r="Q436" i="33"/>
  <c r="R435" i="33"/>
  <c r="R436" i="33"/>
  <c r="C433" i="33"/>
  <c r="C434" i="33"/>
  <c r="C437" i="33"/>
  <c r="C438" i="33"/>
  <c r="C439" i="33"/>
  <c r="C440" i="33"/>
  <c r="C441" i="33"/>
  <c r="C442" i="33"/>
  <c r="C443" i="33"/>
  <c r="C444" i="33"/>
  <c r="C445" i="33"/>
  <c r="F433" i="33"/>
  <c r="F434" i="33"/>
  <c r="F437" i="33"/>
  <c r="F438" i="33"/>
  <c r="F439" i="33"/>
  <c r="F440" i="33"/>
  <c r="F441" i="33"/>
  <c r="F442" i="33"/>
  <c r="F443" i="33"/>
  <c r="F444" i="33"/>
  <c r="F445" i="33"/>
  <c r="G433" i="33"/>
  <c r="G434" i="33"/>
  <c r="G437" i="33"/>
  <c r="G438" i="33"/>
  <c r="G439" i="33"/>
  <c r="G440" i="33"/>
  <c r="G441" i="33"/>
  <c r="G442" i="33"/>
  <c r="G443" i="33"/>
  <c r="G444" i="33"/>
  <c r="G445" i="33"/>
  <c r="J433" i="33"/>
  <c r="J434" i="33"/>
  <c r="J437" i="33"/>
  <c r="J438" i="33"/>
  <c r="J439" i="33"/>
  <c r="J440" i="33"/>
  <c r="J441" i="33"/>
  <c r="J442" i="33"/>
  <c r="J443" i="33"/>
  <c r="J444" i="33"/>
  <c r="J445" i="33"/>
  <c r="K433" i="33"/>
  <c r="K434" i="33"/>
  <c r="K437" i="33"/>
  <c r="K438" i="33"/>
  <c r="K439" i="33"/>
  <c r="K440" i="33"/>
  <c r="K441" i="33"/>
  <c r="K442" i="33"/>
  <c r="K443" i="33"/>
  <c r="K444" i="33"/>
  <c r="K445" i="33"/>
  <c r="L433" i="33"/>
  <c r="L434" i="33"/>
  <c r="L437" i="33"/>
  <c r="L438" i="33"/>
  <c r="L439" i="33"/>
  <c r="L440" i="33"/>
  <c r="L441" i="33"/>
  <c r="L442" i="33"/>
  <c r="L443" i="33"/>
  <c r="L444" i="33"/>
  <c r="L445" i="33"/>
  <c r="M433" i="33"/>
  <c r="M434" i="33"/>
  <c r="M437" i="33"/>
  <c r="M438" i="33"/>
  <c r="M439" i="33"/>
  <c r="M440" i="33"/>
  <c r="M441" i="33"/>
  <c r="M442" i="33"/>
  <c r="M443" i="33"/>
  <c r="M444" i="33"/>
  <c r="M445" i="33"/>
  <c r="N433" i="33"/>
  <c r="N434" i="33"/>
  <c r="N437" i="33"/>
  <c r="N438" i="33"/>
  <c r="N439" i="33"/>
  <c r="N440" i="33"/>
  <c r="N441" i="33"/>
  <c r="N442" i="33"/>
  <c r="N443" i="33"/>
  <c r="N444" i="33"/>
  <c r="N445" i="33"/>
  <c r="O433" i="33"/>
  <c r="O434" i="33"/>
  <c r="O437" i="33"/>
  <c r="O438" i="33"/>
  <c r="O439" i="33"/>
  <c r="O440" i="33"/>
  <c r="O441" i="33"/>
  <c r="O442" i="33"/>
  <c r="O443" i="33"/>
  <c r="O444" i="33"/>
  <c r="O445" i="33"/>
  <c r="P433" i="33"/>
  <c r="P434" i="33"/>
  <c r="P437" i="33"/>
  <c r="P438" i="33"/>
  <c r="P439" i="33"/>
  <c r="P440" i="33"/>
  <c r="P441" i="33"/>
  <c r="P442" i="33"/>
  <c r="P443" i="33"/>
  <c r="P444" i="33"/>
  <c r="P445" i="33"/>
  <c r="Q433" i="33"/>
  <c r="Q434" i="33"/>
  <c r="Q437" i="33"/>
  <c r="Q438" i="33"/>
  <c r="Q439" i="33"/>
  <c r="Q440" i="33"/>
  <c r="Q441" i="33"/>
  <c r="Q442" i="33"/>
  <c r="Q443" i="33"/>
  <c r="Q444" i="33"/>
  <c r="Q445" i="33"/>
  <c r="R433" i="33"/>
  <c r="R434" i="33"/>
  <c r="R437" i="33"/>
  <c r="R438" i="33"/>
  <c r="R439" i="33"/>
  <c r="R440" i="33"/>
  <c r="R441" i="33"/>
  <c r="R442" i="33"/>
  <c r="R443" i="33"/>
  <c r="R444" i="33"/>
  <c r="R445" i="33"/>
  <c r="C432" i="33"/>
  <c r="F432" i="33"/>
  <c r="G432" i="33"/>
  <c r="J432" i="33"/>
  <c r="K432" i="33"/>
  <c r="L432" i="33"/>
  <c r="M432" i="33"/>
  <c r="N432" i="33"/>
  <c r="O432" i="33"/>
  <c r="P432" i="33"/>
  <c r="Q432" i="33"/>
  <c r="R432" i="33"/>
  <c r="C1070" i="17"/>
  <c r="J594" i="17"/>
  <c r="E1070" i="17"/>
  <c r="I513" i="17"/>
  <c r="L513" i="17"/>
  <c r="C1069" i="17"/>
  <c r="C426" i="33"/>
  <c r="C427" i="33"/>
  <c r="C428" i="33"/>
  <c r="C429" i="33"/>
  <c r="C430" i="33"/>
  <c r="C431" i="33"/>
  <c r="F426" i="33"/>
  <c r="F427" i="33"/>
  <c r="F428" i="33"/>
  <c r="F429" i="33"/>
  <c r="F430" i="33"/>
  <c r="F431" i="33"/>
  <c r="G426" i="33"/>
  <c r="G427" i="33"/>
  <c r="G428" i="33"/>
  <c r="G429" i="33"/>
  <c r="G430" i="33"/>
  <c r="G431" i="33"/>
  <c r="J426" i="33"/>
  <c r="J427" i="33"/>
  <c r="J428" i="33"/>
  <c r="J429" i="33"/>
  <c r="J430" i="33"/>
  <c r="J431" i="33"/>
  <c r="K426" i="33"/>
  <c r="K427" i="33"/>
  <c r="K428" i="33"/>
  <c r="K429" i="33"/>
  <c r="K430" i="33"/>
  <c r="K431" i="33"/>
  <c r="L426" i="33"/>
  <c r="L427" i="33"/>
  <c r="L428" i="33"/>
  <c r="L429" i="33"/>
  <c r="L430" i="33"/>
  <c r="L431" i="33"/>
  <c r="M426" i="33"/>
  <c r="M427" i="33"/>
  <c r="M428" i="33"/>
  <c r="M429" i="33"/>
  <c r="M430" i="33"/>
  <c r="M431" i="33"/>
  <c r="N426" i="33"/>
  <c r="N427" i="33"/>
  <c r="N428" i="33"/>
  <c r="N429" i="33"/>
  <c r="N430" i="33"/>
  <c r="N431" i="33"/>
  <c r="O426" i="33"/>
  <c r="O427" i="33"/>
  <c r="O428" i="33"/>
  <c r="O429" i="33"/>
  <c r="O430" i="33"/>
  <c r="O431" i="33"/>
  <c r="P426" i="33"/>
  <c r="P427" i="33"/>
  <c r="P428" i="33"/>
  <c r="P429" i="33"/>
  <c r="P430" i="33"/>
  <c r="P431" i="33"/>
  <c r="Q426" i="33"/>
  <c r="Q427" i="33"/>
  <c r="Q428" i="33"/>
  <c r="Q429" i="33"/>
  <c r="Q430" i="33"/>
  <c r="Q431" i="33"/>
  <c r="R426" i="33"/>
  <c r="R427" i="33"/>
  <c r="R428" i="33"/>
  <c r="R429" i="33"/>
  <c r="R430" i="33"/>
  <c r="R431" i="33"/>
  <c r="C425" i="33"/>
  <c r="F425" i="33"/>
  <c r="G425" i="33"/>
  <c r="J425" i="33"/>
  <c r="K425" i="33"/>
  <c r="L425" i="33"/>
  <c r="M425" i="33"/>
  <c r="N425" i="33"/>
  <c r="O425" i="33"/>
  <c r="P425" i="33"/>
  <c r="Q425" i="33"/>
  <c r="R425" i="33"/>
  <c r="C420" i="33"/>
  <c r="C421" i="33"/>
  <c r="C422" i="33"/>
  <c r="C423" i="33"/>
  <c r="C424" i="33"/>
  <c r="F420" i="33"/>
  <c r="F421" i="33"/>
  <c r="F422" i="33"/>
  <c r="F423" i="33"/>
  <c r="F424" i="33"/>
  <c r="G420" i="33"/>
  <c r="G421" i="33"/>
  <c r="G422" i="33"/>
  <c r="G423" i="33"/>
  <c r="G424" i="33"/>
  <c r="J420" i="33"/>
  <c r="J421" i="33"/>
  <c r="J422" i="33"/>
  <c r="J423" i="33"/>
  <c r="J424" i="33"/>
  <c r="K420" i="33"/>
  <c r="K421" i="33"/>
  <c r="K422" i="33"/>
  <c r="K423" i="33"/>
  <c r="K424" i="33"/>
  <c r="L420" i="33"/>
  <c r="L421" i="33"/>
  <c r="L422" i="33"/>
  <c r="L423" i="33"/>
  <c r="L424" i="33"/>
  <c r="M420" i="33"/>
  <c r="M421" i="33"/>
  <c r="M422" i="33"/>
  <c r="M423" i="33"/>
  <c r="M424" i="33"/>
  <c r="N420" i="33"/>
  <c r="N421" i="33"/>
  <c r="N422" i="33"/>
  <c r="N423" i="33"/>
  <c r="N424" i="33"/>
  <c r="O420" i="33"/>
  <c r="O421" i="33"/>
  <c r="O422" i="33"/>
  <c r="O423" i="33"/>
  <c r="O424" i="33"/>
  <c r="P420" i="33"/>
  <c r="P421" i="33"/>
  <c r="P422" i="33"/>
  <c r="P423" i="33"/>
  <c r="P424" i="33"/>
  <c r="Q420" i="33"/>
  <c r="Q421" i="33"/>
  <c r="Q422" i="33"/>
  <c r="Q423" i="33"/>
  <c r="Q424" i="33"/>
  <c r="R420" i="33"/>
  <c r="R421" i="33"/>
  <c r="R422" i="33"/>
  <c r="R423" i="33"/>
  <c r="R424" i="33"/>
  <c r="C419" i="33"/>
  <c r="F419" i="33"/>
  <c r="G419" i="33"/>
  <c r="J419" i="33"/>
  <c r="K419" i="33"/>
  <c r="L419" i="33"/>
  <c r="M419" i="33"/>
  <c r="N419" i="33"/>
  <c r="O419" i="33"/>
  <c r="P419" i="33"/>
  <c r="Q419" i="33"/>
  <c r="R419" i="33"/>
  <c r="C415" i="33"/>
  <c r="C416" i="33"/>
  <c r="C417" i="33"/>
  <c r="C418" i="33"/>
  <c r="I486" i="17"/>
  <c r="L486" i="17"/>
  <c r="C410" i="33"/>
  <c r="C411" i="33"/>
  <c r="C412" i="33"/>
  <c r="C413" i="33"/>
  <c r="C414" i="33"/>
  <c r="F410" i="33"/>
  <c r="F411" i="33"/>
  <c r="F412" i="33"/>
  <c r="F413" i="33"/>
  <c r="F414" i="33"/>
  <c r="F415" i="33"/>
  <c r="F416" i="33"/>
  <c r="F417" i="33"/>
  <c r="F418" i="33"/>
  <c r="G410" i="33"/>
  <c r="G411" i="33"/>
  <c r="G412" i="33"/>
  <c r="G413" i="33"/>
  <c r="G414" i="33"/>
  <c r="G415" i="33"/>
  <c r="G416" i="33"/>
  <c r="G417" i="33"/>
  <c r="G418" i="33"/>
  <c r="J410" i="33"/>
  <c r="J411" i="33"/>
  <c r="J412" i="33"/>
  <c r="J413" i="33"/>
  <c r="J414" i="33"/>
  <c r="J415" i="33"/>
  <c r="J416" i="33"/>
  <c r="J417" i="33"/>
  <c r="J418" i="33"/>
  <c r="K410" i="33"/>
  <c r="K411" i="33"/>
  <c r="K412" i="33"/>
  <c r="K413" i="33"/>
  <c r="K414" i="33"/>
  <c r="K415" i="33"/>
  <c r="K416" i="33"/>
  <c r="K417" i="33"/>
  <c r="K418" i="33"/>
  <c r="L410" i="33"/>
  <c r="L411" i="33"/>
  <c r="L412" i="33"/>
  <c r="L413" i="33"/>
  <c r="L414" i="33"/>
  <c r="L415" i="33"/>
  <c r="L416" i="33"/>
  <c r="L417" i="33"/>
  <c r="L418" i="33"/>
  <c r="M410" i="33"/>
  <c r="M411" i="33"/>
  <c r="M412" i="33"/>
  <c r="M413" i="33"/>
  <c r="M414" i="33"/>
  <c r="M415" i="33"/>
  <c r="M416" i="33"/>
  <c r="M417" i="33"/>
  <c r="M418" i="33"/>
  <c r="N410" i="33"/>
  <c r="N411" i="33"/>
  <c r="N412" i="33"/>
  <c r="N413" i="33"/>
  <c r="N414" i="33"/>
  <c r="N415" i="33"/>
  <c r="N416" i="33"/>
  <c r="N417" i="33"/>
  <c r="N418" i="33"/>
  <c r="O410" i="33"/>
  <c r="O411" i="33"/>
  <c r="O412" i="33"/>
  <c r="O413" i="33"/>
  <c r="O414" i="33"/>
  <c r="O415" i="33"/>
  <c r="O416" i="33"/>
  <c r="O417" i="33"/>
  <c r="O418" i="33"/>
  <c r="P410" i="33"/>
  <c r="P411" i="33"/>
  <c r="P412" i="33"/>
  <c r="P413" i="33"/>
  <c r="P414" i="33"/>
  <c r="P415" i="33"/>
  <c r="P416" i="33"/>
  <c r="P417" i="33"/>
  <c r="P418" i="33"/>
  <c r="Q410" i="33"/>
  <c r="Q411" i="33"/>
  <c r="Q412" i="33"/>
  <c r="Q413" i="33"/>
  <c r="Q414" i="33"/>
  <c r="Q415" i="33"/>
  <c r="Q416" i="33"/>
  <c r="Q417" i="33"/>
  <c r="Q418" i="33"/>
  <c r="R410" i="33"/>
  <c r="R411" i="33"/>
  <c r="R412" i="33"/>
  <c r="R413" i="33"/>
  <c r="R414" i="33"/>
  <c r="R415" i="33"/>
  <c r="R416" i="33"/>
  <c r="R417" i="33"/>
  <c r="R418" i="33"/>
  <c r="C409" i="33"/>
  <c r="F409" i="33"/>
  <c r="G409" i="33"/>
  <c r="J409" i="33"/>
  <c r="K409" i="33"/>
  <c r="L409" i="33"/>
  <c r="M409" i="33"/>
  <c r="N409" i="33"/>
  <c r="O409" i="33"/>
  <c r="P409" i="33"/>
  <c r="Q409" i="33"/>
  <c r="R409" i="33"/>
  <c r="I467" i="17"/>
  <c r="L467" i="17"/>
  <c r="C408" i="33"/>
  <c r="F408" i="33"/>
  <c r="G408" i="33"/>
  <c r="J408" i="33"/>
  <c r="K408" i="33"/>
  <c r="L408" i="33"/>
  <c r="M408" i="33"/>
  <c r="N408" i="33"/>
  <c r="O408" i="33"/>
  <c r="P408" i="33"/>
  <c r="Q408" i="33"/>
  <c r="R408" i="33"/>
  <c r="C405" i="33"/>
  <c r="C406" i="33"/>
  <c r="C407" i="33"/>
  <c r="F405" i="33"/>
  <c r="F406" i="33"/>
  <c r="F407" i="33"/>
  <c r="G405" i="33"/>
  <c r="G406" i="33"/>
  <c r="G407" i="33"/>
  <c r="J405" i="33"/>
  <c r="J406" i="33"/>
  <c r="J407" i="33"/>
  <c r="K405" i="33"/>
  <c r="K406" i="33"/>
  <c r="K407" i="33"/>
  <c r="L405" i="33"/>
  <c r="L406" i="33"/>
  <c r="L407" i="33"/>
  <c r="M405" i="33"/>
  <c r="M406" i="33"/>
  <c r="M407" i="33"/>
  <c r="N405" i="33"/>
  <c r="N406" i="33"/>
  <c r="N407" i="33"/>
  <c r="O405" i="33"/>
  <c r="O406" i="33"/>
  <c r="O407" i="33"/>
  <c r="P405" i="33"/>
  <c r="P406" i="33"/>
  <c r="P407" i="33"/>
  <c r="Q405" i="33"/>
  <c r="Q406" i="33"/>
  <c r="Q407" i="33"/>
  <c r="R405" i="33"/>
  <c r="R406" i="33"/>
  <c r="R407" i="33"/>
  <c r="C404" i="33"/>
  <c r="F404" i="33"/>
  <c r="G404" i="33"/>
  <c r="J404" i="33"/>
  <c r="K404" i="33"/>
  <c r="L404" i="33"/>
  <c r="M404" i="33"/>
  <c r="N404" i="33"/>
  <c r="O404" i="33"/>
  <c r="P404" i="33"/>
  <c r="Q404" i="33"/>
  <c r="R404" i="33"/>
  <c r="I457" i="17"/>
  <c r="L457" i="17"/>
  <c r="C393" i="33"/>
  <c r="C394" i="33"/>
  <c r="C395" i="33"/>
  <c r="C396" i="33"/>
  <c r="C397" i="33"/>
  <c r="C398" i="33"/>
  <c r="C399" i="33"/>
  <c r="C400" i="33"/>
  <c r="C401" i="33"/>
  <c r="C402" i="33"/>
  <c r="C403" i="33"/>
  <c r="F393" i="33"/>
  <c r="F394" i="33"/>
  <c r="F395" i="33"/>
  <c r="F396" i="33"/>
  <c r="F397" i="33"/>
  <c r="F398" i="33"/>
  <c r="F399" i="33"/>
  <c r="F400" i="33"/>
  <c r="F401" i="33"/>
  <c r="F402" i="33"/>
  <c r="F403" i="33"/>
  <c r="G393" i="33"/>
  <c r="G394" i="33"/>
  <c r="G395" i="33"/>
  <c r="G396" i="33"/>
  <c r="G397" i="33"/>
  <c r="G398" i="33"/>
  <c r="G399" i="33"/>
  <c r="G400" i="33"/>
  <c r="G401" i="33"/>
  <c r="G402" i="33"/>
  <c r="G403" i="33"/>
  <c r="J393" i="33"/>
  <c r="J394" i="33"/>
  <c r="J395" i="33"/>
  <c r="J396" i="33"/>
  <c r="J397" i="33"/>
  <c r="J398" i="33"/>
  <c r="J399" i="33"/>
  <c r="J400" i="33"/>
  <c r="J401" i="33"/>
  <c r="J402" i="33"/>
  <c r="J403" i="33"/>
  <c r="K393" i="33"/>
  <c r="K394" i="33"/>
  <c r="K395" i="33"/>
  <c r="K396" i="33"/>
  <c r="K397" i="33"/>
  <c r="K398" i="33"/>
  <c r="K399" i="33"/>
  <c r="K400" i="33"/>
  <c r="K401" i="33"/>
  <c r="K402" i="33"/>
  <c r="K403" i="33"/>
  <c r="L393" i="33"/>
  <c r="L394" i="33"/>
  <c r="L395" i="33"/>
  <c r="L396" i="33"/>
  <c r="L397" i="33"/>
  <c r="L398" i="33"/>
  <c r="L399" i="33"/>
  <c r="L400" i="33"/>
  <c r="L401" i="33"/>
  <c r="L402" i="33"/>
  <c r="L403" i="33"/>
  <c r="M393" i="33"/>
  <c r="M394" i="33"/>
  <c r="M395" i="33"/>
  <c r="M396" i="33"/>
  <c r="M397" i="33"/>
  <c r="M398" i="33"/>
  <c r="M399" i="33"/>
  <c r="M400" i="33"/>
  <c r="M401" i="33"/>
  <c r="M402" i="33"/>
  <c r="M403" i="33"/>
  <c r="N393" i="33"/>
  <c r="N394" i="33"/>
  <c r="N395" i="33"/>
  <c r="N396" i="33"/>
  <c r="N397" i="33"/>
  <c r="N398" i="33"/>
  <c r="N399" i="33"/>
  <c r="N400" i="33"/>
  <c r="N401" i="33"/>
  <c r="N402" i="33"/>
  <c r="N403" i="33"/>
  <c r="O393" i="33"/>
  <c r="O394" i="33"/>
  <c r="O395" i="33"/>
  <c r="O396" i="33"/>
  <c r="O397" i="33"/>
  <c r="O398" i="33"/>
  <c r="O399" i="33"/>
  <c r="O400" i="33"/>
  <c r="O401" i="33"/>
  <c r="O402" i="33"/>
  <c r="O403" i="33"/>
  <c r="P393" i="33"/>
  <c r="P394" i="33"/>
  <c r="P395" i="33"/>
  <c r="P396" i="33"/>
  <c r="P397" i="33"/>
  <c r="P398" i="33"/>
  <c r="P399" i="33"/>
  <c r="P400" i="33"/>
  <c r="P401" i="33"/>
  <c r="P402" i="33"/>
  <c r="P403" i="33"/>
  <c r="Q393" i="33"/>
  <c r="Q394" i="33"/>
  <c r="Q395" i="33"/>
  <c r="Q396" i="33"/>
  <c r="Q397" i="33"/>
  <c r="Q398" i="33"/>
  <c r="Q399" i="33"/>
  <c r="Q400" i="33"/>
  <c r="Q401" i="33"/>
  <c r="Q402" i="33"/>
  <c r="Q403" i="33"/>
  <c r="R393" i="33"/>
  <c r="R394" i="33"/>
  <c r="R395" i="33"/>
  <c r="R396" i="33"/>
  <c r="R397" i="33"/>
  <c r="R398" i="33"/>
  <c r="R399" i="33"/>
  <c r="R400" i="33"/>
  <c r="R401" i="33"/>
  <c r="R402" i="33"/>
  <c r="R403" i="33"/>
  <c r="C392" i="33"/>
  <c r="F392" i="33"/>
  <c r="G392" i="33"/>
  <c r="J392" i="33"/>
  <c r="K392" i="33"/>
  <c r="L392" i="33"/>
  <c r="M392" i="33"/>
  <c r="N392" i="33"/>
  <c r="O392" i="33"/>
  <c r="P392" i="33"/>
  <c r="Q392" i="33"/>
  <c r="R392" i="33"/>
  <c r="I433" i="17"/>
  <c r="L433" i="17"/>
  <c r="C391" i="33"/>
  <c r="F391" i="33"/>
  <c r="G391" i="33"/>
  <c r="J391" i="33"/>
  <c r="K391" i="33"/>
  <c r="L391" i="33"/>
  <c r="M391" i="33"/>
  <c r="N391" i="33"/>
  <c r="O391" i="33"/>
  <c r="P391" i="33"/>
  <c r="Q391" i="33"/>
  <c r="R391" i="33"/>
  <c r="C390" i="33"/>
  <c r="F390" i="33"/>
  <c r="G390" i="33"/>
  <c r="J390" i="33"/>
  <c r="K390" i="33"/>
  <c r="L390" i="33"/>
  <c r="M390" i="33"/>
  <c r="N390" i="33"/>
  <c r="O390" i="33"/>
  <c r="P390" i="33"/>
  <c r="Q390" i="33"/>
  <c r="R390" i="33"/>
  <c r="C389" i="33"/>
  <c r="F389" i="33"/>
  <c r="G389" i="33"/>
  <c r="J389" i="33"/>
  <c r="K389" i="33"/>
  <c r="L389" i="33"/>
  <c r="M389" i="33"/>
  <c r="N389" i="33"/>
  <c r="O389" i="33"/>
  <c r="P389" i="33"/>
  <c r="Q389" i="33"/>
  <c r="R389" i="33"/>
  <c r="C1068" i="17"/>
  <c r="I427" i="17"/>
  <c r="L427" i="17"/>
  <c r="C385" i="33"/>
  <c r="C386" i="33"/>
  <c r="C387" i="33"/>
  <c r="C388" i="33"/>
  <c r="F385" i="33"/>
  <c r="F386" i="33"/>
  <c r="F387" i="33"/>
  <c r="F388" i="33"/>
  <c r="G385" i="33"/>
  <c r="G386" i="33"/>
  <c r="G387" i="33"/>
  <c r="G388" i="33"/>
  <c r="J385" i="33"/>
  <c r="J386" i="33"/>
  <c r="J387" i="33"/>
  <c r="J388" i="33"/>
  <c r="K385" i="33"/>
  <c r="K386" i="33"/>
  <c r="K387" i="33"/>
  <c r="K388" i="33"/>
  <c r="L385" i="33"/>
  <c r="L386" i="33"/>
  <c r="L387" i="33"/>
  <c r="L388" i="33"/>
  <c r="M385" i="33"/>
  <c r="M386" i="33"/>
  <c r="M387" i="33"/>
  <c r="M388" i="33"/>
  <c r="N385" i="33"/>
  <c r="N386" i="33"/>
  <c r="N387" i="33"/>
  <c r="N388" i="33"/>
  <c r="O385" i="33"/>
  <c r="O386" i="33"/>
  <c r="O387" i="33"/>
  <c r="O388" i="33"/>
  <c r="P385" i="33"/>
  <c r="P386" i="33"/>
  <c r="P387" i="33"/>
  <c r="P388" i="33"/>
  <c r="Q385" i="33"/>
  <c r="Q386" i="33"/>
  <c r="Q387" i="33"/>
  <c r="Q388" i="33"/>
  <c r="R385" i="33"/>
  <c r="R386" i="33"/>
  <c r="R387" i="33"/>
  <c r="R388" i="33"/>
  <c r="C384" i="33"/>
  <c r="F384" i="33"/>
  <c r="G384" i="33"/>
  <c r="J384" i="33"/>
  <c r="K384" i="33"/>
  <c r="L384" i="33"/>
  <c r="M384" i="33"/>
  <c r="N384" i="33"/>
  <c r="O384" i="33"/>
  <c r="P384" i="33"/>
  <c r="Q384" i="33"/>
  <c r="R384" i="33"/>
  <c r="I417" i="17"/>
  <c r="L417" i="17"/>
  <c r="C382" i="33"/>
  <c r="C383" i="33"/>
  <c r="F382" i="33"/>
  <c r="F383" i="33"/>
  <c r="G382" i="33"/>
  <c r="G383" i="33"/>
  <c r="J382" i="33"/>
  <c r="J383" i="33"/>
  <c r="K382" i="33"/>
  <c r="K383" i="33"/>
  <c r="L382" i="33"/>
  <c r="L383" i="33"/>
  <c r="M382" i="33"/>
  <c r="M383" i="33"/>
  <c r="N382" i="33"/>
  <c r="N383" i="33"/>
  <c r="O382" i="33"/>
  <c r="O383" i="33"/>
  <c r="P382" i="33"/>
  <c r="P383" i="33"/>
  <c r="Q382" i="33"/>
  <c r="Q383" i="33"/>
  <c r="R382" i="33"/>
  <c r="R383" i="33"/>
  <c r="C377" i="33"/>
  <c r="C378" i="33"/>
  <c r="C379" i="33"/>
  <c r="C380" i="33"/>
  <c r="C381" i="33"/>
  <c r="F377" i="33"/>
  <c r="F378" i="33"/>
  <c r="F379" i="33"/>
  <c r="F380" i="33"/>
  <c r="F381" i="33"/>
  <c r="G377" i="33"/>
  <c r="G378" i="33"/>
  <c r="G379" i="33"/>
  <c r="G380" i="33"/>
  <c r="G381" i="33"/>
  <c r="J377" i="33"/>
  <c r="J378" i="33"/>
  <c r="J379" i="33"/>
  <c r="J380" i="33"/>
  <c r="J381" i="33"/>
  <c r="K377" i="33"/>
  <c r="K378" i="33"/>
  <c r="K379" i="33"/>
  <c r="K380" i="33"/>
  <c r="K381" i="33"/>
  <c r="L377" i="33"/>
  <c r="L378" i="33"/>
  <c r="L379" i="33"/>
  <c r="L380" i="33"/>
  <c r="L381" i="33"/>
  <c r="M377" i="33"/>
  <c r="M378" i="33"/>
  <c r="M379" i="33"/>
  <c r="M380" i="33"/>
  <c r="M381" i="33"/>
  <c r="N377" i="33"/>
  <c r="N378" i="33"/>
  <c r="N379" i="33"/>
  <c r="N380" i="33"/>
  <c r="N381" i="33"/>
  <c r="O377" i="33"/>
  <c r="O378" i="33"/>
  <c r="O379" i="33"/>
  <c r="O380" i="33"/>
  <c r="O381" i="33"/>
  <c r="P377" i="33"/>
  <c r="P378" i="33"/>
  <c r="P379" i="33"/>
  <c r="P380" i="33"/>
  <c r="P381" i="33"/>
  <c r="Q377" i="33"/>
  <c r="Q378" i="33"/>
  <c r="Q379" i="33"/>
  <c r="Q380" i="33"/>
  <c r="Q381" i="33"/>
  <c r="R377" i="33"/>
  <c r="R378" i="33"/>
  <c r="R379" i="33"/>
  <c r="R380" i="33"/>
  <c r="R381" i="33"/>
  <c r="C376" i="33"/>
  <c r="F376" i="33"/>
  <c r="G376" i="33"/>
  <c r="J376" i="33"/>
  <c r="K376" i="33"/>
  <c r="L376" i="33"/>
  <c r="M376" i="33"/>
  <c r="N376" i="33"/>
  <c r="O376" i="33"/>
  <c r="P376" i="33"/>
  <c r="Q376" i="33"/>
  <c r="R376" i="33"/>
  <c r="C374" i="33"/>
  <c r="C375" i="33"/>
  <c r="F374" i="33"/>
  <c r="F375" i="33"/>
  <c r="G374" i="33"/>
  <c r="G375" i="33"/>
  <c r="J374" i="33"/>
  <c r="J375" i="33"/>
  <c r="K374" i="33"/>
  <c r="K375" i="33"/>
  <c r="L374" i="33"/>
  <c r="L375" i="33"/>
  <c r="M374" i="33"/>
  <c r="M375" i="33"/>
  <c r="N374" i="33"/>
  <c r="N375" i="33"/>
  <c r="O374" i="33"/>
  <c r="O375" i="33"/>
  <c r="P374" i="33"/>
  <c r="P375" i="33"/>
  <c r="Q374" i="33"/>
  <c r="Q375" i="33"/>
  <c r="R374" i="33"/>
  <c r="R375" i="33"/>
  <c r="I401" i="17"/>
  <c r="L401" i="17"/>
  <c r="C368" i="33"/>
  <c r="C369" i="33"/>
  <c r="C370" i="33"/>
  <c r="C371" i="33"/>
  <c r="C372" i="33"/>
  <c r="C373" i="33"/>
  <c r="F368" i="33"/>
  <c r="F369" i="33"/>
  <c r="F370" i="33"/>
  <c r="F371" i="33"/>
  <c r="F372" i="33"/>
  <c r="F373" i="33"/>
  <c r="G368" i="33"/>
  <c r="G369" i="33"/>
  <c r="G370" i="33"/>
  <c r="G371" i="33"/>
  <c r="G372" i="33"/>
  <c r="G373" i="33"/>
  <c r="J368" i="33"/>
  <c r="J369" i="33"/>
  <c r="J370" i="33"/>
  <c r="J371" i="33"/>
  <c r="J372" i="33"/>
  <c r="J373" i="33"/>
  <c r="K368" i="33"/>
  <c r="K369" i="33"/>
  <c r="K370" i="33"/>
  <c r="K371" i="33"/>
  <c r="K372" i="33"/>
  <c r="K373" i="33"/>
  <c r="L368" i="33"/>
  <c r="L369" i="33"/>
  <c r="L370" i="33"/>
  <c r="L371" i="33"/>
  <c r="L372" i="33"/>
  <c r="L373" i="33"/>
  <c r="M368" i="33"/>
  <c r="M369" i="33"/>
  <c r="M370" i="33"/>
  <c r="M371" i="33"/>
  <c r="M372" i="33"/>
  <c r="M373" i="33"/>
  <c r="N368" i="33"/>
  <c r="N369" i="33"/>
  <c r="N370" i="33"/>
  <c r="N371" i="33"/>
  <c r="N372" i="33"/>
  <c r="N373" i="33"/>
  <c r="O368" i="33"/>
  <c r="O369" i="33"/>
  <c r="O370" i="33"/>
  <c r="O371" i="33"/>
  <c r="O372" i="33"/>
  <c r="O373" i="33"/>
  <c r="P368" i="33"/>
  <c r="P369" i="33"/>
  <c r="P370" i="33"/>
  <c r="P371" i="33"/>
  <c r="P372" i="33"/>
  <c r="P373" i="33"/>
  <c r="Q368" i="33"/>
  <c r="Q369" i="33"/>
  <c r="Q370" i="33"/>
  <c r="Q371" i="33"/>
  <c r="Q372" i="33"/>
  <c r="Q373" i="33"/>
  <c r="R368" i="33"/>
  <c r="R369" i="33"/>
  <c r="R370" i="33"/>
  <c r="R371" i="33"/>
  <c r="R372" i="33"/>
  <c r="R373" i="33"/>
  <c r="C367" i="33"/>
  <c r="F367" i="33"/>
  <c r="G367" i="33"/>
  <c r="J367" i="33"/>
  <c r="K367" i="33"/>
  <c r="L367" i="33"/>
  <c r="M367" i="33"/>
  <c r="N367" i="33"/>
  <c r="O367" i="33"/>
  <c r="P367" i="33"/>
  <c r="Q367" i="33"/>
  <c r="R367" i="33"/>
  <c r="C363" i="33"/>
  <c r="C364" i="33"/>
  <c r="C365" i="33"/>
  <c r="C366" i="33"/>
  <c r="F363" i="33"/>
  <c r="F364" i="33"/>
  <c r="F365" i="33"/>
  <c r="F366" i="33"/>
  <c r="G363" i="33"/>
  <c r="G364" i="33"/>
  <c r="G365" i="33"/>
  <c r="G366" i="33"/>
  <c r="J363" i="33"/>
  <c r="J364" i="33"/>
  <c r="J365" i="33"/>
  <c r="J366" i="33"/>
  <c r="K363" i="33"/>
  <c r="K364" i="33"/>
  <c r="K365" i="33"/>
  <c r="K366" i="33"/>
  <c r="L363" i="33"/>
  <c r="L364" i="33"/>
  <c r="L365" i="33"/>
  <c r="L366" i="33"/>
  <c r="M363" i="33"/>
  <c r="M364" i="33"/>
  <c r="M365" i="33"/>
  <c r="M366" i="33"/>
  <c r="N363" i="33"/>
  <c r="N364" i="33"/>
  <c r="N365" i="33"/>
  <c r="N366" i="33"/>
  <c r="O363" i="33"/>
  <c r="O364" i="33"/>
  <c r="O365" i="33"/>
  <c r="O366" i="33"/>
  <c r="P363" i="33"/>
  <c r="P364" i="33"/>
  <c r="P365" i="33"/>
  <c r="P366" i="33"/>
  <c r="Q363" i="33"/>
  <c r="Q364" i="33"/>
  <c r="Q365" i="33"/>
  <c r="Q366" i="33"/>
  <c r="R363" i="33"/>
  <c r="R364" i="33"/>
  <c r="R365" i="33"/>
  <c r="R366" i="33"/>
  <c r="I386" i="17"/>
  <c r="L386" i="17"/>
  <c r="C361" i="33"/>
  <c r="C362" i="33"/>
  <c r="F361" i="33"/>
  <c r="F362" i="33"/>
  <c r="G361" i="33"/>
  <c r="G362" i="33"/>
  <c r="J361" i="33"/>
  <c r="J362" i="33"/>
  <c r="K361" i="33"/>
  <c r="K362" i="33"/>
  <c r="L361" i="33"/>
  <c r="L362" i="33"/>
  <c r="M361" i="33"/>
  <c r="M362" i="33"/>
  <c r="N361" i="33"/>
  <c r="N362" i="33"/>
  <c r="O361" i="33"/>
  <c r="O362" i="33"/>
  <c r="P361" i="33"/>
  <c r="P362" i="33"/>
  <c r="Q361" i="33"/>
  <c r="Q362" i="33"/>
  <c r="R361" i="33"/>
  <c r="R362" i="33"/>
  <c r="I376" i="17"/>
  <c r="L376" i="17"/>
  <c r="F359" i="33"/>
  <c r="F360" i="33"/>
  <c r="G359" i="33"/>
  <c r="G360" i="33"/>
  <c r="J359" i="33"/>
  <c r="J360" i="33"/>
  <c r="K359" i="33"/>
  <c r="K360" i="33"/>
  <c r="L359" i="33"/>
  <c r="L360" i="33"/>
  <c r="M359" i="33"/>
  <c r="M360" i="33"/>
  <c r="N359" i="33"/>
  <c r="N360" i="33"/>
  <c r="O359" i="33"/>
  <c r="O360" i="33"/>
  <c r="P359" i="33"/>
  <c r="P360" i="33"/>
  <c r="Q359" i="33"/>
  <c r="Q360" i="33"/>
  <c r="R359" i="33"/>
  <c r="R360" i="33"/>
  <c r="C359" i="33"/>
  <c r="C360" i="33"/>
  <c r="H825" i="33"/>
  <c r="C1067" i="17"/>
  <c r="I371" i="17"/>
  <c r="L371" i="17"/>
  <c r="C356" i="33"/>
  <c r="C357" i="33"/>
  <c r="C358" i="33"/>
  <c r="F356" i="33"/>
  <c r="F357" i="33"/>
  <c r="F358" i="33"/>
  <c r="G356" i="33"/>
  <c r="G357" i="33"/>
  <c r="G358" i="33"/>
  <c r="J356" i="33"/>
  <c r="J357" i="33"/>
  <c r="J358" i="33"/>
  <c r="K356" i="33"/>
  <c r="K357" i="33"/>
  <c r="K358" i="33"/>
  <c r="L356" i="33"/>
  <c r="L357" i="33"/>
  <c r="L358" i="33"/>
  <c r="M356" i="33"/>
  <c r="M357" i="33"/>
  <c r="M358" i="33"/>
  <c r="N356" i="33"/>
  <c r="N357" i="33"/>
  <c r="N358" i="33"/>
  <c r="O356" i="33"/>
  <c r="O357" i="33"/>
  <c r="O358" i="33"/>
  <c r="P356" i="33"/>
  <c r="P357" i="33"/>
  <c r="P358" i="33"/>
  <c r="Q356" i="33"/>
  <c r="Q357" i="33"/>
  <c r="Q358" i="33"/>
  <c r="R356" i="33"/>
  <c r="R357" i="33"/>
  <c r="R358" i="33"/>
  <c r="I362" i="17"/>
  <c r="L362" i="17"/>
  <c r="C349" i="33"/>
  <c r="C350" i="33"/>
  <c r="C351" i="33"/>
  <c r="C352" i="33"/>
  <c r="C353" i="33"/>
  <c r="C354" i="33"/>
  <c r="C355" i="33"/>
  <c r="F349" i="33"/>
  <c r="F350" i="33"/>
  <c r="F351" i="33"/>
  <c r="F352" i="33"/>
  <c r="F353" i="33"/>
  <c r="F354" i="33"/>
  <c r="F355" i="33"/>
  <c r="G349" i="33"/>
  <c r="G350" i="33"/>
  <c r="G351" i="33"/>
  <c r="G352" i="33"/>
  <c r="G353" i="33"/>
  <c r="G354" i="33"/>
  <c r="G355" i="33"/>
  <c r="J349" i="33"/>
  <c r="J350" i="33"/>
  <c r="J351" i="33"/>
  <c r="J352" i="33"/>
  <c r="J353" i="33"/>
  <c r="J354" i="33"/>
  <c r="J355" i="33"/>
  <c r="K349" i="33"/>
  <c r="K350" i="33"/>
  <c r="K351" i="33"/>
  <c r="K352" i="33"/>
  <c r="K353" i="33"/>
  <c r="K354" i="33"/>
  <c r="K355" i="33"/>
  <c r="L349" i="33"/>
  <c r="L350" i="33"/>
  <c r="L351" i="33"/>
  <c r="L352" i="33"/>
  <c r="L353" i="33"/>
  <c r="L354" i="33"/>
  <c r="L355" i="33"/>
  <c r="M349" i="33"/>
  <c r="M350" i="33"/>
  <c r="M351" i="33"/>
  <c r="M352" i="33"/>
  <c r="M353" i="33"/>
  <c r="M354" i="33"/>
  <c r="M355" i="33"/>
  <c r="N349" i="33"/>
  <c r="N350" i="33"/>
  <c r="N351" i="33"/>
  <c r="N352" i="33"/>
  <c r="N353" i="33"/>
  <c r="N354" i="33"/>
  <c r="N355" i="33"/>
  <c r="O349" i="33"/>
  <c r="O350" i="33"/>
  <c r="O351" i="33"/>
  <c r="O352" i="33"/>
  <c r="O353" i="33"/>
  <c r="O354" i="33"/>
  <c r="O355" i="33"/>
  <c r="P349" i="33"/>
  <c r="P350" i="33"/>
  <c r="P351" i="33"/>
  <c r="P352" i="33"/>
  <c r="P353" i="33"/>
  <c r="P354" i="33"/>
  <c r="P355" i="33"/>
  <c r="Q349" i="33"/>
  <c r="Q350" i="33"/>
  <c r="Q351" i="33"/>
  <c r="Q352" i="33"/>
  <c r="Q353" i="33"/>
  <c r="Q354" i="33"/>
  <c r="Q355" i="33"/>
  <c r="R349" i="33"/>
  <c r="R350" i="33"/>
  <c r="R351" i="33"/>
  <c r="R352" i="33"/>
  <c r="R353" i="33"/>
  <c r="R354" i="33"/>
  <c r="R355" i="33"/>
  <c r="I347" i="17"/>
  <c r="L347" i="17"/>
  <c r="C342" i="33"/>
  <c r="C343" i="33"/>
  <c r="C344" i="33"/>
  <c r="C345" i="33"/>
  <c r="C346" i="33"/>
  <c r="C347" i="33"/>
  <c r="C348" i="33"/>
  <c r="F342" i="33"/>
  <c r="F343" i="33"/>
  <c r="F344" i="33"/>
  <c r="F345" i="33"/>
  <c r="F346" i="33"/>
  <c r="F347" i="33"/>
  <c r="F348" i="33"/>
  <c r="G342" i="33"/>
  <c r="G343" i="33"/>
  <c r="G344" i="33"/>
  <c r="G345" i="33"/>
  <c r="G346" i="33"/>
  <c r="G347" i="33"/>
  <c r="G348" i="33"/>
  <c r="J342" i="33"/>
  <c r="J343" i="33"/>
  <c r="J344" i="33"/>
  <c r="J345" i="33"/>
  <c r="J346" i="33"/>
  <c r="J347" i="33"/>
  <c r="J348" i="33"/>
  <c r="K342" i="33"/>
  <c r="K343" i="33"/>
  <c r="K344" i="33"/>
  <c r="K345" i="33"/>
  <c r="K346" i="33"/>
  <c r="K347" i="33"/>
  <c r="K348" i="33"/>
  <c r="L342" i="33"/>
  <c r="L343" i="33"/>
  <c r="L344" i="33"/>
  <c r="L345" i="33"/>
  <c r="L346" i="33"/>
  <c r="L347" i="33"/>
  <c r="L348" i="33"/>
  <c r="M342" i="33"/>
  <c r="M343" i="33"/>
  <c r="M344" i="33"/>
  <c r="M345" i="33"/>
  <c r="M346" i="33"/>
  <c r="M347" i="33"/>
  <c r="M348" i="33"/>
  <c r="N342" i="33"/>
  <c r="N343" i="33"/>
  <c r="N344" i="33"/>
  <c r="N345" i="33"/>
  <c r="N346" i="33"/>
  <c r="N347" i="33"/>
  <c r="N348" i="33"/>
  <c r="O342" i="33"/>
  <c r="O343" i="33"/>
  <c r="O344" i="33"/>
  <c r="O345" i="33"/>
  <c r="O346" i="33"/>
  <c r="O347" i="33"/>
  <c r="O348" i="33"/>
  <c r="P342" i="33"/>
  <c r="P343" i="33"/>
  <c r="P344" i="33"/>
  <c r="P345" i="33"/>
  <c r="P346" i="33"/>
  <c r="P347" i="33"/>
  <c r="P348" i="33"/>
  <c r="Q342" i="33"/>
  <c r="Q343" i="33"/>
  <c r="Q344" i="33"/>
  <c r="Q345" i="33"/>
  <c r="Q346" i="33"/>
  <c r="Q347" i="33"/>
  <c r="Q348" i="33"/>
  <c r="R342" i="33"/>
  <c r="R343" i="33"/>
  <c r="R344" i="33"/>
  <c r="R345" i="33"/>
  <c r="R346" i="33"/>
  <c r="R347" i="33"/>
  <c r="R348" i="33"/>
  <c r="I329" i="17"/>
  <c r="L329" i="17"/>
  <c r="C337" i="33"/>
  <c r="C338" i="33"/>
  <c r="C339" i="33"/>
  <c r="C340" i="33"/>
  <c r="C341" i="33"/>
  <c r="F337" i="33"/>
  <c r="F338" i="33"/>
  <c r="F339" i="33"/>
  <c r="F340" i="33"/>
  <c r="F341" i="33"/>
  <c r="G337" i="33"/>
  <c r="G338" i="33"/>
  <c r="G339" i="33"/>
  <c r="G340" i="33"/>
  <c r="G341" i="33"/>
  <c r="J337" i="33"/>
  <c r="J338" i="33"/>
  <c r="J339" i="33"/>
  <c r="J340" i="33"/>
  <c r="J341" i="33"/>
  <c r="K337" i="33"/>
  <c r="K338" i="33"/>
  <c r="K339" i="33"/>
  <c r="K340" i="33"/>
  <c r="K341" i="33"/>
  <c r="L337" i="33"/>
  <c r="L338" i="33"/>
  <c r="L339" i="33"/>
  <c r="L340" i="33"/>
  <c r="L341" i="33"/>
  <c r="M337" i="33"/>
  <c r="M338" i="33"/>
  <c r="M339" i="33"/>
  <c r="M340" i="33"/>
  <c r="M341" i="33"/>
  <c r="N337" i="33"/>
  <c r="N338" i="33"/>
  <c r="N339" i="33"/>
  <c r="N340" i="33"/>
  <c r="N341" i="33"/>
  <c r="O337" i="33"/>
  <c r="O338" i="33"/>
  <c r="O339" i="33"/>
  <c r="O340" i="33"/>
  <c r="O341" i="33"/>
  <c r="P337" i="33"/>
  <c r="P338" i="33"/>
  <c r="P339" i="33"/>
  <c r="P340" i="33"/>
  <c r="P341" i="33"/>
  <c r="Q337" i="33"/>
  <c r="Q338" i="33"/>
  <c r="Q339" i="33"/>
  <c r="Q340" i="33"/>
  <c r="Q341" i="33"/>
  <c r="R337" i="33"/>
  <c r="R338" i="33"/>
  <c r="R339" i="33"/>
  <c r="R340" i="33"/>
  <c r="R341" i="33"/>
  <c r="C330" i="33"/>
  <c r="C331" i="33"/>
  <c r="C332" i="33"/>
  <c r="C333" i="33"/>
  <c r="C334" i="33"/>
  <c r="C335" i="33"/>
  <c r="C336" i="33"/>
  <c r="F330" i="33"/>
  <c r="F331" i="33"/>
  <c r="F332" i="33"/>
  <c r="F333" i="33"/>
  <c r="F334" i="33"/>
  <c r="F335" i="33"/>
  <c r="F336" i="33"/>
  <c r="G330" i="33"/>
  <c r="G331" i="33"/>
  <c r="G332" i="33"/>
  <c r="G333" i="33"/>
  <c r="G334" i="33"/>
  <c r="G335" i="33"/>
  <c r="G336" i="33"/>
  <c r="J330" i="33"/>
  <c r="J331" i="33"/>
  <c r="J332" i="33"/>
  <c r="J333" i="33"/>
  <c r="J334" i="33"/>
  <c r="J335" i="33"/>
  <c r="J336" i="33"/>
  <c r="K330" i="33"/>
  <c r="K331" i="33"/>
  <c r="K332" i="33"/>
  <c r="K333" i="33"/>
  <c r="K334" i="33"/>
  <c r="K335" i="33"/>
  <c r="K336" i="33"/>
  <c r="L330" i="33"/>
  <c r="L331" i="33"/>
  <c r="L332" i="33"/>
  <c r="L333" i="33"/>
  <c r="L334" i="33"/>
  <c r="L335" i="33"/>
  <c r="L336" i="33"/>
  <c r="M330" i="33"/>
  <c r="M331" i="33"/>
  <c r="M332" i="33"/>
  <c r="M333" i="33"/>
  <c r="M334" i="33"/>
  <c r="M335" i="33"/>
  <c r="M336" i="33"/>
  <c r="N330" i="33"/>
  <c r="N331" i="33"/>
  <c r="N332" i="33"/>
  <c r="N333" i="33"/>
  <c r="N334" i="33"/>
  <c r="N335" i="33"/>
  <c r="N336" i="33"/>
  <c r="O330" i="33"/>
  <c r="O331" i="33"/>
  <c r="O332" i="33"/>
  <c r="O333" i="33"/>
  <c r="O334" i="33"/>
  <c r="O335" i="33"/>
  <c r="O336" i="33"/>
  <c r="P330" i="33"/>
  <c r="P331" i="33"/>
  <c r="P332" i="33"/>
  <c r="P333" i="33"/>
  <c r="P334" i="33"/>
  <c r="P335" i="33"/>
  <c r="P336" i="33"/>
  <c r="Q330" i="33"/>
  <c r="Q331" i="33"/>
  <c r="Q332" i="33"/>
  <c r="Q333" i="33"/>
  <c r="Q334" i="33"/>
  <c r="Q335" i="33"/>
  <c r="Q336" i="33"/>
  <c r="R330" i="33"/>
  <c r="R331" i="33"/>
  <c r="R332" i="33"/>
  <c r="R333" i="33"/>
  <c r="R334" i="33"/>
  <c r="R335" i="33"/>
  <c r="R336" i="33"/>
  <c r="I306" i="17"/>
  <c r="L306" i="17"/>
  <c r="C325" i="33"/>
  <c r="C326" i="33"/>
  <c r="C327" i="33"/>
  <c r="C328" i="33"/>
  <c r="C329" i="33"/>
  <c r="F325" i="33"/>
  <c r="F326" i="33"/>
  <c r="F327" i="33"/>
  <c r="F328" i="33"/>
  <c r="F329" i="33"/>
  <c r="G325" i="33"/>
  <c r="G326" i="33"/>
  <c r="G327" i="33"/>
  <c r="G328" i="33"/>
  <c r="G329" i="33"/>
  <c r="J325" i="33"/>
  <c r="J326" i="33"/>
  <c r="J327" i="33"/>
  <c r="J328" i="33"/>
  <c r="J329" i="33"/>
  <c r="K325" i="33"/>
  <c r="K326" i="33"/>
  <c r="K327" i="33"/>
  <c r="K328" i="33"/>
  <c r="K329" i="33"/>
  <c r="L325" i="33"/>
  <c r="L326" i="33"/>
  <c r="L327" i="33"/>
  <c r="L328" i="33"/>
  <c r="L329" i="33"/>
  <c r="M325" i="33"/>
  <c r="M326" i="33"/>
  <c r="M327" i="33"/>
  <c r="M328" i="33"/>
  <c r="M329" i="33"/>
  <c r="N325" i="33"/>
  <c r="N326" i="33"/>
  <c r="N327" i="33"/>
  <c r="N328" i="33"/>
  <c r="N329" i="33"/>
  <c r="O325" i="33"/>
  <c r="O326" i="33"/>
  <c r="O327" i="33"/>
  <c r="O328" i="33"/>
  <c r="O329" i="33"/>
  <c r="P325" i="33"/>
  <c r="P326" i="33"/>
  <c r="P327" i="33"/>
  <c r="P328" i="33"/>
  <c r="P329" i="33"/>
  <c r="Q325" i="33"/>
  <c r="Q326" i="33"/>
  <c r="Q327" i="33"/>
  <c r="Q328" i="33"/>
  <c r="Q329" i="33"/>
  <c r="R325" i="33"/>
  <c r="R326" i="33"/>
  <c r="R327" i="33"/>
  <c r="R328" i="33"/>
  <c r="R329" i="33"/>
  <c r="I293" i="17"/>
  <c r="L293" i="17"/>
  <c r="C322" i="33"/>
  <c r="C323" i="33"/>
  <c r="C324" i="33"/>
  <c r="F322" i="33"/>
  <c r="F323" i="33"/>
  <c r="F324" i="33"/>
  <c r="G322" i="33"/>
  <c r="G323" i="33"/>
  <c r="G324" i="33"/>
  <c r="J322" i="33"/>
  <c r="J323" i="33"/>
  <c r="J324" i="33"/>
  <c r="K322" i="33"/>
  <c r="K323" i="33"/>
  <c r="K324" i="33"/>
  <c r="L322" i="33"/>
  <c r="L323" i="33"/>
  <c r="L324" i="33"/>
  <c r="M322" i="33"/>
  <c r="M323" i="33"/>
  <c r="M324" i="33"/>
  <c r="N322" i="33"/>
  <c r="N323" i="33"/>
  <c r="N324" i="33"/>
  <c r="O322" i="33"/>
  <c r="O323" i="33"/>
  <c r="O324" i="33"/>
  <c r="P322" i="33"/>
  <c r="P323" i="33"/>
  <c r="P324" i="33"/>
  <c r="Q322" i="33"/>
  <c r="Q323" i="33"/>
  <c r="Q324" i="33"/>
  <c r="R322" i="33"/>
  <c r="R323" i="33"/>
  <c r="R324" i="33"/>
  <c r="C319" i="33"/>
  <c r="C320" i="33"/>
  <c r="C321" i="33"/>
  <c r="F319" i="33"/>
  <c r="F320" i="33"/>
  <c r="F321" i="33"/>
  <c r="G319" i="33"/>
  <c r="G320" i="33"/>
  <c r="G321" i="33"/>
  <c r="J319" i="33"/>
  <c r="J320" i="33"/>
  <c r="J321" i="33"/>
  <c r="K319" i="33"/>
  <c r="K320" i="33"/>
  <c r="K321" i="33"/>
  <c r="L319" i="33"/>
  <c r="L320" i="33"/>
  <c r="L321" i="33"/>
  <c r="M319" i="33"/>
  <c r="M320" i="33"/>
  <c r="M321" i="33"/>
  <c r="N319" i="33"/>
  <c r="N320" i="33"/>
  <c r="N321" i="33"/>
  <c r="O319" i="33"/>
  <c r="O320" i="33"/>
  <c r="O321" i="33"/>
  <c r="P319" i="33"/>
  <c r="P320" i="33"/>
  <c r="P321" i="33"/>
  <c r="Q319" i="33"/>
  <c r="Q320" i="33"/>
  <c r="Q321" i="33"/>
  <c r="R319" i="33"/>
  <c r="R320" i="33"/>
  <c r="R321" i="33"/>
  <c r="C316" i="33"/>
  <c r="C317" i="33"/>
  <c r="C318" i="33"/>
  <c r="F316" i="33"/>
  <c r="F317" i="33"/>
  <c r="F318" i="33"/>
  <c r="G316" i="33"/>
  <c r="G317" i="33"/>
  <c r="G318" i="33"/>
  <c r="J316" i="33"/>
  <c r="J317" i="33"/>
  <c r="J318" i="33"/>
  <c r="K316" i="33"/>
  <c r="K317" i="33"/>
  <c r="K318" i="33"/>
  <c r="L316" i="33"/>
  <c r="L317" i="33"/>
  <c r="L318" i="33"/>
  <c r="M316" i="33"/>
  <c r="M317" i="33"/>
  <c r="M318" i="33"/>
  <c r="N316" i="33"/>
  <c r="N317" i="33"/>
  <c r="N318" i="33"/>
  <c r="O316" i="33"/>
  <c r="O317" i="33"/>
  <c r="O318" i="33"/>
  <c r="P316" i="33"/>
  <c r="P317" i="33"/>
  <c r="P318" i="33"/>
  <c r="Q316" i="33"/>
  <c r="Q317" i="33"/>
  <c r="Q318" i="33"/>
  <c r="R316" i="33"/>
  <c r="R317" i="33"/>
  <c r="R318" i="33"/>
  <c r="I275" i="17"/>
  <c r="L275" i="17"/>
  <c r="C315" i="33"/>
  <c r="F315" i="33"/>
  <c r="G315" i="33"/>
  <c r="J315" i="33"/>
  <c r="K315" i="33"/>
  <c r="L315" i="33"/>
  <c r="M315" i="33"/>
  <c r="N315" i="33"/>
  <c r="O315" i="33"/>
  <c r="P315" i="33"/>
  <c r="Q315" i="33"/>
  <c r="R315" i="33"/>
  <c r="C311" i="33"/>
  <c r="C312" i="33"/>
  <c r="C313" i="33"/>
  <c r="C314" i="33"/>
  <c r="F311" i="33"/>
  <c r="F312" i="33"/>
  <c r="F313" i="33"/>
  <c r="F314" i="33"/>
  <c r="G311" i="33"/>
  <c r="G312" i="33"/>
  <c r="G313" i="33"/>
  <c r="G314" i="33"/>
  <c r="J311" i="33"/>
  <c r="J312" i="33"/>
  <c r="J313" i="33"/>
  <c r="J314" i="33"/>
  <c r="K311" i="33"/>
  <c r="K312" i="33"/>
  <c r="K313" i="33"/>
  <c r="K314" i="33"/>
  <c r="L311" i="33"/>
  <c r="L312" i="33"/>
  <c r="L313" i="33"/>
  <c r="L314" i="33"/>
  <c r="M311" i="33"/>
  <c r="M312" i="33"/>
  <c r="M313" i="33"/>
  <c r="M314" i="33"/>
  <c r="N311" i="33"/>
  <c r="N312" i="33"/>
  <c r="N313" i="33"/>
  <c r="N314" i="33"/>
  <c r="O311" i="33"/>
  <c r="O312" i="33"/>
  <c r="O313" i="33"/>
  <c r="O314" i="33"/>
  <c r="P311" i="33"/>
  <c r="P312" i="33"/>
  <c r="P313" i="33"/>
  <c r="P314" i="33"/>
  <c r="Q311" i="33"/>
  <c r="Q312" i="33"/>
  <c r="Q313" i="33"/>
  <c r="Q314" i="33"/>
  <c r="R311" i="33"/>
  <c r="R312" i="33"/>
  <c r="R313" i="33"/>
  <c r="R314" i="33"/>
  <c r="C310" i="33"/>
  <c r="F310" i="33"/>
  <c r="G310" i="33"/>
  <c r="J310" i="33"/>
  <c r="K310" i="33"/>
  <c r="L310" i="33"/>
  <c r="M310" i="33"/>
  <c r="N310" i="33"/>
  <c r="O310" i="33"/>
  <c r="P310" i="33"/>
  <c r="Q310" i="33"/>
  <c r="R310" i="33"/>
  <c r="C302" i="33"/>
  <c r="C303" i="33"/>
  <c r="C304" i="33"/>
  <c r="C305" i="33"/>
  <c r="C306" i="33"/>
  <c r="C307" i="33"/>
  <c r="C308" i="33"/>
  <c r="C309" i="33"/>
  <c r="F302" i="33"/>
  <c r="F303" i="33"/>
  <c r="F304" i="33"/>
  <c r="F305" i="33"/>
  <c r="F306" i="33"/>
  <c r="F307" i="33"/>
  <c r="F308" i="33"/>
  <c r="F309" i="33"/>
  <c r="G302" i="33"/>
  <c r="G303" i="33"/>
  <c r="G304" i="33"/>
  <c r="G305" i="33"/>
  <c r="G306" i="33"/>
  <c r="G307" i="33"/>
  <c r="G308" i="33"/>
  <c r="G309" i="33"/>
  <c r="J302" i="33"/>
  <c r="J303" i="33"/>
  <c r="J304" i="33"/>
  <c r="J305" i="33"/>
  <c r="J306" i="33"/>
  <c r="J307" i="33"/>
  <c r="J308" i="33"/>
  <c r="J309" i="33"/>
  <c r="K302" i="33"/>
  <c r="K303" i="33"/>
  <c r="K304" i="33"/>
  <c r="K305" i="33"/>
  <c r="K306" i="33"/>
  <c r="K307" i="33"/>
  <c r="K308" i="33"/>
  <c r="K309" i="33"/>
  <c r="L302" i="33"/>
  <c r="L303" i="33"/>
  <c r="L304" i="33"/>
  <c r="L305" i="33"/>
  <c r="L306" i="33"/>
  <c r="L307" i="33"/>
  <c r="L308" i="33"/>
  <c r="L309" i="33"/>
  <c r="M302" i="33"/>
  <c r="M303" i="33"/>
  <c r="M304" i="33"/>
  <c r="M305" i="33"/>
  <c r="M306" i="33"/>
  <c r="M307" i="33"/>
  <c r="M308" i="33"/>
  <c r="M309" i="33"/>
  <c r="N302" i="33"/>
  <c r="N303" i="33"/>
  <c r="N304" i="33"/>
  <c r="N305" i="33"/>
  <c r="N306" i="33"/>
  <c r="N307" i="33"/>
  <c r="N308" i="33"/>
  <c r="N309" i="33"/>
  <c r="O302" i="33"/>
  <c r="O303" i="33"/>
  <c r="O304" i="33"/>
  <c r="O305" i="33"/>
  <c r="O306" i="33"/>
  <c r="O307" i="33"/>
  <c r="O308" i="33"/>
  <c r="O309" i="33"/>
  <c r="P302" i="33"/>
  <c r="P303" i="33"/>
  <c r="P304" i="33"/>
  <c r="P305" i="33"/>
  <c r="P306" i="33"/>
  <c r="P307" i="33"/>
  <c r="P308" i="33"/>
  <c r="P309" i="33"/>
  <c r="Q302" i="33"/>
  <c r="Q303" i="33"/>
  <c r="Q304" i="33"/>
  <c r="Q305" i="33"/>
  <c r="Q306" i="33"/>
  <c r="Q307" i="33"/>
  <c r="Q308" i="33"/>
  <c r="Q309" i="33"/>
  <c r="R302" i="33"/>
  <c r="R303" i="33"/>
  <c r="R304" i="33"/>
  <c r="R305" i="33"/>
  <c r="R306" i="33"/>
  <c r="R307" i="33"/>
  <c r="R308" i="33"/>
  <c r="R309" i="33"/>
  <c r="C301" i="33"/>
  <c r="F301" i="33"/>
  <c r="G301" i="33"/>
  <c r="J301" i="33"/>
  <c r="K301" i="33"/>
  <c r="L301" i="33"/>
  <c r="M301" i="33"/>
  <c r="N301" i="33"/>
  <c r="O301" i="33"/>
  <c r="P301" i="33"/>
  <c r="Q301" i="33"/>
  <c r="R301" i="33"/>
  <c r="I238" i="17"/>
  <c r="L238" i="17"/>
  <c r="Q300" i="33"/>
  <c r="R300" i="33"/>
  <c r="Q294" i="33"/>
  <c r="Q295" i="33"/>
  <c r="Q296" i="33"/>
  <c r="Q297" i="33"/>
  <c r="Q298" i="33"/>
  <c r="Q299" i="33"/>
  <c r="R294" i="33"/>
  <c r="R295" i="33"/>
  <c r="R296" i="33"/>
  <c r="R297" i="33"/>
  <c r="R298" i="33"/>
  <c r="R299" i="33"/>
  <c r="Q293" i="33"/>
  <c r="R293" i="33"/>
  <c r="I227" i="17"/>
  <c r="L227" i="17"/>
  <c r="Q292" i="33"/>
  <c r="R292" i="33"/>
  <c r="Q290" i="33"/>
  <c r="Q291" i="33"/>
  <c r="R290" i="33"/>
  <c r="R291" i="33"/>
  <c r="Q286" i="33"/>
  <c r="Q287" i="33"/>
  <c r="Q288" i="33"/>
  <c r="Q289" i="33"/>
  <c r="R286" i="33"/>
  <c r="R287" i="33"/>
  <c r="R288" i="33"/>
  <c r="R289" i="33"/>
  <c r="Q285" i="33"/>
  <c r="R285" i="33"/>
  <c r="I215" i="17"/>
  <c r="L215" i="17"/>
  <c r="Q283" i="33"/>
  <c r="Q284" i="33"/>
  <c r="R283" i="33"/>
  <c r="R284" i="33"/>
  <c r="Q275" i="33"/>
  <c r="Q276" i="33"/>
  <c r="Q277" i="33"/>
  <c r="Q278" i="33"/>
  <c r="Q279" i="33"/>
  <c r="Q280" i="33"/>
  <c r="Q281" i="33"/>
  <c r="Q282" i="33"/>
  <c r="R275" i="33"/>
  <c r="R276" i="33"/>
  <c r="R277" i="33"/>
  <c r="R278" i="33"/>
  <c r="R279" i="33"/>
  <c r="R280" i="33"/>
  <c r="R281" i="33"/>
  <c r="R282" i="33"/>
  <c r="Q274" i="33"/>
  <c r="R274" i="33"/>
  <c r="I197" i="17"/>
  <c r="L197" i="17"/>
  <c r="Q273" i="33"/>
  <c r="R273" i="33"/>
  <c r="Q272" i="33"/>
  <c r="R272" i="33"/>
  <c r="Q271" i="33"/>
  <c r="R271" i="33"/>
  <c r="Q270" i="33"/>
  <c r="R270" i="33"/>
  <c r="Q269" i="33"/>
  <c r="R269" i="33"/>
  <c r="Q268" i="33"/>
  <c r="R268" i="33"/>
  <c r="Q267" i="33"/>
  <c r="R267" i="33"/>
  <c r="Q266" i="33"/>
  <c r="R266" i="33"/>
  <c r="Q265" i="33"/>
  <c r="R265" i="33"/>
  <c r="I179" i="17"/>
  <c r="L179" i="17"/>
  <c r="Q264" i="33"/>
  <c r="R264" i="33"/>
  <c r="Q263" i="33"/>
  <c r="R263" i="33"/>
  <c r="Q262" i="33"/>
  <c r="R262" i="33"/>
  <c r="C1065" i="17"/>
  <c r="I174" i="17"/>
  <c r="L174" i="17"/>
  <c r="Q261" i="33"/>
  <c r="R261" i="33"/>
  <c r="Q253" i="33"/>
  <c r="Q254" i="33"/>
  <c r="Q255" i="33"/>
  <c r="Q256" i="33"/>
  <c r="Q257" i="33"/>
  <c r="Q258" i="33"/>
  <c r="Q259" i="33"/>
  <c r="Q260" i="33"/>
  <c r="R253" i="33"/>
  <c r="R254" i="33"/>
  <c r="R255" i="33"/>
  <c r="R256" i="33"/>
  <c r="R257" i="33"/>
  <c r="R258" i="33"/>
  <c r="R259" i="33"/>
  <c r="R260" i="33"/>
  <c r="Q252" i="33"/>
  <c r="R252" i="33"/>
  <c r="I162" i="17"/>
  <c r="L162" i="17"/>
  <c r="Q251" i="33"/>
  <c r="R251" i="33"/>
  <c r="Q245" i="33"/>
  <c r="Q246" i="33"/>
  <c r="Q247" i="33"/>
  <c r="Q248" i="33"/>
  <c r="Q249" i="33"/>
  <c r="Q250" i="33"/>
  <c r="R245" i="33"/>
  <c r="R246" i="33"/>
  <c r="R247" i="33"/>
  <c r="R248" i="33"/>
  <c r="R249" i="33"/>
  <c r="R250" i="33"/>
  <c r="Q244" i="33"/>
  <c r="R244" i="33"/>
  <c r="I149" i="17"/>
  <c r="L149" i="17"/>
  <c r="Q238" i="33"/>
  <c r="Q239" i="33"/>
  <c r="Q240" i="33"/>
  <c r="Q241" i="33"/>
  <c r="Q242" i="33"/>
  <c r="Q243" i="33"/>
  <c r="R238" i="33"/>
  <c r="R239" i="33"/>
  <c r="R240" i="33"/>
  <c r="R241" i="33"/>
  <c r="R242" i="33"/>
  <c r="R243" i="33"/>
  <c r="Q237" i="33"/>
  <c r="R237" i="33"/>
  <c r="Q236" i="33"/>
  <c r="R236" i="33"/>
  <c r="R235" i="33"/>
  <c r="Q235" i="33"/>
  <c r="R234" i="33"/>
  <c r="Q234" i="33"/>
  <c r="R233" i="33"/>
  <c r="Q233" i="33"/>
  <c r="R232" i="33"/>
  <c r="Q232" i="33"/>
  <c r="R231" i="33"/>
  <c r="Q231" i="33"/>
  <c r="R230" i="33"/>
  <c r="Q230" i="33"/>
  <c r="R229" i="33"/>
  <c r="Q229" i="33"/>
  <c r="R228" i="33"/>
  <c r="Q228" i="33"/>
  <c r="C2" i="37"/>
  <c r="C4" i="36"/>
  <c r="Q6" i="33"/>
  <c r="Q7" i="33"/>
  <c r="B2" i="36"/>
  <c r="R2" i="33"/>
  <c r="R3" i="33"/>
  <c r="R4" i="33"/>
  <c r="R5" i="33"/>
  <c r="R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R37" i="33"/>
  <c r="R38" i="33"/>
  <c r="R39" i="33"/>
  <c r="R40" i="33"/>
  <c r="R41" i="33"/>
  <c r="R42" i="33"/>
  <c r="R43" i="33"/>
  <c r="R44" i="33"/>
  <c r="R45" i="33"/>
  <c r="R46" i="33"/>
  <c r="R47" i="33"/>
  <c r="R48" i="33"/>
  <c r="R49" i="33"/>
  <c r="R50" i="33"/>
  <c r="R51" i="33"/>
  <c r="R52" i="33"/>
  <c r="R53" i="33"/>
  <c r="R54" i="33"/>
  <c r="R55" i="33"/>
  <c r="R56" i="33"/>
  <c r="R57" i="33"/>
  <c r="R58" i="33"/>
  <c r="R59" i="33"/>
  <c r="R60" i="33"/>
  <c r="R61" i="33"/>
  <c r="R62" i="33"/>
  <c r="R63" i="33"/>
  <c r="R64" i="33"/>
  <c r="R65" i="33"/>
  <c r="R66" i="33"/>
  <c r="R67" i="33"/>
  <c r="R68" i="33"/>
  <c r="R69" i="33"/>
  <c r="R70" i="33"/>
  <c r="R71" i="33"/>
  <c r="R72" i="33"/>
  <c r="R73" i="33"/>
  <c r="R74" i="33"/>
  <c r="R75" i="33"/>
  <c r="R76" i="33"/>
  <c r="R77" i="33"/>
  <c r="R78" i="33"/>
  <c r="R79" i="33"/>
  <c r="R80" i="33"/>
  <c r="R81" i="33"/>
  <c r="R82" i="33"/>
  <c r="R83" i="33"/>
  <c r="R84" i="33"/>
  <c r="R85" i="33"/>
  <c r="R86" i="33"/>
  <c r="R87" i="33"/>
  <c r="R88" i="33"/>
  <c r="R89" i="33"/>
  <c r="R90" i="33"/>
  <c r="R91" i="33"/>
  <c r="R92" i="33"/>
  <c r="R93" i="33"/>
  <c r="R94" i="33"/>
  <c r="R95" i="33"/>
  <c r="R96" i="33"/>
  <c r="R97" i="33"/>
  <c r="R98" i="33"/>
  <c r="R99" i="33"/>
  <c r="R100" i="33"/>
  <c r="R101" i="33"/>
  <c r="R102" i="33"/>
  <c r="R103" i="33"/>
  <c r="R104" i="33"/>
  <c r="R105" i="33"/>
  <c r="R106" i="33"/>
  <c r="R107" i="33"/>
  <c r="R108" i="33"/>
  <c r="R109" i="33"/>
  <c r="R110" i="33"/>
  <c r="R111" i="33"/>
  <c r="R112" i="33"/>
  <c r="R113" i="33"/>
  <c r="R114" i="33"/>
  <c r="R115" i="33"/>
  <c r="R116" i="33"/>
  <c r="R117" i="33"/>
  <c r="R118" i="33"/>
  <c r="R119" i="33"/>
  <c r="R120" i="33"/>
  <c r="R121" i="33"/>
  <c r="R122" i="33"/>
  <c r="R123" i="33"/>
  <c r="R124" i="33"/>
  <c r="R125" i="33"/>
  <c r="R126" i="33"/>
  <c r="R127" i="33"/>
  <c r="R128" i="33"/>
  <c r="R129" i="33"/>
  <c r="R130" i="33"/>
  <c r="R131" i="33"/>
  <c r="R132" i="33"/>
  <c r="R133" i="33"/>
  <c r="R134" i="33"/>
  <c r="R135" i="33"/>
  <c r="R136" i="33"/>
  <c r="R137" i="33"/>
  <c r="R138" i="33"/>
  <c r="R139" i="33"/>
  <c r="R140" i="33"/>
  <c r="R141" i="33"/>
  <c r="R142" i="33"/>
  <c r="R143" i="33"/>
  <c r="R144" i="33"/>
  <c r="R145" i="33"/>
  <c r="R146" i="33"/>
  <c r="R147" i="33"/>
  <c r="R148" i="33"/>
  <c r="R149" i="33"/>
  <c r="R150" i="33"/>
  <c r="R151" i="33"/>
  <c r="R152" i="33"/>
  <c r="R153" i="33"/>
  <c r="R154" i="33"/>
  <c r="R155" i="33"/>
  <c r="R156" i="33"/>
  <c r="R157" i="33"/>
  <c r="R158" i="33"/>
  <c r="R159" i="33"/>
  <c r="R160" i="33"/>
  <c r="R161" i="33"/>
  <c r="R162" i="33"/>
  <c r="R163" i="33"/>
  <c r="R164" i="33"/>
  <c r="R165" i="33"/>
  <c r="R166" i="33"/>
  <c r="R167" i="33"/>
  <c r="R168" i="33"/>
  <c r="R169" i="33"/>
  <c r="R170" i="33"/>
  <c r="R171" i="33"/>
  <c r="R172" i="33"/>
  <c r="R173" i="33"/>
  <c r="R174" i="33"/>
  <c r="R175" i="33"/>
  <c r="R176" i="33"/>
  <c r="R177" i="33"/>
  <c r="R178" i="33"/>
  <c r="R179" i="33"/>
  <c r="R180" i="33"/>
  <c r="R181" i="33"/>
  <c r="R182" i="33"/>
  <c r="R183" i="33"/>
  <c r="R184" i="33"/>
  <c r="R185" i="33"/>
  <c r="R186" i="33"/>
  <c r="R187" i="33"/>
  <c r="R188" i="33"/>
  <c r="R189" i="33"/>
  <c r="R190" i="33"/>
  <c r="R191" i="33"/>
  <c r="R192" i="33"/>
  <c r="R193" i="33"/>
  <c r="R194" i="33"/>
  <c r="R195" i="33"/>
  <c r="R196" i="33"/>
  <c r="R197" i="33"/>
  <c r="R198" i="33"/>
  <c r="R199" i="33"/>
  <c r="R200" i="33"/>
  <c r="R201" i="33"/>
  <c r="R202" i="33"/>
  <c r="R203" i="33"/>
  <c r="R204" i="33"/>
  <c r="R205" i="33"/>
  <c r="R206" i="33"/>
  <c r="R207" i="33"/>
  <c r="R208" i="33"/>
  <c r="R209" i="33"/>
  <c r="R210" i="33"/>
  <c r="R211" i="33"/>
  <c r="R212" i="33"/>
  <c r="R213" i="33"/>
  <c r="R214" i="33"/>
  <c r="R215" i="33"/>
  <c r="R216" i="33"/>
  <c r="R217" i="33"/>
  <c r="R218" i="33"/>
  <c r="R219" i="33"/>
  <c r="R220" i="33"/>
  <c r="R221" i="33"/>
  <c r="R222" i="33"/>
  <c r="R223" i="33"/>
  <c r="R224" i="33"/>
  <c r="R225" i="33"/>
  <c r="R226" i="33"/>
  <c r="R227" i="33"/>
  <c r="Q2" i="33"/>
  <c r="Q3" i="33"/>
  <c r="Q4" i="33"/>
  <c r="Q5"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Q37" i="33"/>
  <c r="Q38" i="33"/>
  <c r="Q39" i="33"/>
  <c r="Q40" i="33"/>
  <c r="Q41" i="33"/>
  <c r="Q42" i="33"/>
  <c r="Q43" i="33"/>
  <c r="Q44" i="33"/>
  <c r="Q45" i="33"/>
  <c r="Q46" i="33"/>
  <c r="Q47" i="33"/>
  <c r="Q48" i="33"/>
  <c r="Q49" i="33"/>
  <c r="Q50" i="33"/>
  <c r="Q51" i="33"/>
  <c r="Q52" i="33"/>
  <c r="Q53" i="33"/>
  <c r="Q54" i="33"/>
  <c r="Q55" i="33"/>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Q93" i="33"/>
  <c r="Q94" i="33"/>
  <c r="Q95" i="33"/>
  <c r="Q96" i="33"/>
  <c r="Q97" i="33"/>
  <c r="Q98" i="33"/>
  <c r="Q99" i="33"/>
  <c r="Q100" i="33"/>
  <c r="Q101" i="33"/>
  <c r="Q102" i="33"/>
  <c r="Q103" i="33"/>
  <c r="Q104" i="33"/>
  <c r="Q105" i="33"/>
  <c r="Q106" i="33"/>
  <c r="Q107" i="33"/>
  <c r="Q108" i="33"/>
  <c r="Q109" i="33"/>
  <c r="Q110" i="33"/>
  <c r="Q111" i="33"/>
  <c r="Q112" i="33"/>
  <c r="Q113" i="33"/>
  <c r="Q114" i="33"/>
  <c r="Q115" i="33"/>
  <c r="Q116" i="33"/>
  <c r="Q117" i="33"/>
  <c r="Q118" i="33"/>
  <c r="Q119" i="33"/>
  <c r="Q120" i="33"/>
  <c r="Q121" i="33"/>
  <c r="Q122" i="33"/>
  <c r="Q123" i="33"/>
  <c r="Q124" i="33"/>
  <c r="Q125" i="33"/>
  <c r="Q126" i="33"/>
  <c r="Q127" i="33"/>
  <c r="Q128" i="33"/>
  <c r="Q129" i="33"/>
  <c r="Q130" i="33"/>
  <c r="Q131" i="33"/>
  <c r="Q132" i="33"/>
  <c r="Q133" i="33"/>
  <c r="Q134" i="33"/>
  <c r="Q135" i="33"/>
  <c r="Q136" i="33"/>
  <c r="Q137" i="33"/>
  <c r="Q138" i="33"/>
  <c r="Q139" i="33"/>
  <c r="Q140" i="33"/>
  <c r="Q141" i="33"/>
  <c r="Q142" i="33"/>
  <c r="Q143" i="33"/>
  <c r="Q144" i="33"/>
  <c r="Q145" i="33"/>
  <c r="Q146" i="33"/>
  <c r="Q147" i="33"/>
  <c r="Q148" i="33"/>
  <c r="Q149" i="33"/>
  <c r="Q150" i="33"/>
  <c r="Q151" i="33"/>
  <c r="Q152" i="33"/>
  <c r="Q153" i="33"/>
  <c r="Q154" i="33"/>
  <c r="Q155" i="33"/>
  <c r="Q156" i="33"/>
  <c r="Q157" i="33"/>
  <c r="Q158" i="33"/>
  <c r="Q159" i="33"/>
  <c r="Q160" i="33"/>
  <c r="Q161" i="33"/>
  <c r="Q162" i="33"/>
  <c r="Q163" i="33"/>
  <c r="Q164" i="33"/>
  <c r="Q165" i="33"/>
  <c r="Q166" i="33"/>
  <c r="Q167" i="33"/>
  <c r="Q168" i="33"/>
  <c r="Q169" i="33"/>
  <c r="Q170" i="33"/>
  <c r="Q171" i="33"/>
  <c r="Q172" i="33"/>
  <c r="Q173" i="33"/>
  <c r="Q174" i="33"/>
  <c r="Q175" i="33"/>
  <c r="Q176" i="33"/>
  <c r="Q177" i="33"/>
  <c r="Q178" i="33"/>
  <c r="Q179" i="33"/>
  <c r="Q180" i="33"/>
  <c r="Q181" i="33"/>
  <c r="Q182" i="33"/>
  <c r="Q183" i="33"/>
  <c r="Q184" i="33"/>
  <c r="Q185" i="33"/>
  <c r="Q186" i="33"/>
  <c r="Q187" i="33"/>
  <c r="Q188" i="33"/>
  <c r="Q189" i="33"/>
  <c r="Q190" i="33"/>
  <c r="Q191" i="33"/>
  <c r="Q192" i="33"/>
  <c r="Q193" i="33"/>
  <c r="Q194" i="33"/>
  <c r="Q195" i="33"/>
  <c r="Q196" i="33"/>
  <c r="Q197" i="33"/>
  <c r="Q198" i="33"/>
  <c r="Q199" i="33"/>
  <c r="Q200" i="33"/>
  <c r="Q201" i="33"/>
  <c r="Q202" i="33"/>
  <c r="Q203" i="33"/>
  <c r="Q204" i="33"/>
  <c r="Q205" i="33"/>
  <c r="Q206" i="33"/>
  <c r="Q207" i="33"/>
  <c r="Q208" i="33"/>
  <c r="Q209" i="33"/>
  <c r="Q210" i="33"/>
  <c r="Q211" i="33"/>
  <c r="Q212" i="33"/>
  <c r="Q213" i="33"/>
  <c r="Q214" i="33"/>
  <c r="Q215" i="33"/>
  <c r="Q216" i="33"/>
  <c r="Q217" i="33"/>
  <c r="Q218" i="33"/>
  <c r="Q219" i="33"/>
  <c r="Q220" i="33"/>
  <c r="Q221" i="33"/>
  <c r="Q222" i="33"/>
  <c r="Q223" i="33"/>
  <c r="Q224" i="33"/>
  <c r="Q225" i="33"/>
  <c r="Q226" i="33"/>
  <c r="Q227" i="33"/>
  <c r="I128" i="17"/>
  <c r="L128" i="17"/>
  <c r="I119" i="17"/>
  <c r="L119" i="17"/>
  <c r="I16" i="17"/>
  <c r="L16" i="17"/>
  <c r="I25" i="17"/>
  <c r="L25" i="17"/>
  <c r="I42" i="17"/>
  <c r="L42" i="17"/>
  <c r="I49" i="17"/>
  <c r="L49" i="17"/>
  <c r="I63" i="17"/>
  <c r="L63" i="17"/>
  <c r="I72" i="17"/>
  <c r="L72" i="17"/>
  <c r="I87" i="17"/>
  <c r="L87" i="17"/>
  <c r="I99" i="17"/>
  <c r="L99" i="17"/>
  <c r="I109" i="17"/>
  <c r="L109" i="17"/>
  <c r="E1064" i="17"/>
  <c r="C1064" i="17"/>
  <c r="J87" i="17"/>
  <c r="D144" i="32"/>
  <c r="D156" i="30"/>
  <c r="D143" i="32"/>
  <c r="D155" i="30"/>
  <c r="D2" i="32"/>
  <c r="E2" i="32"/>
  <c r="F2" i="32"/>
  <c r="D3" i="32"/>
  <c r="E3" i="32"/>
  <c r="F3" i="32"/>
  <c r="D4" i="32"/>
  <c r="E4" i="32"/>
  <c r="F4" i="32"/>
  <c r="D5" i="32"/>
  <c r="E5" i="32"/>
  <c r="F5" i="32"/>
  <c r="D6" i="32"/>
  <c r="E6" i="32"/>
  <c r="F6" i="32"/>
  <c r="D7" i="32"/>
  <c r="E7" i="32"/>
  <c r="F7" i="32"/>
  <c r="D8" i="32"/>
  <c r="E8" i="32"/>
  <c r="F8" i="32"/>
  <c r="D9" i="32"/>
  <c r="E9" i="32"/>
  <c r="F9" i="32"/>
  <c r="D10" i="32"/>
  <c r="E10" i="32"/>
  <c r="F10" i="32"/>
  <c r="D11" i="32"/>
  <c r="E11" i="32"/>
  <c r="F11" i="32"/>
  <c r="D12" i="32"/>
  <c r="E12" i="32"/>
  <c r="F12" i="32"/>
  <c r="D13" i="32"/>
  <c r="E13" i="32"/>
  <c r="F13" i="32"/>
  <c r="D14" i="32"/>
  <c r="E14" i="32"/>
  <c r="F14" i="32"/>
  <c r="D15" i="32"/>
  <c r="E15" i="32"/>
  <c r="F15" i="32"/>
  <c r="D16" i="32"/>
  <c r="E16" i="32"/>
  <c r="F16" i="32"/>
  <c r="D17" i="32"/>
  <c r="E17" i="32"/>
  <c r="F17" i="32"/>
  <c r="D18" i="32"/>
  <c r="E18" i="32"/>
  <c r="F18" i="32"/>
  <c r="D19" i="32"/>
  <c r="E19" i="32"/>
  <c r="F19" i="32"/>
  <c r="D20" i="32"/>
  <c r="E20" i="32"/>
  <c r="F20" i="32"/>
  <c r="D21" i="32"/>
  <c r="E21" i="32"/>
  <c r="F21" i="32"/>
  <c r="D22" i="32"/>
  <c r="E22" i="32"/>
  <c r="F22" i="32"/>
  <c r="D23" i="32"/>
  <c r="E23" i="32"/>
  <c r="F23" i="32"/>
  <c r="D24" i="32"/>
  <c r="E24" i="32"/>
  <c r="F24" i="32"/>
  <c r="D25" i="32"/>
  <c r="E25" i="32"/>
  <c r="F25" i="32"/>
  <c r="D26" i="32"/>
  <c r="E26" i="32"/>
  <c r="F26" i="32"/>
  <c r="D27" i="32"/>
  <c r="E27" i="32"/>
  <c r="F27" i="32"/>
  <c r="D28" i="32"/>
  <c r="E28" i="32"/>
  <c r="F28" i="32"/>
  <c r="D29" i="32"/>
  <c r="E29" i="32"/>
  <c r="F29" i="32"/>
  <c r="D30" i="32"/>
  <c r="E30" i="32"/>
  <c r="F30" i="32"/>
  <c r="D31" i="32"/>
  <c r="E31" i="32"/>
  <c r="F31" i="32"/>
  <c r="D32" i="32"/>
  <c r="E32" i="32"/>
  <c r="F32" i="32"/>
  <c r="D33" i="32"/>
  <c r="E33" i="32"/>
  <c r="F33" i="32"/>
  <c r="D34" i="32"/>
  <c r="E34" i="32"/>
  <c r="F34" i="32"/>
  <c r="D35" i="32"/>
  <c r="E35" i="32"/>
  <c r="F35" i="32"/>
  <c r="D36" i="32"/>
  <c r="E36" i="32"/>
  <c r="F36" i="32"/>
  <c r="D37" i="32"/>
  <c r="E37" i="32"/>
  <c r="F37" i="32"/>
  <c r="D38" i="32"/>
  <c r="E38" i="32"/>
  <c r="F38" i="32"/>
  <c r="D39" i="32"/>
  <c r="E39" i="32"/>
  <c r="F39" i="32"/>
  <c r="D40" i="32"/>
  <c r="E40" i="32"/>
  <c r="F40" i="32"/>
  <c r="D41" i="32"/>
  <c r="E41" i="32"/>
  <c r="F41" i="32"/>
  <c r="D42" i="32"/>
  <c r="E42" i="32"/>
  <c r="F42" i="32"/>
  <c r="D43" i="32"/>
  <c r="E43" i="32"/>
  <c r="F43" i="32"/>
  <c r="D44" i="32"/>
  <c r="E44" i="32"/>
  <c r="F44" i="32"/>
  <c r="D45" i="32"/>
  <c r="E45" i="32"/>
  <c r="F45" i="32"/>
  <c r="D46" i="32"/>
  <c r="E46" i="32"/>
  <c r="F46" i="32"/>
  <c r="D47" i="32"/>
  <c r="E47" i="32"/>
  <c r="F47" i="32"/>
  <c r="D48" i="32"/>
  <c r="E48" i="32"/>
  <c r="F48" i="32"/>
  <c r="D49" i="32"/>
  <c r="E49" i="32"/>
  <c r="F49" i="32"/>
  <c r="D50" i="32"/>
  <c r="E50" i="32"/>
  <c r="F50" i="32"/>
  <c r="D51" i="32"/>
  <c r="E51" i="32"/>
  <c r="F51" i="32"/>
  <c r="D52" i="32"/>
  <c r="E52" i="32"/>
  <c r="F52" i="32"/>
  <c r="D53" i="32"/>
  <c r="E53" i="32"/>
  <c r="F53" i="32"/>
  <c r="D54" i="32"/>
  <c r="E54" i="32"/>
  <c r="F54" i="32"/>
  <c r="D55" i="32"/>
  <c r="E55" i="32"/>
  <c r="F55" i="32"/>
  <c r="D56" i="32"/>
  <c r="E56" i="32"/>
  <c r="F56" i="32"/>
  <c r="D57" i="32"/>
  <c r="E57" i="32"/>
  <c r="F57" i="32"/>
  <c r="D58" i="32"/>
  <c r="E58" i="32"/>
  <c r="F58" i="32"/>
  <c r="D59" i="32"/>
  <c r="E59" i="32"/>
  <c r="F59" i="32"/>
  <c r="D60" i="32"/>
  <c r="E60" i="32"/>
  <c r="F60" i="32"/>
  <c r="D61" i="32"/>
  <c r="E61" i="32"/>
  <c r="F61" i="32"/>
  <c r="D62" i="32"/>
  <c r="E62" i="32"/>
  <c r="F62" i="32"/>
  <c r="D63" i="32"/>
  <c r="E63" i="32"/>
  <c r="F63" i="32"/>
  <c r="D64" i="32"/>
  <c r="E64" i="32"/>
  <c r="F64" i="32"/>
  <c r="D65" i="32"/>
  <c r="E65" i="32"/>
  <c r="F65" i="32"/>
  <c r="D66" i="32"/>
  <c r="E66" i="32"/>
  <c r="F66" i="32"/>
  <c r="D67" i="32"/>
  <c r="E67" i="32"/>
  <c r="F67" i="32"/>
  <c r="D68" i="32"/>
  <c r="E68" i="32"/>
  <c r="F68" i="32"/>
  <c r="D69" i="32"/>
  <c r="E69" i="32"/>
  <c r="F69" i="32"/>
  <c r="D70" i="32"/>
  <c r="E70" i="32"/>
  <c r="F70" i="32"/>
  <c r="D71" i="32"/>
  <c r="E71" i="32"/>
  <c r="F71" i="32"/>
  <c r="D72" i="32"/>
  <c r="E72" i="32"/>
  <c r="F72" i="32"/>
  <c r="D73" i="32"/>
  <c r="E73" i="32"/>
  <c r="F73" i="32"/>
  <c r="D74" i="32"/>
  <c r="E74" i="32"/>
  <c r="F74" i="32"/>
  <c r="D75" i="32"/>
  <c r="E75" i="32"/>
  <c r="F75" i="32"/>
  <c r="D76" i="32"/>
  <c r="E76" i="32"/>
  <c r="F76" i="32"/>
  <c r="D77" i="32"/>
  <c r="E77" i="32"/>
  <c r="F77" i="32"/>
  <c r="D78" i="32"/>
  <c r="E78" i="32"/>
  <c r="F78" i="32"/>
  <c r="D79" i="32"/>
  <c r="E79" i="32"/>
  <c r="F79" i="32"/>
  <c r="D80" i="32"/>
  <c r="E80" i="32"/>
  <c r="F80" i="32"/>
  <c r="D81" i="32"/>
  <c r="E81" i="32"/>
  <c r="F81" i="32"/>
  <c r="D82" i="32"/>
  <c r="E82" i="32"/>
  <c r="F82" i="32"/>
  <c r="D83" i="32"/>
  <c r="E83" i="32"/>
  <c r="F83" i="32"/>
  <c r="D84" i="32"/>
  <c r="E84" i="32"/>
  <c r="F84" i="32"/>
  <c r="D85" i="32"/>
  <c r="E85" i="32"/>
  <c r="F85" i="32"/>
  <c r="D86" i="32"/>
  <c r="E86" i="32"/>
  <c r="F86" i="32"/>
  <c r="D87" i="32"/>
  <c r="E87" i="32"/>
  <c r="F87" i="32"/>
  <c r="D88" i="32"/>
  <c r="E88" i="32"/>
  <c r="F88" i="32"/>
  <c r="D89" i="32"/>
  <c r="E89" i="32"/>
  <c r="F89" i="32"/>
  <c r="D90" i="32"/>
  <c r="E90" i="32"/>
  <c r="F90" i="32"/>
  <c r="D91" i="32"/>
  <c r="E91" i="32"/>
  <c r="F91" i="32"/>
  <c r="D92" i="32"/>
  <c r="E92" i="32"/>
  <c r="F92" i="32"/>
  <c r="D93" i="32"/>
  <c r="E93" i="32"/>
  <c r="F93" i="32"/>
  <c r="D94" i="32"/>
  <c r="E94" i="32"/>
  <c r="F94" i="32"/>
  <c r="D95" i="32"/>
  <c r="E95" i="32"/>
  <c r="F95" i="32"/>
  <c r="D96" i="32"/>
  <c r="E96" i="32"/>
  <c r="F96" i="32"/>
  <c r="D97" i="32"/>
  <c r="E97" i="32"/>
  <c r="F97" i="32"/>
  <c r="D98" i="32"/>
  <c r="E98" i="32"/>
  <c r="F98" i="32"/>
  <c r="D99" i="32"/>
  <c r="E99" i="32"/>
  <c r="F99" i="32"/>
  <c r="D100" i="32"/>
  <c r="E100" i="32"/>
  <c r="F100" i="32"/>
  <c r="D101" i="32"/>
  <c r="E101" i="32"/>
  <c r="F101" i="32"/>
  <c r="D102" i="32"/>
  <c r="E102" i="32"/>
  <c r="F102" i="32"/>
  <c r="D103" i="32"/>
  <c r="E103" i="32"/>
  <c r="F103" i="32"/>
  <c r="D104" i="32"/>
  <c r="E104" i="32"/>
  <c r="F104" i="32"/>
  <c r="D105" i="32"/>
  <c r="E105" i="32"/>
  <c r="F105" i="32"/>
  <c r="D106" i="32"/>
  <c r="E106" i="32"/>
  <c r="F106" i="32"/>
  <c r="D107" i="32"/>
  <c r="E107" i="32"/>
  <c r="F107" i="32"/>
  <c r="D108" i="32"/>
  <c r="E108" i="32"/>
  <c r="F108" i="32"/>
  <c r="D109" i="32"/>
  <c r="E109" i="32"/>
  <c r="F109" i="32"/>
  <c r="D110" i="32"/>
  <c r="E110" i="32"/>
  <c r="F110" i="32"/>
  <c r="D111" i="32"/>
  <c r="E111" i="32"/>
  <c r="F111" i="32"/>
  <c r="D112" i="32"/>
  <c r="E112" i="32"/>
  <c r="F112" i="32"/>
  <c r="D113" i="32"/>
  <c r="E113" i="32"/>
  <c r="F113" i="32"/>
  <c r="D114" i="32"/>
  <c r="E114" i="32"/>
  <c r="F114" i="32"/>
  <c r="D115" i="32"/>
  <c r="E115" i="32"/>
  <c r="F115" i="32"/>
  <c r="D116" i="32"/>
  <c r="E116" i="32"/>
  <c r="F116" i="32"/>
  <c r="D117" i="32"/>
  <c r="E117" i="32"/>
  <c r="F117" i="32"/>
  <c r="D118" i="32"/>
  <c r="E118" i="32"/>
  <c r="F118" i="32"/>
  <c r="D119" i="32"/>
  <c r="E119" i="32"/>
  <c r="F119" i="32"/>
  <c r="D120" i="32"/>
  <c r="E120" i="32"/>
  <c r="F120" i="32"/>
  <c r="D121" i="32"/>
  <c r="E121" i="32"/>
  <c r="F121" i="32"/>
  <c r="D122" i="32"/>
  <c r="E122" i="32"/>
  <c r="F122" i="32"/>
  <c r="D123" i="32"/>
  <c r="E123" i="32"/>
  <c r="F123" i="32"/>
  <c r="D124" i="32"/>
  <c r="E124" i="32"/>
  <c r="F124" i="32"/>
  <c r="D125" i="32"/>
  <c r="E125" i="32"/>
  <c r="F125" i="32"/>
  <c r="D126" i="32"/>
  <c r="E126" i="32"/>
  <c r="F126" i="32"/>
  <c r="D127" i="32"/>
  <c r="E127" i="32"/>
  <c r="F127" i="32"/>
  <c r="D128" i="32"/>
  <c r="E128" i="32"/>
  <c r="F128" i="32"/>
  <c r="D129" i="32"/>
  <c r="E129" i="32"/>
  <c r="F129" i="32"/>
  <c r="D130" i="32"/>
  <c r="E130" i="32"/>
  <c r="F130" i="32"/>
  <c r="D142" i="32"/>
  <c r="D141" i="32"/>
  <c r="D140" i="32"/>
  <c r="D154" i="30"/>
  <c r="D153" i="30"/>
  <c r="D152" i="30"/>
  <c r="D139" i="32"/>
  <c r="D151" i="30"/>
  <c r="D138" i="32"/>
  <c r="D150" i="30"/>
  <c r="D137" i="32"/>
  <c r="D149" i="30"/>
  <c r="D135" i="32"/>
  <c r="D131" i="32"/>
  <c r="D132" i="32"/>
  <c r="D133" i="32"/>
  <c r="D134" i="32"/>
  <c r="E135" i="32"/>
  <c r="F131" i="32"/>
  <c r="F132" i="32"/>
  <c r="F133" i="32"/>
  <c r="F134" i="32"/>
  <c r="F135" i="32"/>
  <c r="D136" i="32"/>
  <c r="E136" i="32"/>
  <c r="F136" i="32"/>
  <c r="F137" i="32"/>
  <c r="F138" i="32"/>
  <c r="F139" i="32"/>
  <c r="F140" i="32"/>
  <c r="F141" i="32"/>
  <c r="F142" i="32"/>
  <c r="F143" i="32"/>
  <c r="F144" i="32"/>
  <c r="D147" i="30"/>
  <c r="D2" i="30"/>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E147" i="30"/>
  <c r="F2" i="30"/>
  <c r="F3" i="30"/>
  <c r="F4" i="30"/>
  <c r="F5" i="30"/>
  <c r="F6" i="30"/>
  <c r="F7" i="30"/>
  <c r="F8" i="30"/>
  <c r="F9" i="30"/>
  <c r="F10" i="30"/>
  <c r="F11" i="30"/>
  <c r="F12" i="30"/>
  <c r="F13" i="30"/>
  <c r="F14" i="30"/>
  <c r="F15" i="30"/>
  <c r="F16" i="30"/>
  <c r="F17" i="30"/>
  <c r="F18" i="30"/>
  <c r="F19" i="30"/>
  <c r="F20" i="30"/>
  <c r="F21" i="30"/>
  <c r="F22" i="30"/>
  <c r="F23" i="30"/>
  <c r="F24" i="30"/>
  <c r="F25" i="30"/>
  <c r="F26" i="30"/>
  <c r="F27" i="30"/>
  <c r="F28" i="30"/>
  <c r="F29" i="30"/>
  <c r="F30" i="30"/>
  <c r="F31" i="30"/>
  <c r="F32" i="30"/>
  <c r="F33" i="30"/>
  <c r="F34" i="30"/>
  <c r="F35" i="30"/>
  <c r="F36" i="30"/>
  <c r="F37" i="30"/>
  <c r="F38" i="30"/>
  <c r="F39" i="30"/>
  <c r="F40" i="30"/>
  <c r="F41" i="30"/>
  <c r="F42" i="30"/>
  <c r="F43" i="30"/>
  <c r="F44" i="30"/>
  <c r="F45" i="30"/>
  <c r="F46" i="30"/>
  <c r="F47" i="30"/>
  <c r="F48" i="30"/>
  <c r="F49" i="30"/>
  <c r="F50" i="30"/>
  <c r="F51" i="30"/>
  <c r="F52" i="30"/>
  <c r="F53" i="30"/>
  <c r="F54" i="30"/>
  <c r="F55" i="30"/>
  <c r="F56" i="30"/>
  <c r="F57" i="30"/>
  <c r="F58" i="30"/>
  <c r="F59" i="30"/>
  <c r="F60" i="30"/>
  <c r="F61" i="30"/>
  <c r="F62" i="30"/>
  <c r="F63" i="30"/>
  <c r="F64" i="30"/>
  <c r="F65" i="30"/>
  <c r="F66" i="30"/>
  <c r="F67" i="30"/>
  <c r="F68" i="30"/>
  <c r="F69" i="30"/>
  <c r="F70" i="30"/>
  <c r="F71" i="30"/>
  <c r="F72" i="30"/>
  <c r="F73" i="30"/>
  <c r="F74" i="30"/>
  <c r="F75" i="30"/>
  <c r="F76" i="30"/>
  <c r="F77" i="30"/>
  <c r="F78" i="30"/>
  <c r="F79" i="30"/>
  <c r="F80" i="30"/>
  <c r="F81" i="30"/>
  <c r="F82" i="30"/>
  <c r="F83" i="30"/>
  <c r="F84" i="30"/>
  <c r="F85" i="30"/>
  <c r="F86" i="30"/>
  <c r="F87" i="30"/>
  <c r="F88" i="30"/>
  <c r="F89" i="30"/>
  <c r="F90" i="30"/>
  <c r="F91" i="30"/>
  <c r="F92" i="30"/>
  <c r="F93" i="30"/>
  <c r="F94" i="30"/>
  <c r="F95" i="30"/>
  <c r="F96" i="30"/>
  <c r="F97" i="30"/>
  <c r="F98" i="30"/>
  <c r="F99" i="30"/>
  <c r="F100" i="30"/>
  <c r="F101" i="30"/>
  <c r="F102" i="30"/>
  <c r="F103" i="30"/>
  <c r="F104" i="30"/>
  <c r="F105" i="30"/>
  <c r="F106" i="30"/>
  <c r="F107" i="30"/>
  <c r="F108" i="30"/>
  <c r="F109" i="30"/>
  <c r="F110" i="30"/>
  <c r="F111" i="30"/>
  <c r="F112" i="30"/>
  <c r="F113" i="30"/>
  <c r="F114" i="30"/>
  <c r="F115" i="30"/>
  <c r="F116" i="30"/>
  <c r="F117" i="30"/>
  <c r="F118" i="30"/>
  <c r="F119" i="30"/>
  <c r="F120" i="30"/>
  <c r="F121" i="30"/>
  <c r="F122" i="30"/>
  <c r="F123" i="30"/>
  <c r="F124" i="30"/>
  <c r="F125" i="30"/>
  <c r="F126" i="30"/>
  <c r="F127" i="30"/>
  <c r="F128" i="30"/>
  <c r="F129" i="30"/>
  <c r="F130" i="30"/>
  <c r="F131" i="30"/>
  <c r="F132" i="30"/>
  <c r="F133" i="30"/>
  <c r="F134" i="30"/>
  <c r="F135" i="30"/>
  <c r="F136" i="30"/>
  <c r="F137" i="30"/>
  <c r="F138" i="30"/>
  <c r="F139" i="30"/>
  <c r="F140" i="30"/>
  <c r="F141" i="30"/>
  <c r="F142" i="30"/>
  <c r="F143" i="30"/>
  <c r="F144" i="30"/>
  <c r="F145" i="30"/>
  <c r="F146" i="30"/>
  <c r="F147" i="30"/>
  <c r="D148" i="30"/>
  <c r="E148" i="30"/>
  <c r="F148" i="30"/>
  <c r="F149" i="30"/>
  <c r="F150" i="30"/>
  <c r="F151" i="30"/>
  <c r="F152" i="30"/>
  <c r="F153" i="30"/>
  <c r="F154" i="30"/>
  <c r="E133" i="32"/>
  <c r="E134" i="32"/>
  <c r="E145" i="30"/>
  <c r="E146" i="30"/>
  <c r="E131" i="32"/>
  <c r="E132" i="32"/>
  <c r="E143" i="30"/>
  <c r="E144" i="30"/>
  <c r="D13" i="31"/>
  <c r="E120" i="30"/>
  <c r="E121" i="30"/>
  <c r="E122" i="30"/>
  <c r="E123" i="30"/>
  <c r="E124" i="30"/>
  <c r="E125" i="30"/>
  <c r="E126" i="30"/>
  <c r="D12" i="31"/>
  <c r="D11" i="31"/>
  <c r="B212" i="30"/>
  <c r="B211" i="30"/>
  <c r="B210" i="30"/>
  <c r="B200" i="32"/>
  <c r="B199" i="32"/>
  <c r="B198" i="32"/>
  <c r="B197" i="32"/>
  <c r="D200" i="32"/>
  <c r="E200" i="32"/>
  <c r="D212" i="30"/>
  <c r="E212" i="30"/>
  <c r="D10" i="31"/>
  <c r="D9" i="31"/>
  <c r="D8" i="31"/>
  <c r="D7" i="31"/>
  <c r="D199" i="32"/>
  <c r="E199" i="32"/>
  <c r="D211" i="30"/>
  <c r="E211" i="30"/>
  <c r="B214" i="32"/>
  <c r="B204" i="32"/>
  <c r="D188" i="32"/>
  <c r="B188" i="32"/>
  <c r="D187" i="32"/>
  <c r="E188" i="32"/>
  <c r="B187" i="32"/>
  <c r="D186" i="32"/>
  <c r="E187" i="32"/>
  <c r="B186" i="32"/>
  <c r="D185" i="32"/>
  <c r="E186" i="32"/>
  <c r="B185" i="32"/>
  <c r="D184" i="32"/>
  <c r="E185" i="32"/>
  <c r="B184" i="32"/>
  <c r="D183" i="32"/>
  <c r="E184" i="32"/>
  <c r="B183" i="32"/>
  <c r="D182" i="32"/>
  <c r="E183" i="32"/>
  <c r="B182" i="32"/>
  <c r="D181" i="32"/>
  <c r="E182" i="32"/>
  <c r="B181" i="32"/>
  <c r="D180" i="32"/>
  <c r="E181" i="32"/>
  <c r="B180" i="32"/>
  <c r="D179" i="32"/>
  <c r="E180" i="32"/>
  <c r="B179" i="32"/>
  <c r="D178" i="32"/>
  <c r="E179" i="32"/>
  <c r="B178" i="32"/>
  <c r="D177" i="32"/>
  <c r="E178" i="32"/>
  <c r="B177" i="32"/>
  <c r="D176" i="32"/>
  <c r="E177" i="32"/>
  <c r="B176" i="32"/>
  <c r="D175" i="32"/>
  <c r="E176" i="32"/>
  <c r="B175" i="32"/>
  <c r="H150" i="32"/>
  <c r="H151" i="32"/>
  <c r="C150" i="32"/>
  <c r="A149" i="32"/>
  <c r="A151" i="32"/>
  <c r="D151" i="32"/>
  <c r="H148" i="32"/>
  <c r="H152" i="32"/>
  <c r="B146" i="32"/>
  <c r="B80" i="31"/>
  <c r="B67" i="31"/>
  <c r="B66" i="31"/>
  <c r="B70" i="31"/>
  <c r="D57" i="31"/>
  <c r="B57" i="31"/>
  <c r="D56" i="31"/>
  <c r="E57" i="31"/>
  <c r="B56" i="31"/>
  <c r="D55" i="31"/>
  <c r="E56" i="31"/>
  <c r="B55" i="31"/>
  <c r="D54" i="31"/>
  <c r="E55" i="31"/>
  <c r="B54" i="31"/>
  <c r="D53" i="31"/>
  <c r="E54" i="31"/>
  <c r="B53" i="31"/>
  <c r="D52" i="31"/>
  <c r="E53" i="31"/>
  <c r="B52" i="31"/>
  <c r="D51" i="31"/>
  <c r="E52" i="31"/>
  <c r="B51" i="31"/>
  <c r="D50" i="31"/>
  <c r="E51" i="31"/>
  <c r="B50" i="31"/>
  <c r="D49" i="31"/>
  <c r="E50" i="31"/>
  <c r="B49" i="31"/>
  <c r="D48" i="31"/>
  <c r="E49" i="31"/>
  <c r="B48" i="31"/>
  <c r="D47" i="31"/>
  <c r="E48" i="31"/>
  <c r="B47" i="31"/>
  <c r="D46" i="31"/>
  <c r="E47" i="31"/>
  <c r="B46" i="31"/>
  <c r="D45" i="31"/>
  <c r="E46" i="31"/>
  <c r="B45" i="31"/>
  <c r="D44" i="31"/>
  <c r="E45" i="31"/>
  <c r="B44" i="31"/>
  <c r="H19" i="31"/>
  <c r="H20" i="31"/>
  <c r="C19" i="31"/>
  <c r="A18" i="31"/>
  <c r="A20" i="31"/>
  <c r="D20" i="31"/>
  <c r="H17" i="31"/>
  <c r="H21" i="31"/>
  <c r="B15" i="31"/>
  <c r="L6" i="31"/>
  <c r="D6" i="31"/>
  <c r="L5" i="31"/>
  <c r="D5" i="31"/>
  <c r="D67" i="31"/>
  <c r="E67" i="31"/>
  <c r="L4" i="31"/>
  <c r="D4" i="31"/>
  <c r="L3" i="31"/>
  <c r="D3" i="31"/>
  <c r="L2" i="31"/>
  <c r="D2" i="31"/>
  <c r="B226" i="30"/>
  <c r="B209" i="30"/>
  <c r="B216" i="30"/>
  <c r="C162" i="30"/>
  <c r="A161" i="30"/>
  <c r="A163" i="30"/>
  <c r="D163" i="30"/>
  <c r="H160" i="30"/>
  <c r="B158" i="30"/>
  <c r="D158" i="30"/>
  <c r="K162" i="30"/>
  <c r="K163" i="30"/>
  <c r="G7" i="22"/>
  <c r="G3" i="22"/>
  <c r="G2" i="22"/>
  <c r="D7" i="22"/>
  <c r="D3" i="22"/>
  <c r="D2" i="22"/>
  <c r="J10" i="22"/>
  <c r="J11" i="22"/>
  <c r="G10" i="22"/>
  <c r="D10" i="22"/>
  <c r="U3" i="22"/>
  <c r="D1041" i="17"/>
  <c r="N4" i="22"/>
  <c r="N5" i="22"/>
  <c r="N6" i="22"/>
  <c r="I1082" i="17"/>
  <c r="C1037" i="17"/>
  <c r="C1081" i="17"/>
  <c r="H7" i="22"/>
  <c r="H3" i="22"/>
  <c r="H2" i="22"/>
  <c r="H4" i="22"/>
  <c r="G6" i="22"/>
  <c r="B8" i="22"/>
  <c r="B4" i="22"/>
  <c r="E7" i="22"/>
  <c r="E3" i="22"/>
  <c r="E2" i="22"/>
  <c r="S4" i="6"/>
  <c r="G6" i="9"/>
  <c r="G9" i="9"/>
  <c r="B14" i="14"/>
  <c r="A14" i="14"/>
  <c r="C2" i="9"/>
  <c r="D2" i="9"/>
  <c r="A3" i="9"/>
  <c r="E2" i="9"/>
  <c r="C3" i="9"/>
  <c r="D3" i="9"/>
  <c r="A4" i="9"/>
  <c r="E3" i="9"/>
  <c r="I2" i="9"/>
  <c r="G3" i="9"/>
  <c r="J2" i="9"/>
  <c r="K2" i="9"/>
  <c r="B12" i="14"/>
  <c r="B13" i="14"/>
  <c r="A12" i="14"/>
  <c r="A13" i="14"/>
  <c r="E30" i="14"/>
  <c r="E29" i="14"/>
  <c r="S7" i="6"/>
  <c r="S8" i="6"/>
  <c r="B11" i="14"/>
  <c r="A11" i="14"/>
  <c r="B2" i="14"/>
  <c r="B9" i="14"/>
  <c r="C4" i="14"/>
  <c r="F2" i="6"/>
  <c r="G2" i="6"/>
  <c r="E3" i="6"/>
  <c r="F3" i="6"/>
  <c r="G3" i="6"/>
  <c r="E4" i="6"/>
  <c r="F4" i="6"/>
  <c r="G4" i="6"/>
  <c r="E5" i="6"/>
  <c r="F5" i="6"/>
  <c r="G5" i="6"/>
  <c r="E6" i="6"/>
  <c r="F6" i="6"/>
  <c r="G6" i="6"/>
  <c r="E7" i="6"/>
  <c r="F7" i="6"/>
  <c r="G7" i="6"/>
  <c r="E8" i="6"/>
  <c r="F8" i="6"/>
  <c r="G8" i="6"/>
  <c r="E9" i="6"/>
  <c r="F9" i="6"/>
  <c r="G9" i="6"/>
  <c r="E10" i="6"/>
  <c r="F10" i="6"/>
  <c r="G10" i="6"/>
  <c r="E11" i="6"/>
  <c r="F11" i="6"/>
  <c r="L11" i="6"/>
  <c r="G11" i="6"/>
  <c r="B2" i="6"/>
  <c r="C2" i="6"/>
  <c r="B3" i="6"/>
  <c r="H2" i="6"/>
  <c r="L2" i="6"/>
  <c r="S5" i="6"/>
  <c r="T5" i="6"/>
  <c r="M2" i="6"/>
  <c r="N2" i="6"/>
  <c r="D3" i="6"/>
  <c r="C3" i="6"/>
  <c r="B4" i="6"/>
  <c r="C4" i="6"/>
  <c r="H3" i="6"/>
  <c r="B5" i="6"/>
  <c r="L3" i="6"/>
  <c r="D4" i="6"/>
  <c r="M3" i="6"/>
  <c r="N3" i="6"/>
  <c r="H4" i="6"/>
  <c r="B6" i="6"/>
  <c r="C5" i="6"/>
  <c r="I3" i="6"/>
  <c r="J3" i="6"/>
  <c r="K3" i="6"/>
  <c r="H5" i="6"/>
  <c r="B7" i="6"/>
  <c r="C6" i="6"/>
  <c r="C7" i="6"/>
  <c r="H6" i="6"/>
  <c r="B8" i="6"/>
  <c r="M4" i="6"/>
  <c r="N4" i="6"/>
  <c r="L4" i="6"/>
  <c r="C8" i="6"/>
  <c r="H7" i="6"/>
  <c r="B9" i="6"/>
  <c r="I4" i="6"/>
  <c r="J4" i="6"/>
  <c r="K4" i="6"/>
  <c r="D5" i="6"/>
  <c r="H8" i="6"/>
  <c r="B10" i="6"/>
  <c r="C9" i="6"/>
  <c r="L5" i="6"/>
  <c r="D6" i="6"/>
  <c r="M5" i="6"/>
  <c r="N5" i="6"/>
  <c r="H9" i="6"/>
  <c r="B11" i="6"/>
  <c r="C10" i="6"/>
  <c r="I5" i="6"/>
  <c r="J5" i="6"/>
  <c r="K5" i="6"/>
  <c r="C11" i="6"/>
  <c r="H10" i="6"/>
  <c r="B12" i="6"/>
  <c r="M6" i="6"/>
  <c r="N6" i="6"/>
  <c r="D7" i="6"/>
  <c r="L6" i="6"/>
  <c r="C12" i="6"/>
  <c r="H11" i="6"/>
  <c r="B13" i="6"/>
  <c r="I6" i="6"/>
  <c r="J6" i="6"/>
  <c r="K6" i="6"/>
  <c r="H12" i="6"/>
  <c r="B14" i="6"/>
  <c r="C13" i="6"/>
  <c r="L7" i="6"/>
  <c r="D8" i="6"/>
  <c r="M7" i="6"/>
  <c r="N7" i="6"/>
  <c r="H13" i="6"/>
  <c r="B15" i="6"/>
  <c r="C14" i="6"/>
  <c r="I7" i="6"/>
  <c r="J7" i="6"/>
  <c r="K7" i="6"/>
  <c r="C15" i="6"/>
  <c r="H14" i="6"/>
  <c r="B16" i="6"/>
  <c r="D9" i="6"/>
  <c r="L8" i="6"/>
  <c r="M8" i="6"/>
  <c r="N8" i="6"/>
  <c r="C16" i="6"/>
  <c r="H15" i="6"/>
  <c r="B17" i="6"/>
  <c r="I8" i="6"/>
  <c r="J8" i="6"/>
  <c r="K8" i="6"/>
  <c r="H16" i="6"/>
  <c r="B18" i="6"/>
  <c r="C17" i="6"/>
  <c r="L9" i="6"/>
  <c r="M9" i="6"/>
  <c r="N9" i="6"/>
  <c r="H17" i="6"/>
  <c r="B19" i="6"/>
  <c r="C18" i="6"/>
  <c r="I9" i="6"/>
  <c r="J9" i="6"/>
  <c r="K9" i="6"/>
  <c r="D10" i="6"/>
  <c r="C19" i="6"/>
  <c r="H18" i="6"/>
  <c r="B20" i="6"/>
  <c r="M10" i="6"/>
  <c r="N10" i="6"/>
  <c r="D11" i="6"/>
  <c r="L10" i="6"/>
  <c r="C20" i="6"/>
  <c r="H19" i="6"/>
  <c r="B21" i="6"/>
  <c r="I10" i="6"/>
  <c r="J10" i="6"/>
  <c r="K10" i="6"/>
  <c r="H20" i="6"/>
  <c r="B22" i="6"/>
  <c r="C21" i="6"/>
  <c r="M11" i="6"/>
  <c r="N11" i="6"/>
  <c r="H21" i="6"/>
  <c r="B23" i="6"/>
  <c r="C22" i="6"/>
  <c r="I11" i="6"/>
  <c r="J11" i="6"/>
  <c r="K11" i="6"/>
  <c r="E12" i="6"/>
  <c r="F12" i="6"/>
  <c r="D12" i="6"/>
  <c r="C23" i="6"/>
  <c r="H22" i="6"/>
  <c r="B24" i="6"/>
  <c r="G12" i="6"/>
  <c r="M12" i="6"/>
  <c r="N12" i="6"/>
  <c r="L12" i="6"/>
  <c r="C24" i="6"/>
  <c r="H23" i="6"/>
  <c r="B25" i="6"/>
  <c r="I12" i="6"/>
  <c r="J12" i="6"/>
  <c r="K12" i="6"/>
  <c r="E13" i="6"/>
  <c r="F13" i="6"/>
  <c r="D13" i="6"/>
  <c r="H24" i="6"/>
  <c r="B26" i="6"/>
  <c r="C25" i="6"/>
  <c r="G13" i="6"/>
  <c r="D14" i="6"/>
  <c r="L13" i="6"/>
  <c r="M13" i="6"/>
  <c r="N13" i="6"/>
  <c r="H25" i="6"/>
  <c r="B27" i="6"/>
  <c r="C26" i="6"/>
  <c r="E14" i="6"/>
  <c r="F14" i="6"/>
  <c r="I13" i="6"/>
  <c r="J13" i="6"/>
  <c r="K13" i="6"/>
  <c r="C27" i="6"/>
  <c r="H26" i="6"/>
  <c r="B28" i="6"/>
  <c r="M14" i="6"/>
  <c r="N14" i="6"/>
  <c r="G14" i="6"/>
  <c r="D15" i="6"/>
  <c r="L14" i="6"/>
  <c r="C28" i="6"/>
  <c r="H27" i="6"/>
  <c r="B29" i="6"/>
  <c r="I14" i="6"/>
  <c r="J14" i="6"/>
  <c r="K14" i="6"/>
  <c r="E15" i="6"/>
  <c r="F15" i="6"/>
  <c r="H28" i="6"/>
  <c r="B30" i="6"/>
  <c r="C29" i="6"/>
  <c r="L15" i="6"/>
  <c r="G15" i="6"/>
  <c r="D16" i="6"/>
  <c r="M15" i="6"/>
  <c r="N15" i="6"/>
  <c r="H29" i="6"/>
  <c r="B31" i="6"/>
  <c r="C30" i="6"/>
  <c r="I15" i="6"/>
  <c r="J15" i="6"/>
  <c r="K15" i="6"/>
  <c r="E16" i="6"/>
  <c r="F16" i="6"/>
  <c r="C31" i="6"/>
  <c r="H30" i="6"/>
  <c r="B32" i="6"/>
  <c r="G16" i="6"/>
  <c r="L16" i="6"/>
  <c r="M16" i="6"/>
  <c r="N16" i="6"/>
  <c r="C32" i="6"/>
  <c r="H31" i="6"/>
  <c r="B33" i="6"/>
  <c r="I16" i="6"/>
  <c r="J16" i="6"/>
  <c r="K16" i="6"/>
  <c r="E17" i="6"/>
  <c r="F17" i="6"/>
  <c r="D17" i="6"/>
  <c r="H32" i="6"/>
  <c r="B34" i="6"/>
  <c r="C33" i="6"/>
  <c r="G17" i="6"/>
  <c r="L17" i="6"/>
  <c r="D18" i="6"/>
  <c r="M17" i="6"/>
  <c r="N17" i="6"/>
  <c r="H33" i="6"/>
  <c r="B35" i="6"/>
  <c r="C34" i="6"/>
  <c r="E18" i="6"/>
  <c r="F18" i="6"/>
  <c r="I17" i="6"/>
  <c r="J17" i="6"/>
  <c r="K17" i="6"/>
  <c r="C35" i="6"/>
  <c r="H34" i="6"/>
  <c r="B36" i="6"/>
  <c r="M18" i="6"/>
  <c r="N18" i="6"/>
  <c r="G18" i="6"/>
  <c r="D19" i="6"/>
  <c r="L18" i="6"/>
  <c r="C36" i="6"/>
  <c r="H35" i="6"/>
  <c r="B37" i="6"/>
  <c r="I18" i="6"/>
  <c r="J18" i="6"/>
  <c r="K18" i="6"/>
  <c r="E19" i="6"/>
  <c r="F19" i="6"/>
  <c r="H36" i="6"/>
  <c r="C37" i="6"/>
  <c r="G19" i="6"/>
  <c r="D20" i="6"/>
  <c r="L19" i="6"/>
  <c r="M19" i="6"/>
  <c r="N19" i="6"/>
  <c r="I19" i="6"/>
  <c r="J19" i="6"/>
  <c r="K19" i="6"/>
  <c r="E20" i="6"/>
  <c r="F20" i="6"/>
  <c r="M20" i="6"/>
  <c r="N20" i="6"/>
  <c r="L20" i="6"/>
  <c r="G20" i="6"/>
  <c r="E21" i="6"/>
  <c r="F21" i="6"/>
  <c r="I20" i="6"/>
  <c r="J20" i="6"/>
  <c r="K20" i="6"/>
  <c r="D21" i="6"/>
  <c r="M21" i="6"/>
  <c r="N21" i="6"/>
  <c r="G21" i="6"/>
  <c r="L21" i="6"/>
  <c r="I21" i="6"/>
  <c r="J21" i="6"/>
  <c r="K21" i="6"/>
  <c r="E22" i="6"/>
  <c r="F22" i="6"/>
  <c r="D22" i="6"/>
  <c r="L22" i="6"/>
  <c r="M22" i="6"/>
  <c r="N22" i="6"/>
  <c r="G22" i="6"/>
  <c r="D23" i="6"/>
  <c r="I22" i="6"/>
  <c r="J22" i="6"/>
  <c r="K22" i="6"/>
  <c r="E23" i="6"/>
  <c r="F23" i="6"/>
  <c r="G23" i="6"/>
  <c r="D24" i="6"/>
  <c r="L23" i="6"/>
  <c r="M23" i="6"/>
  <c r="N23" i="6"/>
  <c r="I23" i="6"/>
  <c r="J23" i="6"/>
  <c r="K23" i="6"/>
  <c r="E24" i="6"/>
  <c r="F24" i="6"/>
  <c r="G24" i="6"/>
  <c r="D25" i="6"/>
  <c r="L24" i="6"/>
  <c r="M24" i="6"/>
  <c r="N24" i="6"/>
  <c r="E25" i="6"/>
  <c r="F25" i="6"/>
  <c r="I24" i="6"/>
  <c r="J24" i="6"/>
  <c r="K24" i="6"/>
  <c r="M25" i="6"/>
  <c r="N25" i="6"/>
  <c r="L25" i="6"/>
  <c r="G25" i="6"/>
  <c r="I25" i="6"/>
  <c r="J25" i="6"/>
  <c r="K25" i="6"/>
  <c r="E26" i="6"/>
  <c r="F26" i="6"/>
  <c r="D26" i="6"/>
  <c r="L26" i="6"/>
  <c r="G26" i="6"/>
  <c r="M26" i="6"/>
  <c r="N26" i="6"/>
  <c r="E27" i="6"/>
  <c r="F27" i="6"/>
  <c r="I26" i="6"/>
  <c r="J26" i="6"/>
  <c r="K26" i="6"/>
  <c r="D27" i="6"/>
  <c r="G27" i="6"/>
  <c r="D28" i="6"/>
  <c r="L27" i="6"/>
  <c r="M27" i="6"/>
  <c r="N27" i="6"/>
  <c r="E28" i="6"/>
  <c r="F28" i="6"/>
  <c r="I27" i="6"/>
  <c r="J27" i="6"/>
  <c r="K27" i="6"/>
  <c r="M28" i="6"/>
  <c r="N28" i="6"/>
  <c r="L28" i="6"/>
  <c r="G28" i="6"/>
  <c r="D29" i="6"/>
  <c r="E29" i="6"/>
  <c r="F29" i="6"/>
  <c r="I28" i="6"/>
  <c r="J28" i="6"/>
  <c r="K28" i="6"/>
  <c r="M29" i="6"/>
  <c r="N29" i="6"/>
  <c r="G29" i="6"/>
  <c r="L29" i="6"/>
  <c r="I29" i="6"/>
  <c r="J29" i="6"/>
  <c r="K29" i="6"/>
  <c r="E30" i="6"/>
  <c r="F30" i="6"/>
  <c r="D30" i="6"/>
  <c r="L30" i="6"/>
  <c r="M30" i="6"/>
  <c r="N30" i="6"/>
  <c r="G30" i="6"/>
  <c r="I30" i="6"/>
  <c r="J30" i="6"/>
  <c r="K30" i="6"/>
  <c r="E31" i="6"/>
  <c r="F31" i="6"/>
  <c r="D31" i="6"/>
  <c r="G31" i="6"/>
  <c r="D32" i="6"/>
  <c r="L31" i="6"/>
  <c r="M31" i="6"/>
  <c r="N31" i="6"/>
  <c r="I31" i="6"/>
  <c r="J31" i="6"/>
  <c r="K31" i="6"/>
  <c r="E32" i="6"/>
  <c r="F32" i="6"/>
  <c r="G32" i="6"/>
  <c r="D33" i="6"/>
  <c r="L32" i="6"/>
  <c r="M32" i="6"/>
  <c r="N32" i="6"/>
  <c r="E33" i="6"/>
  <c r="F33" i="6"/>
  <c r="I32" i="6"/>
  <c r="J32" i="6"/>
  <c r="K32" i="6"/>
  <c r="M33" i="6"/>
  <c r="N33" i="6"/>
  <c r="L33" i="6"/>
  <c r="G33" i="6"/>
  <c r="I33" i="6"/>
  <c r="J33" i="6"/>
  <c r="K33" i="6"/>
  <c r="E34" i="6"/>
  <c r="F34" i="6"/>
  <c r="D34" i="6"/>
  <c r="L34" i="6"/>
  <c r="G34" i="6"/>
  <c r="M34" i="6"/>
  <c r="N34" i="6"/>
  <c r="I34" i="6"/>
  <c r="J34" i="6"/>
  <c r="K34" i="6"/>
  <c r="E35" i="6"/>
  <c r="F35" i="6"/>
  <c r="D35" i="6"/>
  <c r="G35" i="6"/>
  <c r="L35" i="6"/>
  <c r="M35" i="6"/>
  <c r="N35" i="6"/>
  <c r="D36" i="6"/>
  <c r="E36" i="6"/>
  <c r="F36" i="6"/>
  <c r="I35" i="6"/>
  <c r="J35" i="6"/>
  <c r="K35" i="6"/>
  <c r="L36" i="6"/>
  <c r="M36" i="6"/>
  <c r="N36" i="6"/>
  <c r="G36" i="6"/>
  <c r="I36" i="6"/>
  <c r="J36" i="6"/>
  <c r="K36" i="6"/>
  <c r="E37" i="6"/>
  <c r="F37" i="6"/>
  <c r="D37" i="6"/>
  <c r="G37" i="6"/>
  <c r="L37" i="6"/>
  <c r="M37" i="6"/>
  <c r="N37" i="6"/>
  <c r="J37" i="6"/>
  <c r="K37" i="6"/>
  <c r="P18" i="6"/>
  <c r="C5" i="14"/>
  <c r="C6" i="14"/>
  <c r="C7" i="14"/>
  <c r="O2" i="6"/>
  <c r="P2" i="6"/>
  <c r="I2" i="6"/>
  <c r="J2" i="6"/>
  <c r="K2" i="6"/>
  <c r="C2" i="14"/>
  <c r="C4" i="9"/>
  <c r="E4" i="9"/>
  <c r="I3" i="9"/>
  <c r="G4" i="9"/>
  <c r="I4" i="9"/>
  <c r="G5" i="9"/>
  <c r="A5" i="9"/>
  <c r="D4" i="9"/>
  <c r="C5" i="9"/>
  <c r="J4" i="9"/>
  <c r="J3" i="9"/>
  <c r="K3" i="9"/>
  <c r="K4" i="9"/>
  <c r="E5" i="9"/>
  <c r="D5" i="9"/>
  <c r="A6" i="9"/>
  <c r="I5" i="9"/>
  <c r="C6" i="9"/>
  <c r="E6" i="9"/>
  <c r="D2" i="14"/>
  <c r="D6" i="9"/>
  <c r="A7" i="9"/>
  <c r="J5" i="9"/>
  <c r="K5" i="9"/>
  <c r="C7" i="9"/>
  <c r="D4" i="14"/>
  <c r="D11" i="14"/>
  <c r="D5" i="14"/>
  <c r="D12" i="14"/>
  <c r="C12" i="14"/>
  <c r="E12" i="14"/>
  <c r="F12" i="14"/>
  <c r="D7" i="14"/>
  <c r="D14" i="14"/>
  <c r="C14" i="14"/>
  <c r="E14" i="14"/>
  <c r="F14" i="14"/>
  <c r="D6" i="14"/>
  <c r="D13" i="14"/>
  <c r="C13" i="14"/>
  <c r="E13" i="14"/>
  <c r="F13" i="14"/>
  <c r="E2" i="14"/>
  <c r="D9" i="14"/>
  <c r="E7" i="9"/>
  <c r="D7" i="9"/>
  <c r="A8" i="9"/>
  <c r="I6" i="9"/>
  <c r="G7" i="9"/>
  <c r="K6" i="9"/>
  <c r="C8" i="9"/>
  <c r="E8" i="9"/>
  <c r="C11" i="14"/>
  <c r="E11" i="14"/>
  <c r="F11" i="14"/>
  <c r="D8" i="9"/>
  <c r="A9" i="9"/>
  <c r="J6" i="9"/>
  <c r="C9" i="9"/>
  <c r="E9" i="9"/>
  <c r="D9" i="9"/>
  <c r="A10" i="9"/>
  <c r="I7" i="9"/>
  <c r="G8" i="9"/>
  <c r="C10" i="9"/>
  <c r="E10" i="9"/>
  <c r="D10" i="9"/>
  <c r="A11" i="9"/>
  <c r="C11" i="9"/>
  <c r="K7" i="9"/>
  <c r="J7" i="9"/>
  <c r="E11" i="9"/>
  <c r="D11" i="9"/>
  <c r="I8" i="9"/>
  <c r="K8" i="9"/>
  <c r="J8" i="9"/>
  <c r="I9" i="9"/>
  <c r="G10" i="9"/>
  <c r="K9" i="9"/>
  <c r="J9" i="9"/>
  <c r="I10" i="9"/>
  <c r="G11" i="9"/>
  <c r="K10" i="9"/>
  <c r="J10" i="9"/>
  <c r="I11" i="9"/>
  <c r="J11" i="9"/>
  <c r="K11" i="9"/>
  <c r="J1044" i="17"/>
  <c r="H6" i="22"/>
  <c r="H8" i="22"/>
  <c r="E4" i="22"/>
  <c r="D6" i="22"/>
  <c r="E6" i="22"/>
  <c r="E8" i="22"/>
  <c r="J4" i="22"/>
  <c r="J5" i="22"/>
  <c r="E119" i="30"/>
  <c r="E118" i="30"/>
  <c r="E117" i="30"/>
  <c r="E116" i="30"/>
  <c r="E115" i="30"/>
  <c r="E114" i="30"/>
  <c r="E113" i="30"/>
  <c r="E112" i="30"/>
  <c r="E111" i="30"/>
  <c r="E110" i="30"/>
  <c r="E109" i="30"/>
  <c r="E12" i="31"/>
  <c r="E11" i="31"/>
  <c r="E108" i="30"/>
  <c r="E107" i="30"/>
  <c r="E106" i="30"/>
  <c r="E105" i="30"/>
  <c r="E104" i="30"/>
  <c r="E103" i="30"/>
  <c r="E102" i="30"/>
  <c r="E101" i="30"/>
  <c r="D210" i="30"/>
  <c r="E210" i="30"/>
  <c r="D198" i="32"/>
  <c r="E198" i="32"/>
  <c r="E100" i="30"/>
  <c r="E10" i="31"/>
  <c r="E9" i="31"/>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8" i="31"/>
  <c r="E7" i="31"/>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D197" i="32"/>
  <c r="D174" i="32"/>
  <c r="E175" i="32"/>
  <c r="D146" i="32"/>
  <c r="L153" i="32"/>
  <c r="I153" i="32"/>
  <c r="H153" i="32"/>
  <c r="J152" i="32"/>
  <c r="H149" i="32"/>
  <c r="I149" i="32"/>
  <c r="C149" i="32"/>
  <c r="E149" i="32"/>
  <c r="D66" i="31"/>
  <c r="D43" i="31"/>
  <c r="E44" i="31"/>
  <c r="D15" i="31"/>
  <c r="E6" i="31"/>
  <c r="E5" i="31"/>
  <c r="E4" i="31"/>
  <c r="E3" i="31"/>
  <c r="F2" i="31"/>
  <c r="F3" i="31"/>
  <c r="F4" i="31"/>
  <c r="F5" i="31"/>
  <c r="F6" i="31"/>
  <c r="F7" i="31"/>
  <c r="F8" i="31"/>
  <c r="F9" i="31"/>
  <c r="F10" i="31"/>
  <c r="F11" i="31"/>
  <c r="F12" i="31"/>
  <c r="E2" i="31"/>
  <c r="O2" i="31"/>
  <c r="P2" i="31"/>
  <c r="Q2" i="31"/>
  <c r="M2" i="31"/>
  <c r="N2" i="31"/>
  <c r="O3" i="31"/>
  <c r="P3" i="31"/>
  <c r="Q3" i="31"/>
  <c r="M3" i="31"/>
  <c r="N3" i="31"/>
  <c r="O4" i="31"/>
  <c r="P4" i="31"/>
  <c r="Q4" i="31"/>
  <c r="M4" i="31"/>
  <c r="N4" i="31"/>
  <c r="O5" i="31"/>
  <c r="P5" i="31"/>
  <c r="Q5" i="31"/>
  <c r="M5" i="31"/>
  <c r="N5" i="31"/>
  <c r="O6" i="31"/>
  <c r="P6" i="31"/>
  <c r="Q6" i="31"/>
  <c r="M6" i="31"/>
  <c r="N6" i="31"/>
  <c r="L22" i="31"/>
  <c r="I22" i="31"/>
  <c r="H22" i="31"/>
  <c r="J21" i="31"/>
  <c r="H18" i="31"/>
  <c r="I18" i="31"/>
  <c r="C18" i="31"/>
  <c r="E18" i="31"/>
  <c r="D209"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H162" i="30"/>
  <c r="H163" i="30"/>
  <c r="E6" i="30"/>
  <c r="E5" i="30"/>
  <c r="E4" i="30"/>
  <c r="E3" i="30"/>
  <c r="E2" i="30"/>
  <c r="L165" i="30"/>
  <c r="I165" i="30"/>
  <c r="H164" i="30"/>
  <c r="A153" i="32"/>
  <c r="K150" i="32"/>
  <c r="K151" i="32"/>
  <c r="K152" i="32"/>
  <c r="J146" i="32"/>
  <c r="I146" i="32"/>
  <c r="H146" i="32"/>
  <c r="D204" i="32"/>
  <c r="E204" i="32"/>
  <c r="E197" i="32"/>
  <c r="A22" i="31"/>
  <c r="K19" i="31"/>
  <c r="K20" i="31"/>
  <c r="K21" i="31"/>
  <c r="J15" i="31"/>
  <c r="I15" i="31"/>
  <c r="H15" i="31"/>
  <c r="D70" i="31"/>
  <c r="E70" i="31"/>
  <c r="E66" i="31"/>
  <c r="H165" i="30"/>
  <c r="J164" i="30"/>
  <c r="H161" i="30"/>
  <c r="I161" i="30"/>
  <c r="C161" i="30"/>
  <c r="E161" i="30"/>
  <c r="A165" i="30"/>
  <c r="K164" i="30"/>
  <c r="J158" i="30"/>
  <c r="I158" i="30"/>
  <c r="H158" i="30"/>
  <c r="D216" i="30"/>
  <c r="E216" i="30"/>
  <c r="E209" i="30"/>
  <c r="F1064" i="17"/>
  <c r="K153" i="32"/>
  <c r="K149" i="32"/>
  <c r="L149" i="32"/>
  <c r="K22" i="31"/>
  <c r="K18" i="31"/>
  <c r="L18" i="31"/>
  <c r="K165" i="30"/>
  <c r="K161" i="30"/>
  <c r="L161" i="30"/>
  <c r="F13" i="31"/>
  <c r="F15" i="31"/>
  <c r="E13" i="31"/>
  <c r="E142" i="30"/>
  <c r="E141" i="30"/>
  <c r="E140" i="30"/>
  <c r="E139" i="30"/>
  <c r="E138" i="30"/>
  <c r="E137" i="30"/>
  <c r="E136" i="30"/>
  <c r="E135" i="30"/>
  <c r="E134" i="30"/>
  <c r="E133" i="30"/>
  <c r="E132" i="30"/>
  <c r="E131" i="30"/>
  <c r="E130" i="30"/>
  <c r="E129" i="30"/>
  <c r="E128" i="30"/>
  <c r="E127" i="30"/>
  <c r="F146" i="32"/>
  <c r="E144" i="32"/>
  <c r="F156" i="30"/>
  <c r="E156" i="30"/>
  <c r="E143" i="32"/>
  <c r="F155" i="30"/>
  <c r="E155" i="30"/>
  <c r="E142" i="32"/>
  <c r="E141" i="32"/>
  <c r="E140" i="32"/>
  <c r="E154" i="30"/>
  <c r="E153" i="30"/>
  <c r="E152" i="30"/>
  <c r="E139" i="32"/>
  <c r="E151" i="30"/>
  <c r="E138" i="32"/>
  <c r="E150" i="30"/>
  <c r="E137" i="32"/>
  <c r="E149" i="30"/>
  <c r="F158" i="30"/>
  <c r="F1040" i="17"/>
  <c r="I139" i="17"/>
  <c r="L139" i="17"/>
  <c r="E1065" i="17"/>
  <c r="J162" i="17"/>
  <c r="F1065" i="17"/>
  <c r="I258" i="17"/>
  <c r="L258" i="17"/>
  <c r="K238" i="17"/>
  <c r="J238" i="17"/>
  <c r="J362" i="17"/>
  <c r="E1067" i="17"/>
  <c r="F1067" i="17"/>
  <c r="K825" i="33"/>
  <c r="J417" i="17"/>
  <c r="E1068" i="17"/>
  <c r="F1068" i="17"/>
  <c r="I500" i="17"/>
  <c r="L500" i="17"/>
  <c r="J500" i="17"/>
  <c r="E1069" i="17"/>
  <c r="F1069" i="17"/>
  <c r="F1070" i="17"/>
  <c r="C1080" i="17"/>
  <c r="K639" i="17"/>
  <c r="I639" i="17"/>
  <c r="L639" i="17"/>
  <c r="J691" i="17"/>
  <c r="E1071" i="17"/>
  <c r="F1071" i="17"/>
  <c r="F756" i="17"/>
  <c r="F774" i="17"/>
  <c r="F773" i="17"/>
  <c r="F772" i="17"/>
  <c r="F771" i="17"/>
  <c r="F770" i="17"/>
  <c r="F769" i="17"/>
  <c r="F768" i="17"/>
  <c r="F767" i="17"/>
  <c r="F766" i="17"/>
  <c r="F765" i="17"/>
  <c r="F764" i="17"/>
  <c r="F763" i="17"/>
  <c r="F762" i="17"/>
  <c r="F761" i="17"/>
  <c r="F760" i="17"/>
  <c r="F759" i="17"/>
  <c r="F758" i="17"/>
  <c r="F757" i="17"/>
  <c r="J756" i="17"/>
  <c r="E1072" i="17"/>
  <c r="F1072" i="17"/>
  <c r="F821" i="17"/>
  <c r="F820" i="17"/>
  <c r="F819" i="17"/>
  <c r="F818" i="17"/>
  <c r="F817" i="17"/>
  <c r="F816" i="17"/>
  <c r="F815" i="17"/>
  <c r="F814" i="17"/>
  <c r="F813" i="17"/>
  <c r="F812" i="17"/>
  <c r="F811" i="17"/>
  <c r="F810" i="17"/>
  <c r="F809" i="17"/>
  <c r="F808" i="17"/>
  <c r="E1066" i="17"/>
  <c r="F1066" i="17"/>
  <c r="F807" i="17"/>
  <c r="F806" i="17"/>
  <c r="F805" i="17"/>
  <c r="F804" i="17"/>
  <c r="F803" i="17"/>
  <c r="I802" i="17"/>
  <c r="L802" i="17"/>
  <c r="F802" i="17"/>
  <c r="F801" i="17"/>
  <c r="F800" i="17"/>
  <c r="F799" i="17"/>
  <c r="F798" i="17"/>
  <c r="F797" i="17"/>
  <c r="F796" i="17"/>
  <c r="F795" i="17"/>
  <c r="F794" i="17"/>
  <c r="E1073" i="17"/>
  <c r="J793" i="17"/>
  <c r="F793" i="17"/>
  <c r="F792" i="17"/>
  <c r="F791" i="17"/>
  <c r="F790" i="17"/>
  <c r="F789" i="17"/>
  <c r="F788" i="17"/>
  <c r="F787" i="17"/>
  <c r="F786" i="17"/>
  <c r="F785" i="17"/>
  <c r="F775" i="17"/>
  <c r="F776" i="17"/>
  <c r="F777" i="17"/>
  <c r="F778" i="17"/>
  <c r="F779" i="17"/>
  <c r="F780" i="17"/>
  <c r="F781" i="17"/>
  <c r="F782" i="17"/>
  <c r="F783" i="17"/>
  <c r="F784" i="17"/>
  <c r="I784" i="17"/>
  <c r="F1073" i="17"/>
  <c r="L784" i="17"/>
  <c r="F842" i="17"/>
  <c r="F841" i="17"/>
  <c r="F840" i="17"/>
  <c r="F839" i="17"/>
  <c r="F838" i="17"/>
  <c r="F837" i="17"/>
  <c r="F836" i="17"/>
  <c r="F835" i="17"/>
  <c r="F834" i="17"/>
  <c r="F833" i="17"/>
  <c r="F832" i="17"/>
  <c r="F831" i="17"/>
  <c r="F830" i="17"/>
  <c r="F829" i="17"/>
  <c r="F828" i="17"/>
  <c r="F827" i="17"/>
  <c r="F826" i="17"/>
  <c r="F825" i="17"/>
  <c r="F824" i="17"/>
  <c r="F823" i="17"/>
  <c r="F822"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F843" i="17"/>
  <c r="F844" i="17"/>
  <c r="F845" i="17"/>
  <c r="F846" i="17"/>
  <c r="F847" i="17"/>
  <c r="F848" i="17"/>
  <c r="F849" i="17"/>
  <c r="F850" i="17"/>
  <c r="F860" i="17"/>
  <c r="F859" i="17"/>
  <c r="F858" i="17"/>
  <c r="F857" i="17"/>
  <c r="F856" i="17"/>
  <c r="F855" i="17"/>
  <c r="F854" i="17"/>
  <c r="F853" i="17"/>
  <c r="F852" i="17"/>
  <c r="G851" i="17"/>
  <c r="F851" i="17"/>
  <c r="J850" i="17"/>
  <c r="E1074" i="17"/>
  <c r="G852" i="17"/>
  <c r="G853" i="17"/>
  <c r="G854" i="17"/>
  <c r="G855" i="17"/>
  <c r="G856" i="17"/>
  <c r="G857" i="17"/>
  <c r="G858" i="17"/>
  <c r="G859" i="17"/>
  <c r="G860" i="17"/>
  <c r="G861" i="17"/>
  <c r="G862" i="17"/>
  <c r="G863" i="17"/>
  <c r="G864" i="17"/>
  <c r="G865" i="17"/>
  <c r="G866" i="17"/>
  <c r="G867" i="17"/>
  <c r="G868" i="17"/>
  <c r="G869" i="17"/>
  <c r="G870" i="17"/>
  <c r="F1074" i="17"/>
  <c r="F885" i="17"/>
  <c r="F884" i="17"/>
  <c r="F883" i="17"/>
  <c r="F882" i="17"/>
  <c r="F881" i="17"/>
  <c r="F880" i="17"/>
  <c r="F879" i="17"/>
  <c r="F878" i="17"/>
  <c r="F877" i="17"/>
  <c r="F876" i="17"/>
  <c r="F875" i="17"/>
  <c r="F874" i="17"/>
  <c r="F873" i="17"/>
  <c r="F872" i="17"/>
  <c r="G871" i="17"/>
  <c r="F871" i="17"/>
  <c r="F861" i="17"/>
  <c r="F862" i="17"/>
  <c r="F863" i="17"/>
  <c r="F864" i="17"/>
  <c r="F865" i="17"/>
  <c r="F866" i="17"/>
  <c r="F867" i="17"/>
  <c r="F868" i="17"/>
  <c r="F869" i="17"/>
  <c r="F870" i="17"/>
  <c r="G872" i="17"/>
  <c r="G873" i="17"/>
  <c r="G874" i="17"/>
  <c r="G875" i="17"/>
  <c r="G876" i="17"/>
  <c r="G877" i="17"/>
  <c r="G878" i="17"/>
  <c r="G879" i="17"/>
  <c r="G880" i="17"/>
  <c r="G881" i="17"/>
  <c r="G882" i="17"/>
  <c r="G883" i="17"/>
  <c r="G884" i="17"/>
  <c r="G885" i="17"/>
  <c r="I894" i="17"/>
  <c r="F894" i="17"/>
  <c r="F893" i="17"/>
  <c r="F892" i="17"/>
  <c r="F891" i="17"/>
  <c r="F890" i="17"/>
  <c r="F889" i="17"/>
  <c r="F888" i="17"/>
  <c r="F887" i="17"/>
  <c r="G886" i="17"/>
  <c r="F886" i="17"/>
  <c r="L894" i="17"/>
  <c r="G887" i="17"/>
  <c r="G888" i="17"/>
  <c r="G889" i="17"/>
  <c r="G890" i="17"/>
  <c r="G891" i="17"/>
  <c r="G892" i="17"/>
  <c r="G893" i="17"/>
  <c r="G894" i="17"/>
  <c r="G895" i="17"/>
  <c r="G896" i="17"/>
  <c r="G897" i="17"/>
  <c r="G898" i="17"/>
  <c r="G899" i="17"/>
  <c r="G900" i="17"/>
  <c r="G901" i="17"/>
  <c r="G902" i="17"/>
  <c r="G903" i="17"/>
  <c r="G904" i="17"/>
  <c r="G905" i="17"/>
  <c r="G906" i="17"/>
  <c r="F912" i="17"/>
  <c r="F911" i="17"/>
  <c r="F910" i="17"/>
  <c r="F909" i="17"/>
  <c r="F908" i="17"/>
  <c r="G907" i="17"/>
  <c r="F907" i="17"/>
  <c r="F895" i="17"/>
  <c r="F896" i="17"/>
  <c r="F897" i="17"/>
  <c r="F898" i="17"/>
  <c r="F899" i="17"/>
  <c r="F900" i="17"/>
  <c r="F901" i="17"/>
  <c r="F902" i="17"/>
  <c r="F903" i="17"/>
  <c r="F904" i="17"/>
  <c r="F905" i="17"/>
  <c r="F906" i="17"/>
  <c r="G908" i="17"/>
  <c r="G909" i="17"/>
  <c r="G910" i="17"/>
  <c r="G911" i="17"/>
  <c r="G912" i="17"/>
  <c r="F929" i="17"/>
  <c r="F928" i="17"/>
  <c r="F927" i="17"/>
  <c r="F926" i="17"/>
  <c r="F925" i="17"/>
  <c r="F924" i="17"/>
  <c r="F923" i="17"/>
  <c r="F922" i="17"/>
  <c r="F921" i="17"/>
  <c r="F920" i="17"/>
  <c r="F919" i="17"/>
  <c r="F918" i="17"/>
  <c r="F917" i="17"/>
  <c r="F916" i="17"/>
  <c r="F915" i="17"/>
  <c r="F914" i="17"/>
  <c r="G913" i="17"/>
  <c r="F913" i="17"/>
  <c r="K912" i="17"/>
  <c r="G914" i="17"/>
  <c r="G915" i="17"/>
  <c r="G916" i="17"/>
  <c r="G917" i="17"/>
  <c r="G918" i="17"/>
  <c r="G919" i="17"/>
  <c r="G920" i="17"/>
  <c r="G921" i="17"/>
  <c r="G922" i="17"/>
  <c r="G923" i="17"/>
  <c r="G924" i="17"/>
  <c r="G925" i="17"/>
  <c r="G926" i="17"/>
  <c r="G927" i="17"/>
  <c r="G928" i="17"/>
  <c r="G929" i="17"/>
  <c r="G930" i="17"/>
  <c r="G931" i="17"/>
  <c r="G932" i="17"/>
  <c r="F954" i="17"/>
  <c r="F953" i="17"/>
  <c r="F952" i="17"/>
  <c r="F951" i="17"/>
  <c r="F950" i="17"/>
  <c r="F949" i="17"/>
  <c r="F948" i="17"/>
  <c r="F947" i="17"/>
  <c r="F946" i="17"/>
  <c r="F945" i="17"/>
  <c r="F944" i="17"/>
  <c r="F943" i="17"/>
  <c r="F942" i="17"/>
  <c r="F941" i="17"/>
  <c r="F940" i="17"/>
  <c r="F939" i="17"/>
  <c r="F938" i="17"/>
  <c r="F937" i="17"/>
  <c r="F936" i="17"/>
  <c r="F935" i="17"/>
  <c r="F934" i="17"/>
  <c r="G933" i="17"/>
  <c r="G934" i="17"/>
  <c r="G935" i="17"/>
  <c r="G936" i="17"/>
  <c r="G937" i="17"/>
  <c r="G938" i="17"/>
  <c r="G939" i="17"/>
  <c r="G940" i="17"/>
  <c r="G941" i="17"/>
  <c r="G942" i="17"/>
  <c r="G943" i="17"/>
  <c r="G944" i="17"/>
  <c r="G945" i="17"/>
  <c r="G946" i="17"/>
  <c r="G947" i="17"/>
  <c r="G948" i="17"/>
  <c r="G949" i="17"/>
  <c r="G950" i="17"/>
  <c r="G951" i="17"/>
  <c r="G952" i="17"/>
  <c r="G953" i="17"/>
  <c r="G954" i="17"/>
  <c r="F933" i="17"/>
  <c r="J929" i="17"/>
  <c r="E1075" i="17"/>
  <c r="F930" i="17"/>
  <c r="F931" i="17"/>
  <c r="F932" i="17"/>
  <c r="F1075" i="17"/>
  <c r="F966" i="17"/>
  <c r="F965" i="17"/>
  <c r="F964" i="17"/>
  <c r="F963" i="17"/>
  <c r="F962" i="17"/>
  <c r="F961" i="17"/>
  <c r="F960" i="17"/>
  <c r="F959" i="17"/>
  <c r="F958" i="17"/>
  <c r="F957" i="17"/>
  <c r="F956" i="17"/>
  <c r="G955" i="17"/>
  <c r="F955" i="17"/>
  <c r="G956" i="17"/>
  <c r="G957" i="17"/>
  <c r="G958" i="17"/>
  <c r="G959" i="17"/>
  <c r="G960" i="17"/>
  <c r="G961" i="17"/>
  <c r="G962" i="17"/>
  <c r="G963" i="17"/>
  <c r="G964" i="17"/>
  <c r="G965" i="17"/>
  <c r="G966" i="17"/>
  <c r="F975" i="17"/>
  <c r="F974" i="17"/>
  <c r="F973" i="17"/>
  <c r="F972" i="17"/>
  <c r="F971" i="17"/>
  <c r="F970" i="17"/>
  <c r="F969" i="17"/>
  <c r="F968" i="17"/>
  <c r="G967" i="17"/>
  <c r="F967" i="17"/>
  <c r="F1082" i="17"/>
  <c r="G968" i="17"/>
  <c r="G969" i="17"/>
  <c r="G970" i="17"/>
  <c r="G971" i="17"/>
  <c r="G972" i="17"/>
  <c r="G973" i="17"/>
  <c r="G974" i="17"/>
  <c r="G975" i="17"/>
  <c r="F990" i="17"/>
  <c r="F989" i="17"/>
  <c r="F988" i="17"/>
  <c r="F987" i="17"/>
  <c r="F986" i="17"/>
  <c r="F985" i="17"/>
  <c r="F984" i="17"/>
  <c r="F983" i="17"/>
  <c r="F982" i="17"/>
  <c r="F981" i="17"/>
  <c r="F980" i="17"/>
  <c r="F979" i="17"/>
  <c r="F978" i="17"/>
  <c r="F977" i="17"/>
  <c r="G976" i="17"/>
  <c r="F976" i="17"/>
  <c r="B1040" i="17"/>
  <c r="B1042" i="17"/>
  <c r="E1042" i="17"/>
  <c r="G977" i="17"/>
  <c r="G978" i="17"/>
  <c r="G979" i="17"/>
  <c r="G980" i="17"/>
  <c r="G981" i="17"/>
  <c r="G982" i="17"/>
  <c r="G983" i="17"/>
  <c r="G984" i="17"/>
  <c r="G985" i="17"/>
  <c r="G986" i="17"/>
  <c r="G987" i="17"/>
  <c r="G988" i="17"/>
  <c r="G989" i="17"/>
  <c r="G990" i="17"/>
  <c r="J993" i="17"/>
  <c r="E1037" i="17"/>
  <c r="F993" i="17"/>
  <c r="F992" i="17"/>
  <c r="G991" i="17"/>
  <c r="F991" i="17"/>
  <c r="F1077" i="17"/>
  <c r="B1044" i="17"/>
  <c r="I1037" i="17"/>
  <c r="K1037" i="17"/>
  <c r="J1037" i="17"/>
  <c r="G992" i="17"/>
  <c r="G993" i="17"/>
  <c r="P819" i="33"/>
  <c r="M819" i="33"/>
  <c r="J819" i="33"/>
  <c r="F819" i="33"/>
  <c r="B6" i="36"/>
  <c r="C10" i="36"/>
  <c r="C9" i="36"/>
  <c r="C8" i="36"/>
  <c r="C7" i="36"/>
  <c r="B7" i="36"/>
  <c r="B10" i="36"/>
  <c r="B8" i="36"/>
  <c r="B9" i="36"/>
  <c r="B14" i="36"/>
  <c r="B18" i="36"/>
  <c r="B16" i="36"/>
  <c r="B15" i="36"/>
  <c r="B17" i="36"/>
  <c r="E1076" i="17"/>
  <c r="D10" i="36"/>
  <c r="D9" i="36"/>
  <c r="D8" i="36"/>
  <c r="D7" i="36"/>
  <c r="C18" i="36"/>
  <c r="D18" i="36"/>
  <c r="C16" i="36"/>
  <c r="D16" i="36"/>
  <c r="C15" i="36"/>
  <c r="D15" i="36"/>
  <c r="C17" i="36"/>
  <c r="D17" i="36"/>
  <c r="P820" i="33"/>
  <c r="P821" i="33"/>
  <c r="L820" i="33"/>
  <c r="E820" i="33"/>
  <c r="G1037" i="17"/>
  <c r="F1076" i="17"/>
  <c r="E1081" i="17"/>
  <c r="F1081" i="17"/>
  <c r="E1080" i="17"/>
  <c r="F1080" i="17"/>
  <c r="E821" i="33"/>
  <c r="E822" i="33"/>
  <c r="E823" i="33"/>
  <c r="E825" i="33"/>
  <c r="I820" i="33"/>
  <c r="G820" i="33"/>
  <c r="L821" i="33"/>
  <c r="L822" i="33"/>
  <c r="L823" i="33"/>
  <c r="L825" i="33"/>
  <c r="I822" i="33"/>
  <c r="I823" i="33"/>
  <c r="I821" i="33"/>
  <c r="I825" i="33"/>
  <c r="I1041" i="17" l="1"/>
  <c r="I1042" i="17" s="1"/>
  <c r="I1043" i="17" s="1"/>
  <c r="J1040" i="17" l="1"/>
  <c r="I1040" i="17" s="1"/>
  <c r="I1045" i="17"/>
  <c r="J1045" i="17"/>
  <c r="I1044" i="17"/>
  <c r="L104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Franklin Santaella</author>
  </authors>
  <commentList>
    <comment ref="E2" authorId="0" shapeId="0" xr:uid="{E3622553-1561-40C8-BE30-BBBE8521B7C7}">
      <text>
        <r>
          <rPr>
            <sz val="11"/>
            <color theme="1"/>
            <rFont val="Calibri"/>
            <family val="2"/>
            <scheme val="minor"/>
          </rPr>
          <t xml:space="preserve">2 OT
</t>
        </r>
      </text>
    </comment>
    <comment ref="I2" authorId="0" shapeId="0" xr:uid="{9DC1A767-3C94-4DAE-B71C-712FDC106341}">
      <text>
        <r>
          <rPr>
            <sz val="11"/>
            <color theme="1"/>
            <rFont val="Calibri"/>
            <family val="2"/>
            <scheme val="minor"/>
          </rPr>
          <t>2 OT</t>
        </r>
      </text>
    </comment>
    <comment ref="E16" authorId="0" shapeId="0" xr:uid="{3D000F21-1C22-4741-9158-47D0494A1EF3}">
      <text>
        <r>
          <rPr>
            <sz val="11"/>
            <color theme="1"/>
            <rFont val="Calibri"/>
            <family val="2"/>
            <scheme val="minor"/>
          </rPr>
          <t>2 OT</t>
        </r>
      </text>
    </comment>
    <comment ref="I16" authorId="0" shapeId="0" xr:uid="{CA08C511-22B0-432F-8BBD-5CE6BB1B7A70}">
      <text>
        <r>
          <rPr>
            <sz val="11"/>
            <color theme="1"/>
            <rFont val="Calibri"/>
            <family val="2"/>
            <scheme val="minor"/>
          </rPr>
          <t>2 OT</t>
        </r>
      </text>
    </comment>
    <comment ref="E17" authorId="0" shapeId="0" xr:uid="{1AA79A2F-C678-4DFE-9884-CC62C7C2BC66}">
      <text>
        <r>
          <rPr>
            <sz val="11"/>
            <color theme="1"/>
            <rFont val="Calibri"/>
            <family val="2"/>
            <scheme val="minor"/>
          </rPr>
          <t>OT</t>
        </r>
      </text>
    </comment>
    <comment ref="I17" authorId="0" shapeId="0" xr:uid="{CE858B45-3171-4A3D-A9F2-D0652496F759}">
      <text>
        <r>
          <rPr>
            <sz val="11"/>
            <color theme="1"/>
            <rFont val="Calibri"/>
            <family val="2"/>
            <scheme val="minor"/>
          </rPr>
          <t>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Carrillo</author>
  </authors>
  <commentList>
    <comment ref="O6" authorId="0" shapeId="0" xr:uid="{00000000-0006-0000-0300-000001000000}">
      <text>
        <r>
          <rPr>
            <b/>
            <sz val="9"/>
            <color indexed="81"/>
            <rFont val="Tahoma"/>
            <family val="2"/>
          </rPr>
          <t>Carrillo:</t>
        </r>
        <r>
          <rPr>
            <sz val="9"/>
            <color indexed="81"/>
            <rFont val="Tahoma"/>
            <family val="2"/>
          </rPr>
          <t xml:space="preserve">
Please only use money you can lose in case worst luck is following you :)!</t>
        </r>
      </text>
    </comment>
    <comment ref="O7" authorId="0" shapeId="0" xr:uid="{00000000-0006-0000-0300-000002000000}">
      <text>
        <r>
          <rPr>
            <b/>
            <sz val="9"/>
            <color indexed="81"/>
            <rFont val="Tahoma"/>
            <family val="2"/>
          </rPr>
          <t>Carrillo:</t>
        </r>
        <r>
          <rPr>
            <sz val="9"/>
            <color indexed="81"/>
            <rFont val="Tahoma"/>
            <family val="2"/>
          </rPr>
          <t xml:space="preserve">
When do you expect to start to apply your Money Management plan (MMP)</t>
        </r>
      </text>
    </comment>
    <comment ref="O8" authorId="0" shapeId="0" xr:uid="{00000000-0006-0000-0300-000003000000}">
      <text>
        <r>
          <rPr>
            <b/>
            <sz val="9"/>
            <color indexed="81"/>
            <rFont val="Tahoma"/>
            <family val="2"/>
          </rPr>
          <t>Carrillo:</t>
        </r>
        <r>
          <rPr>
            <sz val="9"/>
            <color indexed="81"/>
            <rFont val="Tahoma"/>
            <family val="2"/>
          </rPr>
          <t xml:space="preserve">
Every how many months you want to make a withdrawal? (Recommended every 3 months to build a good and quick bankroll)</t>
        </r>
      </text>
    </comment>
    <comment ref="O9" authorId="0" shapeId="0" xr:uid="{00000000-0006-0000-0300-000004000000}">
      <text>
        <r>
          <rPr>
            <b/>
            <sz val="9"/>
            <color indexed="81"/>
            <rFont val="Tahoma"/>
            <family val="2"/>
          </rPr>
          <t>Carrillo:</t>
        </r>
        <r>
          <rPr>
            <sz val="9"/>
            <color indexed="81"/>
            <rFont val="Tahoma"/>
            <family val="2"/>
          </rPr>
          <t xml:space="preserve">
Recommended 60% increase in you bankroll before doing a withdrawal</t>
        </r>
      </text>
    </comment>
    <comment ref="O10" authorId="0" shapeId="0" xr:uid="{00000000-0006-0000-0300-000005000000}">
      <text>
        <r>
          <rPr>
            <b/>
            <sz val="9"/>
            <color indexed="81"/>
            <rFont val="Tahoma"/>
            <family val="2"/>
          </rPr>
          <t>Carrillo:</t>
        </r>
        <r>
          <rPr>
            <sz val="9"/>
            <color indexed="81"/>
            <rFont val="Tahoma"/>
            <family val="2"/>
          </rPr>
          <t xml:space="preserve">
Is the % of money you want to withdrawal from your profits</t>
        </r>
      </text>
    </comment>
    <comment ref="O11" authorId="0" shapeId="0" xr:uid="{00000000-0006-0000-0300-000006000000}">
      <text>
        <r>
          <rPr>
            <b/>
            <sz val="9"/>
            <color indexed="81"/>
            <rFont val="Tahoma"/>
            <family val="2"/>
          </rPr>
          <t>Carrillo:</t>
        </r>
        <r>
          <rPr>
            <sz val="9"/>
            <color indexed="81"/>
            <rFont val="Tahoma"/>
            <family val="2"/>
          </rPr>
          <t xml:space="preserve">
For a low risk you must risk no more than 2%, but better 1%
For medium risk more than 2% and less than 3%
For High risk between 3% and no more than 5%.
Never bet more than 5% of your bankroll.</t>
        </r>
      </text>
    </comment>
    <comment ref="O12" authorId="0" shapeId="0" xr:uid="{00000000-0006-0000-0300-000007000000}">
      <text>
        <r>
          <rPr>
            <b/>
            <sz val="9"/>
            <color indexed="81"/>
            <rFont val="Tahoma"/>
            <family val="2"/>
          </rPr>
          <t>Carrillo:</t>
        </r>
        <r>
          <rPr>
            <sz val="9"/>
            <color indexed="81"/>
            <rFont val="Tahoma"/>
            <family val="2"/>
          </rPr>
          <t xml:space="preserve">
This is the amount of money you would love to receive per period in order  to be Happy. (This value is important to calculate the date you will achive this as per your plan selected)</t>
        </r>
      </text>
    </comment>
    <comment ref="O14" authorId="0" shapeId="0" xr:uid="{00000000-0006-0000-0300-000008000000}">
      <text>
        <r>
          <rPr>
            <b/>
            <sz val="9"/>
            <color indexed="81"/>
            <rFont val="Tahoma"/>
            <family val="2"/>
          </rPr>
          <t>Carrillo:</t>
        </r>
        <r>
          <rPr>
            <sz val="9"/>
            <color indexed="81"/>
            <rFont val="Tahoma"/>
            <family val="2"/>
          </rPr>
          <t xml:space="preserve">
When you are following series system we recommend you to never bet to win more than 1% of your bankroll per serie. As you will be betting A-B-C or even D you can higly damage your bankroll if you lose a D or even C bet.</t>
        </r>
      </text>
    </comment>
    <comment ref="O15" authorId="0" shapeId="0" xr:uid="{00000000-0006-0000-0300-000009000000}">
      <text>
        <r>
          <rPr>
            <b/>
            <sz val="9"/>
            <color indexed="81"/>
            <rFont val="Tahoma"/>
            <family val="2"/>
          </rPr>
          <t>Carrillo:</t>
        </r>
        <r>
          <rPr>
            <sz val="9"/>
            <color indexed="81"/>
            <rFont val="Tahoma"/>
            <family val="2"/>
          </rPr>
          <t xml:space="preserve">
Some series are X - 3X - 6X but as odd is never 2.0, you can go up to 7.5X. We don’t recommend series up to D nor more than 7.5 X. Above this, your bankroll can  be really damage.</t>
        </r>
      </text>
    </comment>
  </commentList>
</comments>
</file>

<file path=xl/sharedStrings.xml><?xml version="1.0" encoding="utf-8"?>
<sst xmlns="http://schemas.openxmlformats.org/spreadsheetml/2006/main" count="2523" uniqueCount="975">
  <si>
    <t>Fecha</t>
  </si>
  <si>
    <t>Jugada</t>
  </si>
  <si>
    <t>Cuota</t>
  </si>
  <si>
    <t>Beneficio Neto</t>
  </si>
  <si>
    <t>Yield</t>
  </si>
  <si>
    <t>$</t>
  </si>
  <si>
    <t>Diario</t>
  </si>
  <si>
    <t>Semanal</t>
  </si>
  <si>
    <t>Mensual</t>
  </si>
  <si>
    <t>Unidades</t>
  </si>
  <si>
    <t>Los Angeles Lakers</t>
  </si>
  <si>
    <t>Washington Wizards</t>
  </si>
  <si>
    <t>San Antonio Spurs</t>
  </si>
  <si>
    <t>New Orleans Pelicans</t>
  </si>
  <si>
    <t>Atlanta Hawks</t>
  </si>
  <si>
    <t>Charlotte Hornets</t>
  </si>
  <si>
    <t>Miami Heat</t>
  </si>
  <si>
    <t>Dallas Mavericks</t>
  </si>
  <si>
    <t>LA Clippers</t>
  </si>
  <si>
    <t>Los Angeles Lakers @ Charlotte Hornets</t>
  </si>
  <si>
    <t>Washington Wizards @ Detroit Pistons</t>
  </si>
  <si>
    <t>San Antonio Spurs @ Chicago Bulls</t>
  </si>
  <si>
    <t>Milwaukee Bucks @ Dallas Mavericks</t>
  </si>
  <si>
    <t>New Orleans Pelicans @ Phoenix Suns</t>
  </si>
  <si>
    <t>Atlanta Hawks @ LA Clippers</t>
  </si>
  <si>
    <t>Toronto Raptors</t>
  </si>
  <si>
    <t>Memphis Grizzlies</t>
  </si>
  <si>
    <t>Golden State Warriors</t>
  </si>
  <si>
    <t>Brooklyn Nets</t>
  </si>
  <si>
    <t>New York Knicks</t>
  </si>
  <si>
    <t>Oklahoma City Thunder</t>
  </si>
  <si>
    <t>Toronto Raptors @ Brooklyn Nets</t>
  </si>
  <si>
    <t>Memphis Grizzlies @ New York Knicks</t>
  </si>
  <si>
    <t>Golden State Warriors @ Oklahoma City Thunder</t>
  </si>
  <si>
    <t>Milwaukee Bucks</t>
  </si>
  <si>
    <t>Chicago Bulls</t>
  </si>
  <si>
    <t>Phoenix Suns</t>
  </si>
  <si>
    <t>Boston Celtics</t>
  </si>
  <si>
    <t>Sacramento Kings</t>
  </si>
  <si>
    <t>Milwaukee Bucks @ Charlotte Hornets</t>
  </si>
  <si>
    <t>Chicago Bulls @ Detroit Pistons</t>
  </si>
  <si>
    <t>Memphis Grizzlies @ Boston Celtics</t>
  </si>
  <si>
    <t>Portland Trail Blazers @ New Orleans Pelicans</t>
  </si>
  <si>
    <t>Phoenix Suns @ Dallas Mavericks</t>
  </si>
  <si>
    <t>Los Angeles Lakers @ Oklahoma City Thunder</t>
  </si>
  <si>
    <t>Atlanta Hawks @ Sacramento Kings</t>
  </si>
  <si>
    <t>Cleveland Cavaliers</t>
  </si>
  <si>
    <t>Utah Jazz</t>
  </si>
  <si>
    <t>Toronto Raptors @ Cleveland Cavaliers</t>
  </si>
  <si>
    <t>Indiana Pacers @ Phoenix Suns</t>
  </si>
  <si>
    <t>Atlanta Hawks @ Utah Jazz</t>
  </si>
  <si>
    <t>Philadelphia 76ers</t>
  </si>
  <si>
    <t>Portland Trail Blazers</t>
  </si>
  <si>
    <t>Houston Rockets</t>
  </si>
  <si>
    <t>Miami Heat @ New York Knicks</t>
  </si>
  <si>
    <t>Portland Trail Blazers @ Houston Rockets</t>
  </si>
  <si>
    <t>Los Angeles Lakers @ New Orleans Pelicans</t>
  </si>
  <si>
    <t>LA Clippers @ Dallas Mavericks</t>
  </si>
  <si>
    <t>Golden State Warriors @ San Antonio Spurs</t>
  </si>
  <si>
    <t>Denver Nuggets</t>
  </si>
  <si>
    <t>Indiana Pacers</t>
  </si>
  <si>
    <t>Memphis Grizzlies @ Cleveland Cavaliers</t>
  </si>
  <si>
    <t>Oklahoma City Thunder @ Charlotte Hornets</t>
  </si>
  <si>
    <t>Los Angeles Lakers @ Milwaukee Bucks</t>
  </si>
  <si>
    <t>Orlando Magic</t>
  </si>
  <si>
    <t>LA Clippers @ Boston Celtics</t>
  </si>
  <si>
    <t>Orlando Magic @ Houston Rockets</t>
  </si>
  <si>
    <t>Golden State Warriors @ New Orleans Pelicans</t>
  </si>
  <si>
    <t>Portland Trail Blazers @ Dallas Mavericks</t>
  </si>
  <si>
    <t>Atlanta Hawks @ Phoenix Suns</t>
  </si>
  <si>
    <t>Milwaukee Bucks @ Cleveland Cavaliers</t>
  </si>
  <si>
    <t>Indiana Pacers @ Detroit Pistons</t>
  </si>
  <si>
    <t>LA Clippers @ Philadelphia 76ers</t>
  </si>
  <si>
    <t>Dallas Mavericks @ Minnesota Timberwolves</t>
  </si>
  <si>
    <t>Oklahoma City Thunder @ New Orleans Pelicans</t>
  </si>
  <si>
    <t>Golden State Warriors @ Orlando Magic</t>
  </si>
  <si>
    <t>Boston Celtics @ Brooklyn Nets</t>
  </si>
  <si>
    <t>Detroit Pistons @ Atlanta Hawks</t>
  </si>
  <si>
    <t>Memphis Grizzlies @ San Antonio Spurs</t>
  </si>
  <si>
    <t>Houston Rockets @ Cleveland Cavaliers</t>
  </si>
  <si>
    <t>Charlotte Hornets @ Indiana Pacers</t>
  </si>
  <si>
    <t>Sacramento Kings @ Oklahoma City Thunder</t>
  </si>
  <si>
    <t>LA Clippers @ Orlando Magic</t>
  </si>
  <si>
    <t>Sacramento Kings @ Memphis Grizzlies</t>
  </si>
  <si>
    <t>Philadelphia 76ers @ Milwaukee Bucks</t>
  </si>
  <si>
    <t>Atlanta Hawks @ San Antonio Spurs</t>
  </si>
  <si>
    <t>Indiana Pacers @ Cleveland Cavaliers</t>
  </si>
  <si>
    <t>Minnesota Timberwolves @ Phoenix Suns</t>
  </si>
  <si>
    <t>Portland Trail Blazers @ Golden State Warriors</t>
  </si>
  <si>
    <t>LA Clippers @ Charlotte Hornets</t>
  </si>
  <si>
    <t>Atlanta Hawks @ New Orleans Pelicans</t>
  </si>
  <si>
    <t>Detroit Pistons @ Milwaukee Bucks</t>
  </si>
  <si>
    <t>Memphis Grizzlies @ Dallas Mavericks</t>
  </si>
  <si>
    <t>Charlotte Hornets @ Atlanta Hawks</t>
  </si>
  <si>
    <t>LA Clippers @ Cleveland Cavaliers</t>
  </si>
  <si>
    <t>Portland Trail Blazers @ Oklahoma City Thunder</t>
  </si>
  <si>
    <t>San Antonio Spurs @ Phoenix Suns</t>
  </si>
  <si>
    <t>Detroit Pistons</t>
  </si>
  <si>
    <t>Detroit Pistons @ Indiana Pacers</t>
  </si>
  <si>
    <t>Portland Trail Blazers @ Milwaukee Bucks</t>
  </si>
  <si>
    <t>Houston Rockets @ Phoenix Suns</t>
  </si>
  <si>
    <t>Minnesota Timberwolves @ Sacramento Kings</t>
  </si>
  <si>
    <t>Atlanta Hawks @ Washington Wizards</t>
  </si>
  <si>
    <t>Orlando Magic @ Philadelphia 76ers</t>
  </si>
  <si>
    <t>Minnesota Timberwolves</t>
  </si>
  <si>
    <t>Detroit Pistons @ Boston Celtics</t>
  </si>
  <si>
    <t>Indiana Pacers @ Toronto Raptors</t>
  </si>
  <si>
    <t>Minnesota Timberwolves @ Oklahoma City Thunder</t>
  </si>
  <si>
    <t>Memphis Grizzlies @ New Orleans Pelicans</t>
  </si>
  <si>
    <t>Houston Rockets @ Golden State Warriors</t>
  </si>
  <si>
    <t>Phoenix Suns @ Sacramento Kings</t>
  </si>
  <si>
    <t>Cleveland Cavaliers @ Atlanta Hawks</t>
  </si>
  <si>
    <t>Philadelphia 76ers @ Brooklyn Nets</t>
  </si>
  <si>
    <t>Orlando Magic @ Detroit Pistons</t>
  </si>
  <si>
    <t>San Antonio Spurs @ Denver Nuggets</t>
  </si>
  <si>
    <t>Dallas Mavericks @ Los Angeles Lakers</t>
  </si>
  <si>
    <t>Memphis Grizzlies @ LA Clippers</t>
  </si>
  <si>
    <t>Boston Celtics @ Minnesota Timberwolves</t>
  </si>
  <si>
    <t>Toronto Raptors @ Charlotte Hornets</t>
  </si>
  <si>
    <t>Brooklyn Nets @ Milwaukee Bucks</t>
  </si>
  <si>
    <t>New Orleans Pelicans @ Golden State Warriors</t>
  </si>
  <si>
    <t>Houston Rockets @ Utah Jazz</t>
  </si>
  <si>
    <t>Atlanta Hawks @ Philadelphia 76ers</t>
  </si>
  <si>
    <t>San Antonio Spurs @ Minnesota Timberwolves</t>
  </si>
  <si>
    <t>Memphis Grizzlies @ Sacramento Kings</t>
  </si>
  <si>
    <t>Entrenamiento</t>
  </si>
  <si>
    <t>Atlanta Hawks @ Detroit Pistons</t>
  </si>
  <si>
    <t>Cleveland Cavaliers @ Indiana Pacers</t>
  </si>
  <si>
    <t>Milwaukee Bucks @ Washington Wizards</t>
  </si>
  <si>
    <t>Charlotte Hornets @ Brooklyn Nets</t>
  </si>
  <si>
    <t>Chicago Bulls @ Orlando Magic</t>
  </si>
  <si>
    <t>Phoenix Suns @ Los Angeles Lakers</t>
  </si>
  <si>
    <t>Washington Wizards @ Philadelphia 76ers</t>
  </si>
  <si>
    <t>Portland Trail Blazers @ Toronto Raptors</t>
  </si>
  <si>
    <t>New York Knicks @ Boston Celtics</t>
  </si>
  <si>
    <t>Minnesota Timberwolves @ New Orleans Pelicans</t>
  </si>
  <si>
    <t>Oklahoma City Thunder @ Golden State Warriors</t>
  </si>
  <si>
    <t>Portland Trail Blazers @ Cleveland Cavaliers</t>
  </si>
  <si>
    <t>Denver Nuggets @ Indiana Pacers</t>
  </si>
  <si>
    <t>LA Clippers @ Atlanta Hawks</t>
  </si>
  <si>
    <t>Charlotte Hornets @ New York Knicks</t>
  </si>
  <si>
    <t>Brooklyn Nets @ Chicago Bulls</t>
  </si>
  <si>
    <t>Sacramento Kings @ Houston Rockets</t>
  </si>
  <si>
    <t>Miami Heat @ Dallas Mavericks</t>
  </si>
  <si>
    <t>Golden State Warriors @ Philadelphia 76ers</t>
  </si>
  <si>
    <t>Boston Celtics @ Washington Wizards</t>
  </si>
  <si>
    <t>Utah Jazz @ Brooklyn Nets</t>
  </si>
  <si>
    <t>Los Angeles Lakers @ Toronto Raptors</t>
  </si>
  <si>
    <t>Los Angeles Lakers @ Boston Celtics</t>
  </si>
  <si>
    <t>Denver Nuggets @ Atlanta Hawks</t>
  </si>
  <si>
    <t>San Antonio Spurs @ Cleveland Cavaliers</t>
  </si>
  <si>
    <t>Utah Jazz @ New York Knicks</t>
  </si>
  <si>
    <t>Charlotte Hornets @ Toronto Raptors</t>
  </si>
  <si>
    <t>Phoenix Suns @ Houston Rockets</t>
  </si>
  <si>
    <t>LA Clippers @ Memphis Grizzlies</t>
  </si>
  <si>
    <t>New Orleans Pelicans @ Brooklyn Nets</t>
  </si>
  <si>
    <t>Golden State Warriors @ Cleveland Cavaliers</t>
  </si>
  <si>
    <t>Milwaukee Bucks @ Detroit Pistons</t>
  </si>
  <si>
    <t>LA Clippers @ Minnesota Timberwolves</t>
  </si>
  <si>
    <t>Houston Rockets @ Dallas Mavericks</t>
  </si>
  <si>
    <t>Orlando Magic @ New York Knicks</t>
  </si>
  <si>
    <t>Boston Celtics @ Toronto Raptors</t>
  </si>
  <si>
    <t>Portland Trail Blazers @ Memphis Grizzlies</t>
  </si>
  <si>
    <t>Golden State Warriors @ Chicago Bulls</t>
  </si>
  <si>
    <t>Oklahoma City Thunder @ Utah Jazz</t>
  </si>
  <si>
    <t>Sacramento Kings @ Indiana Pacers</t>
  </si>
  <si>
    <t>Phoenix Suns @ Minnesota Timberwolves</t>
  </si>
  <si>
    <t>San Antonio Spurs @ New Orleans Pelicans</t>
  </si>
  <si>
    <t>Miami Heat @ Orlando Magic</t>
  </si>
  <si>
    <t>New York Knicks @ Toronto Raptors</t>
  </si>
  <si>
    <t>LA Clippers @ Houston Rockets</t>
  </si>
  <si>
    <t>Boston Celtics @ Milwaukee Bucks</t>
  </si>
  <si>
    <t>Denver Nuggets @ Sacramento Kings</t>
  </si>
  <si>
    <t>Chicago Bulls @ Charlotte Hornets</t>
  </si>
  <si>
    <t>Cleveland Cavaliers @ Washington Wizards</t>
  </si>
  <si>
    <t>Brooklyn Nets @ Dallas Mavericks</t>
  </si>
  <si>
    <t>Minnesota Timberwolves @ Golden State Warriors</t>
  </si>
  <si>
    <t>Washington Wizards @ Indiana Pacers</t>
  </si>
  <si>
    <t>Philadelphia 76ers @ Atlanta Hawks</t>
  </si>
  <si>
    <t>Milwaukee Bucks @ Brooklyn Nets</t>
  </si>
  <si>
    <t>Sacramento Kings @ Minnesota Timberwolves</t>
  </si>
  <si>
    <t>New Orleans Pelicans @ Chicago Bulls</t>
  </si>
  <si>
    <t>Dallas Mavericks @ Utah Jazz</t>
  </si>
  <si>
    <t>Houston Rockets @ Denver Nuggets</t>
  </si>
  <si>
    <t>Cleveland Cavaliers @ Chicago Bulls</t>
  </si>
  <si>
    <t>Memphis Grizzlies @ Minnesota Timberwolves</t>
  </si>
  <si>
    <t>Atlanta Hawks @ Charlotte Hornets</t>
  </si>
  <si>
    <t>New York Knicks @ Indiana Pacers</t>
  </si>
  <si>
    <t>LA Clippers @ Oklahoma City Thunder</t>
  </si>
  <si>
    <t>Washington Wizards @ San Antonio Spurs</t>
  </si>
  <si>
    <t>Toronto Raptors @ Milwaukee Bucks</t>
  </si>
  <si>
    <t>Houston Rockets @ New Orleans Pelicans</t>
  </si>
  <si>
    <t>Orlando Magic @ Denver Nuggets</t>
  </si>
  <si>
    <t>Golden State Warriors @ Phoenix Suns</t>
  </si>
  <si>
    <t>Los Angeles Lakers @ Utah Jazz</t>
  </si>
  <si>
    <t>Miami Heat @ Boston Celtics</t>
  </si>
  <si>
    <t>Philadelphia 76ers @ New York Knicks</t>
  </si>
  <si>
    <t>Chicago Bulls @ Cleveland Cavaliers</t>
  </si>
  <si>
    <t>Dallas Mavericks @ Philadelphia 76ers</t>
  </si>
  <si>
    <t>Indiana Pacers @ New Orleans Pelicans</t>
  </si>
  <si>
    <t>Washington Wizards @ Memphis Grizzlies</t>
  </si>
  <si>
    <t>Phoenix Suns @ Golden State Warriors</t>
  </si>
  <si>
    <t>Orlando Magic @ Utah Jazz</t>
  </si>
  <si>
    <t>Los Angeles Lakers @ LA Clippers</t>
  </si>
  <si>
    <t>Chicago Bulls @ Atlanta Hawks</t>
  </si>
  <si>
    <t>San Antonio Spurs @ Washington Wizards</t>
  </si>
  <si>
    <t>Milwaukee Bucks @ Minnesota Timberwolves</t>
  </si>
  <si>
    <t>Houston Rockets @ Sacramento Kings</t>
  </si>
  <si>
    <t>Charlotte Hornets @ Cleveland Cavaliers</t>
  </si>
  <si>
    <t>Indiana Pacers @ Boston Celtics</t>
  </si>
  <si>
    <t>Dallas Mavericks @ New Orleans Pelicans</t>
  </si>
  <si>
    <t>Orlando Magic @ Golden State Warriors</t>
  </si>
  <si>
    <t>Detroit Pistons @ Portland Trail Blazers</t>
  </si>
  <si>
    <t>Washington Wizards @ Charlotte Hornets</t>
  </si>
  <si>
    <t>Brooklyn Nets @ Philadelphia 76ers</t>
  </si>
  <si>
    <t>New Orleans Pelicans @ Cleveland Cavaliers</t>
  </si>
  <si>
    <t>Milwaukee Bucks @ Indiana Pacers</t>
  </si>
  <si>
    <t>New York Knicks @ Minnesota Timberwolves</t>
  </si>
  <si>
    <t>Oklahoma City Thunder @ San Antonio Spurs</t>
  </si>
  <si>
    <t>Los Angeles Lakers @ Phoenix Suns</t>
  </si>
  <si>
    <t>Memphis Grizzlies @ Utah Jazz</t>
  </si>
  <si>
    <t>Detroit Pistons @ Sacramento Kings</t>
  </si>
  <si>
    <t>Houston Rockets @ LA Clippers</t>
  </si>
  <si>
    <t>Cleveland Cavaliers @ New York Knicks</t>
  </si>
  <si>
    <t>San Antonio Spurs @ Oklahoma City Thunder</t>
  </si>
  <si>
    <t>Dallas Mavericks @ Golden State Warriors</t>
  </si>
  <si>
    <t>Houston Rockets @ Los Angeles Lakers</t>
  </si>
  <si>
    <t>Miami Heat @ Atlanta Hawks</t>
  </si>
  <si>
    <t>Toronto Raptors @ Washington Wizards</t>
  </si>
  <si>
    <t>Boston Celtics @ Indiana Pacers</t>
  </si>
  <si>
    <t>Milwaukee Bucks @ Memphis Grizzlies</t>
  </si>
  <si>
    <t>Phoenix Suns @ New Orleans Pelicans</t>
  </si>
  <si>
    <t>LA Clippers @ Portland Trail Blazers</t>
  </si>
  <si>
    <t>Dallas Mavericks @ Sacramento Kings</t>
  </si>
  <si>
    <t>New York Knicks @ Atlanta Hawks</t>
  </si>
  <si>
    <t>Milwaukee Bucks @ Chicago Bulls</t>
  </si>
  <si>
    <t>Utah Jazz @ San Antonio Spurs</t>
  </si>
  <si>
    <t>Golden State Warriors @ Toronto Raptors</t>
  </si>
  <si>
    <t>Philadelphia 76ers @ Oklahoma City Thunder</t>
  </si>
  <si>
    <t>Memphis Grizzlies @ Washington Wizards</t>
  </si>
  <si>
    <t>Boston Celtics @ Portland Trail Blazers</t>
  </si>
  <si>
    <t>Detroit Pistons @ LA Clippers</t>
  </si>
  <si>
    <t>Sacramento Kings @ Los Angeles Lakers</t>
  </si>
  <si>
    <t>Phoenix Suns @ Washington Wizards</t>
  </si>
  <si>
    <t>Golden State Warriors @ Brooklyn Nets</t>
  </si>
  <si>
    <t>Indiana Pacers @ Houston Rockets</t>
  </si>
  <si>
    <t>New York Knicks @ New Orleans Pelicans</t>
  </si>
  <si>
    <t>Atlanta Hawks @ Oklahoma City Thunder</t>
  </si>
  <si>
    <t>Cleveland Cavaliers @ San Antonio Spurs</t>
  </si>
  <si>
    <t>Dallas Mavericks @ Portland Trail Blazers</t>
  </si>
  <si>
    <t>Philadelphia 76ers @ Memphis Grizzlies</t>
  </si>
  <si>
    <t>Sacramento Kings @ LA Clippers</t>
  </si>
  <si>
    <t>Golden State Warriors @ Charlotte Hornets</t>
  </si>
  <si>
    <t>Phoenix Suns @ Cleveland Cavaliers</t>
  </si>
  <si>
    <t>New York Knicks @ San Antonio Spurs</t>
  </si>
  <si>
    <t>Washington Wizards @ Milwaukee Bucks</t>
  </si>
  <si>
    <t>Utah Jazz @ LA Clippers</t>
  </si>
  <si>
    <t>Boston Celtics @ Sacramento Kings</t>
  </si>
  <si>
    <t>San Antonio Spurs @ Indiana Pacers</t>
  </si>
  <si>
    <t>Brooklyn Nets @ Washington Wizards</t>
  </si>
  <si>
    <t>Atlanta Hawks @ New York Knicks</t>
  </si>
  <si>
    <t>Minnesota Timberwolves @ Miami Heat</t>
  </si>
  <si>
    <t>Portland Trail Blazers @ San Antonio Spurs</t>
  </si>
  <si>
    <t>Utah Jazz @ Golden State Warriors</t>
  </si>
  <si>
    <t>Detroit Pistons @ Cleveland Cavaliers</t>
  </si>
  <si>
    <t>Indiana Pacers @ Orlando Magic</t>
  </si>
  <si>
    <t>Denver Nuggets @ Brooklyn Nets</t>
  </si>
  <si>
    <t>Minnesota Timberwolves @ Washington Wizards</t>
  </si>
  <si>
    <t>Milwaukee Bucks @ Sacramento Kings</t>
  </si>
  <si>
    <t>New York Knicks @ Detroit Pistons</t>
  </si>
  <si>
    <t>Charlotte Hornets @ Oklahoma City Thunder</t>
  </si>
  <si>
    <t>Denver Nuggets @ Philadelphia 76ers</t>
  </si>
  <si>
    <t>Golden State Warriors @ LA Clippers</t>
  </si>
  <si>
    <t>Orlando Magic @ Washington Wizards</t>
  </si>
  <si>
    <t>Utah Jazz @ Cleveland Cavaliers</t>
  </si>
  <si>
    <t>Cleveland Cavaliers @ Philadelphia 76ers</t>
  </si>
  <si>
    <t>Utah Jazz @ Chicago Bulls</t>
  </si>
  <si>
    <t>Denver Nuggets @ Dallas Mavericks</t>
  </si>
  <si>
    <t>Boston Celtics @ Miami Heat</t>
  </si>
  <si>
    <t>Atlanta Hawks @ Portland Trail Blazers</t>
  </si>
  <si>
    <t>Chicago Bulls @ Brooklyn Nets</t>
  </si>
  <si>
    <t>Portland Trail Blazers @ Sacramento Kings</t>
  </si>
  <si>
    <t>Oklahoma City Thunder @ Cleveland Cavaliers</t>
  </si>
  <si>
    <t>Boston Celtics @ Detroit Pistons</t>
  </si>
  <si>
    <t>Los Angeles Lakers @ Denver Nuggets</t>
  </si>
  <si>
    <t>Miami Heat @ Sacramento Kings</t>
  </si>
  <si>
    <t>Oklahoma City Thunder @ Milwaukee Bucks</t>
  </si>
  <si>
    <t>Chicago Bulls @ Minnesota Timberwolves</t>
  </si>
  <si>
    <t>Miami Heat @ Portland Trail Blazers</t>
  </si>
  <si>
    <t>New Orleans Pelicans @ Memphis Grizzlies</t>
  </si>
  <si>
    <t>Toronto Raptors @ Portland Trail Blazers</t>
  </si>
  <si>
    <t>New York Knicks @ Philadelphia 76ers</t>
  </si>
  <si>
    <t>Cleveland Cavaliers @ Orlando Magic</t>
  </si>
  <si>
    <t>Boston Celtics @ Chicago Bulls</t>
  </si>
  <si>
    <t>Los Angeles Lakers @ Dallas Mavericks</t>
  </si>
  <si>
    <t>Miami Heat @ Utah Jazz</t>
  </si>
  <si>
    <t>Golden State Warriors @ Minnesota Timberwolves</t>
  </si>
  <si>
    <t>New Orleans Pelicans @ San Antonio Spurs</t>
  </si>
  <si>
    <t>Miami Heat @ Phoenix Suns</t>
  </si>
  <si>
    <t>Indiana Pacers @ Atlanta Hawks</t>
  </si>
  <si>
    <t>Orlando Magic @ Cleveland Cavaliers</t>
  </si>
  <si>
    <t>Los Angeles Lakers @ Chicago Bulls</t>
  </si>
  <si>
    <t>Portland Trail Blazers @ Washington Wizards</t>
  </si>
  <si>
    <t>Sacramento Kings @ New York Knicks</t>
  </si>
  <si>
    <t>Milwaukee Bucks @ Philadelphia 76ers</t>
  </si>
  <si>
    <t>New Orleans Pelicans @ Oklahoma City Thunder</t>
  </si>
  <si>
    <t>LA Clippers @ Utah Jazz</t>
  </si>
  <si>
    <t>Los Angeles Lakers @ Cleveland Cavaliers</t>
  </si>
  <si>
    <t>Chicago Bulls @ Indiana Pacers</t>
  </si>
  <si>
    <t>Atlanta Hawks @ Boston Celtics</t>
  </si>
  <si>
    <t>Orlando Magic @ Miami Heat</t>
  </si>
  <si>
    <t>Minnesota Timberwolves @ Dallas Mavericks</t>
  </si>
  <si>
    <t>Golden State Warriors @ Utah Jazz</t>
  </si>
  <si>
    <t>Sacramento Kings @ Philadelphia 76ers</t>
  </si>
  <si>
    <t>Miami Heat @ Chicago Bulls</t>
  </si>
  <si>
    <t>Charlotte Hornets @ Dallas Mavericks</t>
  </si>
  <si>
    <t>Brooklyn Nets @ Denver Nuggets</t>
  </si>
  <si>
    <t>Detroit Pistons @ Phoenix Suns</t>
  </si>
  <si>
    <t>Oklahoma City Thunder @ Minnesota Timberwolves</t>
  </si>
  <si>
    <t>Portland Trail Blazers @ New York Knicks</t>
  </si>
  <si>
    <t>LA Clippers @ Denver Nuggets</t>
  </si>
  <si>
    <t>Brooklyn Nets @ Utah Jazz</t>
  </si>
  <si>
    <t>New Orleans Pelicans @ Philadelphia 76ers</t>
  </si>
  <si>
    <t>Chicago Bulls @ Miami Heat</t>
  </si>
  <si>
    <t>Milwaukee Bucks @ Boston Celtics</t>
  </si>
  <si>
    <t>Utah Jazz @ Toronto Raptors</t>
  </si>
  <si>
    <t>Orlando Magic @ San Antonio Spurs</t>
  </si>
  <si>
    <t>Los Angeles Lakers @ New York Knicks</t>
  </si>
  <si>
    <t>LA Clippers @ Phoenix Suns</t>
  </si>
  <si>
    <t>Houston Rockets @ Indiana Pacers</t>
  </si>
  <si>
    <t>Philadelphia 76ers @ LA Clippers</t>
  </si>
  <si>
    <t>Denver Nuggets @ Detroit Pistons</t>
  </si>
  <si>
    <t>Utah Jazz @ Indiana Pacers</t>
  </si>
  <si>
    <t>Atlanta Hawks @ Miami Heat</t>
  </si>
  <si>
    <t>Boston Celtics @ Dallas Mavericks</t>
  </si>
  <si>
    <t>Phoenix Suns @ Portland Trail Blazers</t>
  </si>
  <si>
    <t>Brooklyn Nets @ Orlando Magic</t>
  </si>
  <si>
    <t>Utah Jazz @ Atlanta Hawks</t>
  </si>
  <si>
    <t>San Antonio Spurs @ Dallas Mavericks</t>
  </si>
  <si>
    <t>Philadelphia 76ers @ Los Angeles Lakers</t>
  </si>
  <si>
    <t>New Orleans Pelicans @ Minnesota Timberwolves</t>
  </si>
  <si>
    <t>LA Clippers @ Sacramento Kings</t>
  </si>
  <si>
    <t>Washington Wizards @ Brooklyn Nets</t>
  </si>
  <si>
    <t>Houston Rockets @ Oklahoma City Thunder</t>
  </si>
  <si>
    <t>Dallas Mavericks @ San Antonio Spurs</t>
  </si>
  <si>
    <t>Utah Jazz @ Orlando Magic</t>
  </si>
  <si>
    <t>Denver Nuggets @ Chicago Bulls</t>
  </si>
  <si>
    <t>Philadelphia 76ers @ Phoenix Suns</t>
  </si>
  <si>
    <t>Memphis Grizzlies @ Portland Trail Blazers</t>
  </si>
  <si>
    <t>Cleveland Cavaliers @ Sacramento Kings</t>
  </si>
  <si>
    <t>Miami Heat @ Washington Wizards</t>
  </si>
  <si>
    <t>Utah Jazz @ Miami Heat</t>
  </si>
  <si>
    <t>Milwaukee Bucks @ Orlando Magic</t>
  </si>
  <si>
    <t>Atlanta Hawks @ Minnesota Timberwolves</t>
  </si>
  <si>
    <t>Sacramento Kings @ New Orleans Pelicans</t>
  </si>
  <si>
    <t>Cleveland Cavaliers @ Denver Nuggets</t>
  </si>
  <si>
    <t>Memphis Grizzlies @ Golden State Warriors</t>
  </si>
  <si>
    <t>Oklahoma City Thunder @ Los Angeles Lakers</t>
  </si>
  <si>
    <t>Dallas Mavericks @ Phoenix Suns</t>
  </si>
  <si>
    <t>Washington Wizards @ Cleveland Cavaliers</t>
  </si>
  <si>
    <t>Chicago Bulls @ Boston Celtics</t>
  </si>
  <si>
    <t>Indiana Pacers @ Brooklyn Nets</t>
  </si>
  <si>
    <t>Portland Trail Blazers @ Minnesota Timberwolves</t>
  </si>
  <si>
    <t>Miami Heat @ New Orleans Pelicans</t>
  </si>
  <si>
    <t>Sacramento Kings @ Utah Jazz</t>
  </si>
  <si>
    <t>Memphis Grizzlies @ Denver Nuggets</t>
  </si>
  <si>
    <t>San Antonio Spurs @ Golden State Warriors</t>
  </si>
  <si>
    <t>Picks</t>
  </si>
  <si>
    <t>Valida Cuotas</t>
  </si>
  <si>
    <t>Bankroll (700$)</t>
  </si>
  <si>
    <t>Stake Minimo</t>
  </si>
  <si>
    <t>Stake Maximo</t>
  </si>
  <si>
    <t>Acierto</t>
  </si>
  <si>
    <t>Ganancia</t>
  </si>
  <si>
    <t>Retiro</t>
  </si>
  <si>
    <t>Ganancia Neta</t>
  </si>
  <si>
    <t>Bankroll+Ganancia</t>
  </si>
  <si>
    <t>ROI</t>
  </si>
  <si>
    <t>Rollover</t>
  </si>
  <si>
    <t>Stop-Loss</t>
  </si>
  <si>
    <t>Stop-Win</t>
  </si>
  <si>
    <t>Semana</t>
  </si>
  <si>
    <t>Un ROI objetivo del 5% mensual</t>
  </si>
  <si>
    <t>Semana 1</t>
  </si>
  <si>
    <t>Semana 2</t>
  </si>
  <si>
    <t>Semana 3</t>
  </si>
  <si>
    <t>ENTRENAMIENTO</t>
  </si>
  <si>
    <t>Semana 4</t>
  </si>
  <si>
    <t>Semana 5</t>
  </si>
  <si>
    <t>Semana 6</t>
  </si>
  <si>
    <t>Semana 7</t>
  </si>
  <si>
    <t>Semana 8</t>
  </si>
  <si>
    <t>Semana 9</t>
  </si>
  <si>
    <t>Semana 10</t>
  </si>
  <si>
    <t>Semana 11</t>
  </si>
  <si>
    <t>Semana 12</t>
  </si>
  <si>
    <t>Semana 13</t>
  </si>
  <si>
    <t>Semana 14</t>
  </si>
  <si>
    <t>Total</t>
  </si>
  <si>
    <t>E1</t>
  </si>
  <si>
    <t>Partido</t>
  </si>
  <si>
    <t>Visitante</t>
  </si>
  <si>
    <t>Pro</t>
  </si>
  <si>
    <t>Real</t>
  </si>
  <si>
    <t>OU_V</t>
  </si>
  <si>
    <t>Home</t>
  </si>
  <si>
    <t>Pro2</t>
  </si>
  <si>
    <t>Real3</t>
  </si>
  <si>
    <t>O/U_H</t>
  </si>
  <si>
    <t>Tot</t>
  </si>
  <si>
    <t>Tot R</t>
  </si>
  <si>
    <t>O/U_T</t>
  </si>
  <si>
    <t>Dif</t>
  </si>
  <si>
    <t>Real4</t>
  </si>
  <si>
    <t>W/L</t>
  </si>
  <si>
    <t>Mes</t>
  </si>
  <si>
    <t>Golden State Warriors @ Los Angeles Lakers</t>
  </si>
  <si>
    <t>Brooklyn Nets @ Charlotte Hornets</t>
  </si>
  <si>
    <t>Toronto Raptors @ Atlanta Hawks</t>
  </si>
  <si>
    <t>Philadelphia 76ers @ Boston Celtics</t>
  </si>
  <si>
    <t>Detroit Pistons @ Chicago Bulls</t>
  </si>
  <si>
    <t>Sacramento Kings @ Phoenix Suns</t>
  </si>
  <si>
    <t>Minnesota Timberwolves @ Portland Trail Blazers</t>
  </si>
  <si>
    <t>Oklahoma City Thunder @ Indiana Pacers</t>
  </si>
  <si>
    <t>Denver Nuggets @ Golden State Warriors</t>
  </si>
  <si>
    <t>Milwaukee Bucks @ Toronto Raptors</t>
  </si>
  <si>
    <t>Atlanta Hawks @ Orlando Magic</t>
  </si>
  <si>
    <t>Cleveland Cavaliers @ Brooklyn Nets</t>
  </si>
  <si>
    <t>Boston Celtics @ New York Knicks</t>
  </si>
  <si>
    <t>Detroit Pistons @ Houston Rockets</t>
  </si>
  <si>
    <t>Miami Heat @ Memphis Grizzlies</t>
  </si>
  <si>
    <t>Washington Wizards @ Dallas Mavericks</t>
  </si>
  <si>
    <t>Minnesota Timberwolves @ Los Angeles Lakers</t>
  </si>
  <si>
    <t>Golden State Warriors @ Portland Trail Blazers</t>
  </si>
  <si>
    <t>Utah Jazz @ Sacramento Kings</t>
  </si>
  <si>
    <t>Phoenix Suns @ LA Clippers'</t>
  </si>
  <si>
    <t>Oklahoma City Thunder @ Atlanta Hawks</t>
  </si>
  <si>
    <t>Charlotte Hornets @ Philadelphia 76ers</t>
  </si>
  <si>
    <t>Indiana Pacers @ Memphis Grizzlies</t>
  </si>
  <si>
    <t>Phoenix Suns @ Denver Nuggets</t>
  </si>
  <si>
    <t>Brooklyn Nets @ San Antonio Spurs</t>
  </si>
  <si>
    <t>New York Knicks @ Miami Heat</t>
  </si>
  <si>
    <t>Charlotte Hornets @ Washington Wizards</t>
  </si>
  <si>
    <t>Indiana Pacers @ Minnesota Timberwolves</t>
  </si>
  <si>
    <t>Toronto Raptors @ Dallas Mavericks</t>
  </si>
  <si>
    <t>Portland Trail Blazers @ LA Clippers</t>
  </si>
  <si>
    <t>Los Angeles Lakers @ Sacramento Kings</t>
  </si>
  <si>
    <t>Cleveland Cavaliers @ Detroit Pistons</t>
  </si>
  <si>
    <t>Atlanta Hawks @ Chicago Bulls</t>
  </si>
  <si>
    <t>Brooklyn Nets @ Houston Rockets</t>
  </si>
  <si>
    <t>Boston Celtics @ New Orleans Pelicans</t>
  </si>
  <si>
    <t>Toronto Raptors @ San Antonio Spurs</t>
  </si>
  <si>
    <t>Oklahoma City Thunder @ Dallas Mavericks</t>
  </si>
  <si>
    <t>Phoenix Suns @ Utah Jazz</t>
  </si>
  <si>
    <t>Denver Nuggets @ Minnesota Timberwolves</t>
  </si>
  <si>
    <t>Portland Trail Blazers @ Los Angeles Lakers</t>
  </si>
  <si>
    <t>Philadelphia 76ers @ Washington Wizards</t>
  </si>
  <si>
    <t>Charlotte Hornets @ Miami Heat</t>
  </si>
  <si>
    <t>New York Knicks @ Milwaukee Bucks</t>
  </si>
  <si>
    <t>LA Clippers @ Golden State Warriors</t>
  </si>
  <si>
    <t>Houston Rockets @ Toronto Raptors</t>
  </si>
  <si>
    <t>Cleveland Cavaliers @ Boston Celtics</t>
  </si>
  <si>
    <t>Atlanta Hawks @ Brooklyn Nets</t>
  </si>
  <si>
    <t>Sacramento Kings @ Chicago Bulls</t>
  </si>
  <si>
    <t>Indiana Pacers @ Dallas Mavericks</t>
  </si>
  <si>
    <t>New Orleans Pelicans @ Denver Nuggets</t>
  </si>
  <si>
    <t>Portland Trail Blazers @ Utah Jazz</t>
  </si>
  <si>
    <t>Los Angeles Lakers @ Minnesota Timberwolves</t>
  </si>
  <si>
    <t>Memphis Grizzlies @ Phoenix Suns</t>
  </si>
  <si>
    <t>Orlando Magic @ Charlotte Hornets</t>
  </si>
  <si>
    <t>Golden State Warriors @ Milwaukee Bucks</t>
  </si>
  <si>
    <t>Washington Wizards @ Oklahoma City Thunder</t>
  </si>
  <si>
    <t>Miami Heat @ San Antonio Spurs</t>
  </si>
  <si>
    <t>Atlanta Hawks @ Indiana Pacers</t>
  </si>
  <si>
    <t>Boston Celtics @ Philadelphia 76ers</t>
  </si>
  <si>
    <t>New York Knicks @ Chicago Bulls</t>
  </si>
  <si>
    <t>Los Angeles Lakers @ Memphis Grizzlies</t>
  </si>
  <si>
    <t>Utah Jazz @ Phoenix Suns</t>
  </si>
  <si>
    <t>Denver Nuggets @ Portland Trail Blazers</t>
  </si>
  <si>
    <t>New Orleans Pelicans @ LA Clippers</t>
  </si>
  <si>
    <t>Sacramento Kings @ Milwaukee Bucks</t>
  </si>
  <si>
    <t>Minnesota Timberwolves @ Charlotte Hornets</t>
  </si>
  <si>
    <t>Golden State Warriors @ Indiana Pacers</t>
  </si>
  <si>
    <t>Houston Rockets @ Boston Celtics</t>
  </si>
  <si>
    <t>Dallas Mavericks @ Detroit Pistons</t>
  </si>
  <si>
    <t>Utah Jazz @ Charlotte Hornets</t>
  </si>
  <si>
    <t>Atlanta Hawks @ Cleveland Cavaliers</t>
  </si>
  <si>
    <t>Memphis Grizzlies @ Toronto Raptors</t>
  </si>
  <si>
    <t>Chicago Bulls @ New York Knicks</t>
  </si>
  <si>
    <t>Miami Heat @ Los Angeles Lakers</t>
  </si>
  <si>
    <t>Minnesota Timberwolves @ Brooklyn Nets</t>
  </si>
  <si>
    <t>Utah Jazz @ Boston Celtics</t>
  </si>
  <si>
    <t>Washington Wizards @ New York Knicks</t>
  </si>
  <si>
    <t>Dallas Mavericks @ Houston Rockets</t>
  </si>
  <si>
    <t>Detroit Pistons @ Memphis Grizzlies</t>
  </si>
  <si>
    <t>Sacramento Kings @ Denver Nuggets</t>
  </si>
  <si>
    <t>Los Angeles Lakers @ Portland Trail Blazers</t>
  </si>
  <si>
    <t>Miami Heat @ LA Clippers</t>
  </si>
  <si>
    <t>Orlando Magic @ Atlanta Hawks</t>
  </si>
  <si>
    <t>Philadelphia 76ers @ Chicago Bulls</t>
  </si>
  <si>
    <t>Charlotte Hornets @ New Orleans Pelicans</t>
  </si>
  <si>
    <t>Oklahoma City Thunder @ LA Clippers</t>
  </si>
  <si>
    <t>Philadelphia 76ers @ Cleveland Cavaliers</t>
  </si>
  <si>
    <t>Utah Jazz @ Detroit Pistons</t>
  </si>
  <si>
    <t>Brooklyn Nets @ Indiana Pacers</t>
  </si>
  <si>
    <t>Washington Wizards @ Boston Celtics</t>
  </si>
  <si>
    <t>Minnesota Timberwolves @ New York Knicks</t>
  </si>
  <si>
    <t>Houston Rockets @ Memphis Grizzlies</t>
  </si>
  <si>
    <t>New Orleans Pelicans @ Dallas Mavericks</t>
  </si>
  <si>
    <t>Miami Heat @ Denver Nuggets</t>
  </si>
  <si>
    <t>San Antonio Spurs @ Los Angeles Lakers</t>
  </si>
  <si>
    <t>Oklahoma City Thunder @ Portland Trail Blazers</t>
  </si>
  <si>
    <t>Golden State Warriors @ Sacramento Kings</t>
  </si>
  <si>
    <t>Boston Celtics @ Orlando Magic</t>
  </si>
  <si>
    <t>Detroit Pistons @ Brooklyn Nets</t>
  </si>
  <si>
    <t>Houston Rockets @ San Antonio Spurs</t>
  </si>
  <si>
    <t>Dallas Mavericks @ Memphis Grizzlies</t>
  </si>
  <si>
    <t>Chicago Bulls @ Milwaukee Bucks</t>
  </si>
  <si>
    <t>Utah Jazz @ Minnesota Timberwolves</t>
  </si>
  <si>
    <t>Golden State Warriors @ Denver Nuggets</t>
  </si>
  <si>
    <t>Oklahoma City Thunder @ Sacramento Kings</t>
  </si>
  <si>
    <t>Dallas Mavericks @ Washington Wizards</t>
  </si>
  <si>
    <t>Toronto Raptors @ Philadelphia 76ers</t>
  </si>
  <si>
    <t>Los Angeles Lakers @ Atlanta Hawks</t>
  </si>
  <si>
    <t>Portland Trail Blazers @ Miami Heat</t>
  </si>
  <si>
    <t>Indiana Pacers @ Denver Nuggets</t>
  </si>
  <si>
    <t>Phoenix Suns @ LA Clippers</t>
  </si>
  <si>
    <t>Houston Rockets @ Milwaukee Bucks</t>
  </si>
  <si>
    <t>Brooklyn Nets @ New York Knicks</t>
  </si>
  <si>
    <t>Oklahoma City Thunder @ Memphis Grizzlies</t>
  </si>
  <si>
    <t>Detroit Pistons @ Philadelphia 76ers</t>
  </si>
  <si>
    <t>Indiana Pacers @ Golden State Warriors</t>
  </si>
  <si>
    <t>Portland Trail Blazers @ Orlando Magic</t>
  </si>
  <si>
    <t>Cleveland Cavaliers @ Miami Heat</t>
  </si>
  <si>
    <t>Minnesota Timberwolves @ Utah Jazz</t>
  </si>
  <si>
    <t>Indiana Pacers @ Utah Jazz</t>
  </si>
  <si>
    <t>Washington Wizards @ Houston Rockets</t>
  </si>
  <si>
    <t>Denver Nuggets @ LA Clippers</t>
  </si>
  <si>
    <t>Philadelphia 76ers @ Detroit Pistons</t>
  </si>
  <si>
    <t>Charlotte Hornets @ Milwaukee Bucks</t>
  </si>
  <si>
    <t>Toronto Raptors @ Indiana Pacers</t>
  </si>
  <si>
    <t>Sacramento Kings @ San Antonio Spurs</t>
  </si>
  <si>
    <t>Chicago Bulls @ Utah Jazz</t>
  </si>
  <si>
    <t>Chicago Bulls @ Denver Nuggets</t>
  </si>
  <si>
    <t>Utah Jazz @ Los Angeles Lakers</t>
  </si>
  <si>
    <t>Golden State Warriors @ Miami Heat</t>
  </si>
  <si>
    <t>Washington Wizards @ Minnesota Timberwolves</t>
  </si>
  <si>
    <t>Denver Nuggets @ New Orleans Pelicans</t>
  </si>
  <si>
    <t>New York Knicks @ Dallas Mavericks</t>
  </si>
  <si>
    <t>Chicago Bulls @ Portland Trail Blazers</t>
  </si>
  <si>
    <t>Brooklyn Nets @ Boston Celtics</t>
  </si>
  <si>
    <t>Washington Wizards @ Toronto Raptors</t>
  </si>
  <si>
    <t>Denver Nuggets @ Houston Rockets</t>
  </si>
  <si>
    <t>New York Knicks @ Orlando Magic</t>
  </si>
  <si>
    <t>Washington Wizards @ Chicago Bulls</t>
  </si>
  <si>
    <t>Miami Heat @ Philadelphia 76ers</t>
  </si>
  <si>
    <t>Orlando Magic @ Boston Celtics</t>
  </si>
  <si>
    <t>Brooklyn Nets @ Toronto Raptors</t>
  </si>
  <si>
    <t>Cleveland Cavaliers @ Toronto Raptors</t>
  </si>
  <si>
    <t>New York Knicks @ Brooklyn Nets</t>
  </si>
  <si>
    <t>Dallas Mavericks @ Miami Heat</t>
  </si>
  <si>
    <t>Denver Nuggets @ Memphis Grizzlies</t>
  </si>
  <si>
    <t>Chicago Bulls @ New Orleans Pelicans</t>
  </si>
  <si>
    <t>LA Clippers @ Los Angeles Lakers</t>
  </si>
  <si>
    <t>New York Knicks @ Charlotte Hornets</t>
  </si>
  <si>
    <t>Milwaukee Bucks @ Miami Heat</t>
  </si>
  <si>
    <t>San Antonio Spurs @ Portland Trail Blazers</t>
  </si>
  <si>
    <t>Milwaukee Bucks @ New York Knicks</t>
  </si>
  <si>
    <t>Phoenix Suns @ Oklahoma City Thunder</t>
  </si>
  <si>
    <t>Detroit Pistons @ Miami Heat</t>
  </si>
  <si>
    <t>Denver Nuggets @ Phoenix Suns</t>
  </si>
  <si>
    <t>Dallas Mavericks @ LA Clippers</t>
  </si>
  <si>
    <t>Boston Celtics @ Cleveland Cavaliers</t>
  </si>
  <si>
    <t>Toronto Raptors @ New York Knicks</t>
  </si>
  <si>
    <t>New Orleans Pelicans @ Los Angeles Lakers</t>
  </si>
  <si>
    <t>LA Clippers @ Miami Heat</t>
  </si>
  <si>
    <t>Dallas Mavericks @ Denver Nuggets</t>
  </si>
  <si>
    <t>San Antonio Spurs @ Orlando Magic</t>
  </si>
  <si>
    <t>Portland Trail Blazers @ Detroit Pistons</t>
  </si>
  <si>
    <t>Indiana Pacers @ Chicago Bulls</t>
  </si>
  <si>
    <t>Dallas Mavericks @ Oklahoma City Thunder</t>
  </si>
  <si>
    <t>Sacramento Kings @ Miami Heat</t>
  </si>
  <si>
    <t>Denver Nuggets @ Charlotte Hornets</t>
  </si>
  <si>
    <t>Los Angeles Lakers @ Philadelphia 76ers</t>
  </si>
  <si>
    <t>Indiana Pacers @ Philadelphia 76ers</t>
  </si>
  <si>
    <t>Utah Jazz @ Memphis Grizzlies</t>
  </si>
  <si>
    <t>Toronto Raptors @ Miami Heat</t>
  </si>
  <si>
    <t>San Antonio Spurs @ New York Knicks</t>
  </si>
  <si>
    <t>Miami Heat @ Brooklyn Nets</t>
  </si>
  <si>
    <t>Detroit Pistons @ Dallas Mavericks</t>
  </si>
  <si>
    <t>Sacramento Kings @ Portland Trail Blazers</t>
  </si>
  <si>
    <t>San Antonio Spurs @ Atlanta Hawks</t>
  </si>
  <si>
    <t>Charlotte Hornets @ Detroit Pistons</t>
  </si>
  <si>
    <t>Utah Jazz @ Denver Nuggets</t>
  </si>
  <si>
    <t>Memphis Grizzlies @ Oklahoma City Thunder</t>
  </si>
  <si>
    <t>Orlando Magic @ Portland Trail Blazers</t>
  </si>
  <si>
    <t>Minnesota Timberwolves @ Denver Nuggets</t>
  </si>
  <si>
    <t>Charlotte Hornets @ Orlando Magic</t>
  </si>
  <si>
    <t>Detroit Pistons @ Utah Jazz</t>
  </si>
  <si>
    <t>Denver Nuggets @ Orlando Magic</t>
  </si>
  <si>
    <t>Indiana Pacers @ Miami Heat</t>
  </si>
  <si>
    <t>Cleveland Cavaliers @ Houston Rockets</t>
  </si>
  <si>
    <t>Brooklyn Nets @ Minnesota Timberwolves</t>
  </si>
  <si>
    <t>Denver Nuggets @ Miami Heat</t>
  </si>
  <si>
    <t>Orlando Magic @ Toronto Raptors</t>
  </si>
  <si>
    <t>Minnesota Timberwolves @ Chicago Bulls</t>
  </si>
  <si>
    <t>Boston Celtics @ Utah Jazz</t>
  </si>
  <si>
    <t>Detroit Pistons @ Los Angeles Lakers</t>
  </si>
  <si>
    <t>Minnesota Timberwolves @ Atlanta Hawks</t>
  </si>
  <si>
    <t>Orlando Magic @ Indiana Pacers</t>
  </si>
  <si>
    <t>Denver Nuggets @ Toronto Raptors</t>
  </si>
  <si>
    <t>Houston Rockets @ Brooklyn Nets</t>
  </si>
  <si>
    <t>Miami Heat @ Detroit Pistons</t>
  </si>
  <si>
    <t>Philadelphia 76ers @ Dallas Mavericks</t>
  </si>
  <si>
    <t>Denver Nuggets @ Cleveland Cavaliers</t>
  </si>
  <si>
    <t>Orlando Magic @ Chicago Bulls</t>
  </si>
  <si>
    <t>Memphis Grizzlies @ Los Angeles Lakers</t>
  </si>
  <si>
    <t>Atlanta Hawks @ Toronto Raptors</t>
  </si>
  <si>
    <t>Charlotte Hornets @ Chicago Bulls</t>
  </si>
  <si>
    <t>Boston Celtics @ LA Clippers</t>
  </si>
  <si>
    <t>New Orleans Pelicans @ Miami Heat</t>
  </si>
  <si>
    <t>Oklahoma City Thunder @ Phoenix Suns</t>
  </si>
  <si>
    <t>Utah Jazz @ Portland Trail Blazers</t>
  </si>
  <si>
    <t>San Antonio Spurs @ Memphis Grizzlies</t>
  </si>
  <si>
    <t>Miami Heat @ Minnesota Timberwolves</t>
  </si>
  <si>
    <t>Denver Nuggets @ Boston Celtics</t>
  </si>
  <si>
    <t>New Orleans Pelicans @ Atlanta Hawks</t>
  </si>
  <si>
    <t>Orlando Magic @ Brooklyn Nets</t>
  </si>
  <si>
    <t>LA Clippers @ New York Knicks</t>
  </si>
  <si>
    <t>Phoenix Suns @ Memphis Grizzlies</t>
  </si>
  <si>
    <t>Utah Jazz @ Oklahoma City Thunder</t>
  </si>
  <si>
    <t>Los Angeles Lakers @ San Antonio Spurs</t>
  </si>
  <si>
    <t>Milwaukee Bucks @ Golden State Warriors</t>
  </si>
  <si>
    <t>Houston Rockets @ Portland Trail Blazers</t>
  </si>
  <si>
    <t>Indiana Pacers @ Charlotte Hornets</t>
  </si>
  <si>
    <t>Cleveland Cavaliers @ Minnesota Timberwolves</t>
  </si>
  <si>
    <t>Toronto Raptors @ Boston Celtics</t>
  </si>
  <si>
    <t>Philadelphia 76ers @ Orlando Magic</t>
  </si>
  <si>
    <t>New Orleans Pelicans @ Washington Wizards</t>
  </si>
  <si>
    <t>LA Clippers @ Brooklyn Nets</t>
  </si>
  <si>
    <t>Atlanta Hawks @ Denver Nuggets</t>
  </si>
  <si>
    <t>New York Knicks @ Phoenix Suns</t>
  </si>
  <si>
    <t>Sacramento Kings @ Golden State Warriors</t>
  </si>
  <si>
    <t>Milwaukee Bucks @ Los Angeles Lakers</t>
  </si>
  <si>
    <t>Minnesota Timberwolves @ Cleveland Cavaliers</t>
  </si>
  <si>
    <t>Miami Heat @ Indiana Pacers</t>
  </si>
  <si>
    <t>LA Clippers @ Detroit Pistons</t>
  </si>
  <si>
    <t>San Antonio Spurs @ Boston Celtics</t>
  </si>
  <si>
    <t>Dallas Mavericks @ Chicago Bulls</t>
  </si>
  <si>
    <t>Charlotte Hornets @ Utah Jazz</t>
  </si>
  <si>
    <t>New Orleans Pelicans @ Orlando Magic</t>
  </si>
  <si>
    <t>Brooklyn Nets @ Memphis Grizzlies</t>
  </si>
  <si>
    <t>Philadelphia 76ers @ Toronto Raptors</t>
  </si>
  <si>
    <t>New York Knicks @ Portland Trail Blazers</t>
  </si>
  <si>
    <t>Miami Heat @ Oklahoma City Thunder</t>
  </si>
  <si>
    <t>Milwaukee Bucks @ Denver Nuggets</t>
  </si>
  <si>
    <t>Washington Wizards @ Phoenix Suns</t>
  </si>
  <si>
    <t>Atlanta Hawks @ Golden State Warriors</t>
  </si>
  <si>
    <t>Charlotte Hornets @ LA Clippers</t>
  </si>
  <si>
    <t>Phoenix Suns @ Miami Heat</t>
  </si>
  <si>
    <t>Chicago Bulls @ Houston Rockets</t>
  </si>
  <si>
    <t>Minnesota Timberwolves @ Milwaukee Bucks</t>
  </si>
  <si>
    <t>Atlanta Hawks @ Los Angeles Lakers</t>
  </si>
  <si>
    <t>Brooklyn Nets @ New Orleans Pelicans</t>
  </si>
  <si>
    <t>New York Knicks @ Sacramento Kings</t>
  </si>
  <si>
    <t>Washington Wizards @ LA Clippers</t>
  </si>
  <si>
    <t>Memphis Grizzlies @ Orlando Magic</t>
  </si>
  <si>
    <t>Phoenix Suns @ Detroit Pistons</t>
  </si>
  <si>
    <t>Oklahoma City Thunder @ Houston Rockets</t>
  </si>
  <si>
    <t>Milwaukee Bucks @ San Antonio Spurs</t>
  </si>
  <si>
    <t>Utah Jazz @ Dallas Mavericks</t>
  </si>
  <si>
    <t>New York Knicks @ Golden State Warriors</t>
  </si>
  <si>
    <t>Charlotte Hornets @ Los Angeles Lakers</t>
  </si>
  <si>
    <t>New Orleans Pelicans @ Indiana Pacers</t>
  </si>
  <si>
    <t>LA Clippers @ Toronto Raptors</t>
  </si>
  <si>
    <t>Minnesota Timberwolves @ Houston Rockets</t>
  </si>
  <si>
    <t>Washington Wizards @ Sacramento Kings</t>
  </si>
  <si>
    <t>Boston Celtics @ Atlanta Hawks</t>
  </si>
  <si>
    <t>Phoenix Suns @ New York Knicks</t>
  </si>
  <si>
    <t>Oklahoma City Thunder @ Miami Heat</t>
  </si>
  <si>
    <t>Minnesota Timberwolves @ San Antonio Spurs</t>
  </si>
  <si>
    <t>Charlotte Hornets @ Golden State Warriors</t>
  </si>
  <si>
    <t>Washington Wizards @ Denver Nuggets</t>
  </si>
  <si>
    <t>Orlando Magic @ Memphis Grizzlies</t>
  </si>
  <si>
    <t>New Orleans Pelicans @ Houston Rockets</t>
  </si>
  <si>
    <t>Charlotte Hornets @ Denver Nuggets</t>
  </si>
  <si>
    <t>Toronto Raptors @ Los Angeles Lakers</t>
  </si>
  <si>
    <t>Milwaukee Bucks @ Atlanta Hawks</t>
  </si>
  <si>
    <t>LA Clippers @ Washington Wizards</t>
  </si>
  <si>
    <t>Dallas Mavericks @ New York Knicks</t>
  </si>
  <si>
    <t>Phoenix Suns @ Brooklyn Nets</t>
  </si>
  <si>
    <t>Miami Heat @ Golden State Warriors</t>
  </si>
  <si>
    <t>Phoenix Suns @ Philadelphia 76ers</t>
  </si>
  <si>
    <t>LA Clippers @ Chicago Bulls</t>
  </si>
  <si>
    <t>San Antonio Spurs @ Houston Rockets</t>
  </si>
  <si>
    <t>Toronto Raptors @ Golden State Warriors</t>
  </si>
  <si>
    <t>Cleveland Cavaliers @ Charlotte Hornets</t>
  </si>
  <si>
    <t>Atlanta Hawks @ Memphis Grizzlies</t>
  </si>
  <si>
    <t>Detroit Pistons @ New Orleans Pelicans</t>
  </si>
  <si>
    <t>Toronto Raptors @ Sacramento Kings</t>
  </si>
  <si>
    <t>Houston Rockets @ Philadelphia 76ers</t>
  </si>
  <si>
    <t>Denver Nuggets @ Washington Wizards</t>
  </si>
  <si>
    <t>Golden State Warriors @ Dallas Mavericks</t>
  </si>
  <si>
    <t>San Antonio Spurs @ Utah Jazz</t>
  </si>
  <si>
    <t>Houston Rockets @ Detroit Pistons</t>
  </si>
  <si>
    <t>Phoenix Suns @ Atlanta Hawks</t>
  </si>
  <si>
    <t>Sacramento Kings @ Cleveland Cavaliers</t>
  </si>
  <si>
    <t>Indiana Pacers @ Oklahoma City Thunder</t>
  </si>
  <si>
    <t>Denver Nuggets @ Milwaukee Bucks</t>
  </si>
  <si>
    <t>Sacramento Kings @ Detroit Pistons</t>
  </si>
  <si>
    <t>Toronto Raptors @ Oklahoma City Thunder</t>
  </si>
  <si>
    <t>Brooklyn Nets @ LA Clippers</t>
  </si>
  <si>
    <t>Philadelphia 76ers @ Charlotte Hornets</t>
  </si>
  <si>
    <t>Portland Trail Blazers @ Boston Celtics</t>
  </si>
  <si>
    <t>Memphis Grizzlies @ Houston Rockets</t>
  </si>
  <si>
    <t>Detroit Pistons @ Denver Nuggets</t>
  </si>
  <si>
    <t>Brooklyn Nets @ Phoenix Suns</t>
  </si>
  <si>
    <t>Charlotte Hornets @ Memphis Grizzlies</t>
  </si>
  <si>
    <t>Houston Rockets @ Atlanta Hawks</t>
  </si>
  <si>
    <t>Los Angeles Lakers @ Washington Wizards</t>
  </si>
  <si>
    <t>Toronto Raptors @ Orlando Magic</t>
  </si>
  <si>
    <t>Sacramento Kings @ Boston Celtics</t>
  </si>
  <si>
    <t>Cleveland Cavaliers @ Phoenix Suns</t>
  </si>
  <si>
    <t>Detroit Pistons @ Golden State Warriors</t>
  </si>
  <si>
    <t>San Antonio Spurs @ Charlotte Hornets</t>
  </si>
  <si>
    <t>Minnesota Timberwolves @ Memphis Grizzlies</t>
  </si>
  <si>
    <t>Brooklyn Nets @ Detroit Pistons</t>
  </si>
  <si>
    <t>Sacramento Kings @ Washington Wizards</t>
  </si>
  <si>
    <t>Cleveland Cavaliers @ Portland Trail Blazers</t>
  </si>
  <si>
    <t>Oklahoma City Thunder @ Denver Nuggets</t>
  </si>
  <si>
    <t>New Orleans Pelicans @ Charlotte Hornets</t>
  </si>
  <si>
    <t>New York Knicks @ Washington Wizards</t>
  </si>
  <si>
    <t>Los Angeles Lakers @ Brooklyn Nets</t>
  </si>
  <si>
    <t>Orlando Magic @ Oklahoma City Thunder</t>
  </si>
  <si>
    <t>Philadelphia 76ers @ Golden State Warriors</t>
  </si>
  <si>
    <t>Denver Nuggets @ New York Knicks</t>
  </si>
  <si>
    <t>Minnesota Timberwolves @ Toronto Raptors</t>
  </si>
  <si>
    <t>Boston Celtics @ Houston Rockets</t>
  </si>
  <si>
    <t>New Orleans Pelicans @ Milwaukee Bucks</t>
  </si>
  <si>
    <t>Cleveland Cavaliers @ LA Clippers</t>
  </si>
  <si>
    <t>Chicago Bulls @ Toronto Raptors</t>
  </si>
  <si>
    <t>Charlotte Hornets @ Houston Rockets</t>
  </si>
  <si>
    <t>Indiana Pacers @ Milwaukee Bucks</t>
  </si>
  <si>
    <t>Detroit Pistons @ Charlotte Hornets</t>
  </si>
  <si>
    <t>Philadelphia 76ers @ Portland Trail Blazers</t>
  </si>
  <si>
    <t>Indiana Pacers @ New York Knicks</t>
  </si>
  <si>
    <t>Detroit Pistons @ Toronto Raptors</t>
  </si>
  <si>
    <t>Dashboard NBA – Tendencias por Periodo</t>
  </si>
  <si>
    <t>Fecha de actualización</t>
  </si>
  <si>
    <t>Selecciona semana:</t>
  </si>
  <si>
    <t>Semana 17</t>
  </si>
  <si>
    <t>Total de partidos</t>
  </si>
  <si>
    <t>Over Visitantes</t>
  </si>
  <si>
    <t>Over Local</t>
  </si>
  <si>
    <t>Over Total</t>
  </si>
  <si>
    <t>Pronostico partido</t>
  </si>
  <si>
    <t>Selecciona mes:</t>
  </si>
  <si>
    <t>feb</t>
  </si>
  <si>
    <t>Suma de OU_V</t>
  </si>
  <si>
    <t>Promedio de OU_V2</t>
  </si>
  <si>
    <t>Suma de O/U_H</t>
  </si>
  <si>
    <t>Promedio de O/U_H2</t>
  </si>
  <si>
    <t>Suma de O/U_T</t>
  </si>
  <si>
    <t>Promedio de O/U_T2</t>
  </si>
  <si>
    <t>Suma de W/L</t>
  </si>
  <si>
    <t>Promedio de W/L2</t>
  </si>
  <si>
    <t>Total general</t>
  </si>
  <si>
    <t>Semana Año</t>
  </si>
  <si>
    <t>Semana Temporada</t>
  </si>
  <si>
    <t>nov</t>
  </si>
  <si>
    <t>dic</t>
  </si>
  <si>
    <t>ene</t>
  </si>
  <si>
    <t>mar</t>
  </si>
  <si>
    <t>abr</t>
  </si>
  <si>
    <t>may</t>
  </si>
  <si>
    <t>jun</t>
  </si>
  <si>
    <t>jul</t>
  </si>
  <si>
    <t>ago</t>
  </si>
  <si>
    <t>sep</t>
  </si>
  <si>
    <t>Semana 15</t>
  </si>
  <si>
    <t>Semana 16</t>
  </si>
  <si>
    <t>Semana 18</t>
  </si>
  <si>
    <t>Semana 19</t>
  </si>
  <si>
    <t>Semana 20</t>
  </si>
  <si>
    <t>Semana 21</t>
  </si>
  <si>
    <t>Semana 22</t>
  </si>
  <si>
    <t>Semana 23</t>
  </si>
  <si>
    <t>Semana 24</t>
  </si>
  <si>
    <t>Semana 25</t>
  </si>
  <si>
    <t>Semana 26</t>
  </si>
  <si>
    <t>Semana 27</t>
  </si>
  <si>
    <t>Semana 28</t>
  </si>
  <si>
    <t>Semana 29</t>
  </si>
  <si>
    <t>Semana 30</t>
  </si>
  <si>
    <t>Semana 31</t>
  </si>
  <si>
    <t>Semana 32</t>
  </si>
  <si>
    <t>Semana 33</t>
  </si>
  <si>
    <t>Semana 34</t>
  </si>
  <si>
    <t>Semana 35</t>
  </si>
  <si>
    <t>Semana 36</t>
  </si>
  <si>
    <t>Semana 37</t>
  </si>
  <si>
    <t>Semana 38</t>
  </si>
  <si>
    <t>Semana 39</t>
  </si>
  <si>
    <t>Semana 40</t>
  </si>
  <si>
    <t>Semana 41</t>
  </si>
  <si>
    <t>Semana 42</t>
  </si>
  <si>
    <t>Semana 43</t>
  </si>
  <si>
    <t>Semana 44</t>
  </si>
  <si>
    <t>Semana 45</t>
  </si>
  <si>
    <t>Semana 46</t>
  </si>
  <si>
    <t>Semana 47</t>
  </si>
  <si>
    <t>Semana 48</t>
  </si>
  <si>
    <t>Semana 49</t>
  </si>
  <si>
    <t>Semana 50</t>
  </si>
  <si>
    <t>Semana 51</t>
  </si>
  <si>
    <t>Semana 52</t>
  </si>
  <si>
    <t>K% = W - [ (1 - W) / R ]</t>
  </si>
  <si>
    <t>Milwaukee Brewers Over Individual</t>
  </si>
  <si>
    <t>Pittsburgh Pirates vs Milwaukee Brewers Over</t>
  </si>
  <si>
    <t>New York Yankees vs Toronto Blue Jays Over</t>
  </si>
  <si>
    <t>Atlanta Braves vs Seattle Mariners Over</t>
  </si>
  <si>
    <t>Texas Rangers vs Houston Astros Over</t>
  </si>
  <si>
    <t>San Francisco Giants Over Individual</t>
  </si>
  <si>
    <t>St. Louis Cardinals vs San Francisco Giants Over</t>
  </si>
  <si>
    <t>Colorado Rockies vs San Diego Padres Over</t>
  </si>
  <si>
    <t>Arizona Diamondbacks vs Boston Red Sox Over</t>
  </si>
  <si>
    <t>Kansas City Royals vs Minnesota Twins Over</t>
  </si>
  <si>
    <t>Tampa Bay Rays Over Individual</t>
  </si>
  <si>
    <t>Tampa Bay Rays vs Cleveland Guardians Over</t>
  </si>
  <si>
    <t>Miami Marlins vs Philadelphia Phillies Over</t>
  </si>
  <si>
    <t>San Francisco Giants vs Arizona Diamondbacks Over</t>
  </si>
  <si>
    <t>Philadelphia Phillies vs New York Mets Over</t>
  </si>
  <si>
    <t>Atlanta Braves vs Chicago Cubs Over</t>
  </si>
  <si>
    <t>Texas Rangers vs Milwaukee Brewers Over</t>
  </si>
  <si>
    <t>Athletics vs Boston Red Sox Over</t>
  </si>
  <si>
    <t>Los Angeles Angels vs Minnesota Twins Over</t>
  </si>
  <si>
    <t>Athletics Over Individual</t>
  </si>
  <si>
    <t>Toronto Blue Jays Over Individual</t>
  </si>
  <si>
    <t>Toronto Blue Jays vs Houston Astros Over</t>
  </si>
  <si>
    <t>Miami Marlins vs Washington Nationals Over</t>
  </si>
  <si>
    <t>Athletics vs Cincinnati Reds Over</t>
  </si>
  <si>
    <t>Atlanta Braves vs Houston Astros Over</t>
  </si>
  <si>
    <t>Minnesota Twins vs Arizona Diamondbacks Over</t>
  </si>
  <si>
    <t>Cleveland Guardians vs Chicago White Sox Over</t>
  </si>
  <si>
    <t>Boston Red Sox vs New York Yankees Over</t>
  </si>
  <si>
    <t>Toronto Blue Jays vs Baltimore Orioles Over</t>
  </si>
  <si>
    <t>San Francisco Giants vs Los Angeles Dodgers Over</t>
  </si>
  <si>
    <t>Chicago Cubs vs Tampa Bay Rays Over</t>
  </si>
  <si>
    <t>Milwaukee Brewers vs St. Louis Cardinals Over</t>
  </si>
  <si>
    <t>Miami Marlins vs Detroit Tigers Over</t>
  </si>
  <si>
    <t>Philadelphia Phillies vs Kansas City Royals Over</t>
  </si>
  <si>
    <t>Arizona Diamondbacks vs San Francisco Giants Over</t>
  </si>
  <si>
    <t>Chicago White Sox vs Baltimore Orioles Over</t>
  </si>
  <si>
    <t>Tampa Bay Rays vs Toronto Blue Jays Over</t>
  </si>
  <si>
    <t>Colorado Rockies vs Miami Marlins Over</t>
  </si>
  <si>
    <t>Minnesota Twins vs New York Yankees Over</t>
  </si>
  <si>
    <t>Los Angeles Dodgers vs Philadelphia Phillies Over</t>
  </si>
  <si>
    <t>Chicago Cubs Over Individual</t>
  </si>
  <si>
    <t>Boston Red Sox Over Individual</t>
  </si>
  <si>
    <t>Pittsburgh Pirates vs Chicago Cubs Over</t>
  </si>
  <si>
    <t>Boston Red Sox vs Athletics Over</t>
  </si>
  <si>
    <t>St. Louis Cardinals vs Cincinnati Reds Over</t>
  </si>
  <si>
    <t>Milwaukee Brewers vs Los Angeles Angels Over</t>
  </si>
  <si>
    <t>New York Mets vs San Diego Padres Over</t>
  </si>
  <si>
    <t>Baltimore Orioles vs New York Yankees Over</t>
  </si>
  <si>
    <t>Kansas City Royals vs Seattle Mariners Over</t>
  </si>
  <si>
    <t>Cincinnati Reds vs Chicago Cubs Over</t>
  </si>
  <si>
    <t>Los Angeles Dodgers vs San Francisco Giants Over</t>
  </si>
  <si>
    <t>Minnesota Twins vs Cleveland Guardians Over</t>
  </si>
  <si>
    <t>Colorado Rockies vs Los Angeles Angels Over</t>
  </si>
  <si>
    <t>Arizona Diamondbacks vs Philadelphia Phillies Over</t>
  </si>
  <si>
    <t>Pittsburgh Pirates vs Athletics Over</t>
  </si>
  <si>
    <t>Chicago White Sox vs San Diego Padres Over</t>
  </si>
  <si>
    <t>Houston Astros vs Seattle Mariners Over</t>
  </si>
  <si>
    <t>Tampa Bay Rays vs Boston Red Sox Over</t>
  </si>
  <si>
    <t>St. Louis Cardinals vs Milwaukee Brewers Over</t>
  </si>
  <si>
    <t>Kansas City Royals Over Individual</t>
  </si>
  <si>
    <t>New York Yankees Over Individual</t>
  </si>
  <si>
    <t>Kansas City Royals vs Toronto Blue Jays</t>
  </si>
  <si>
    <t>San Francisco Giants vs St. Louis Cardinals Over</t>
  </si>
  <si>
    <t>Philadelphia Phillies Over Individual</t>
  </si>
  <si>
    <t>Athletics vs Houston Astros Over</t>
  </si>
  <si>
    <t>New York Yankees vs Chicago White Sox Over</t>
  </si>
  <si>
    <t>Philadelphia Phillies vs Miami Marlins Over</t>
  </si>
  <si>
    <t>Seattle Mariners vs Colorado Rockies Over</t>
  </si>
  <si>
    <t>Cincinnati Reds vs Pittsburgh Pirates Over</t>
  </si>
  <si>
    <t>Arizona Diamondbacks vs Los Angeles Dodgers Over</t>
  </si>
  <si>
    <t>Atlanta Braves vs Washington Nationals Over</t>
  </si>
  <si>
    <t>Toronto Blue Jays vs Boston Red Sox Over</t>
  </si>
  <si>
    <t>Cleveland Guardians vs Detroit Tigers Over</t>
  </si>
  <si>
    <t>Baltimore Orioles vs Tampa Bay Rays Over</t>
  </si>
  <si>
    <t>Chicago Cubs vs New York Mets Over</t>
  </si>
  <si>
    <t>Boston Red Sox vs Detroit Tigers Over</t>
  </si>
  <si>
    <t>Athletics vs Kansas City Royals Over</t>
  </si>
  <si>
    <t>Philadelphia Phillies vs Minnesota Twins Over</t>
  </si>
  <si>
    <t>Seattle Mariners vs Los Angeles Dodgers Over</t>
  </si>
  <si>
    <t>Chicago Cubs vs St. Louis Cardinals Over</t>
  </si>
  <si>
    <t>San Diego Padres vs Arizona Diamondbacks Over</t>
  </si>
  <si>
    <t>Toronto Blue Jays vs Tampa Bay Rays Over</t>
  </si>
  <si>
    <t>Washington Nationals vs Chicago White Sox Over</t>
  </si>
  <si>
    <t>New York Yankees vs Baltimore Orioles Over</t>
  </si>
  <si>
    <t>San Francisco Giants vs Colorado Rockies Over</t>
  </si>
  <si>
    <t>Cleveland Guardians vs Texas Rangers Over</t>
  </si>
  <si>
    <t>Houston Astros Over Individual</t>
  </si>
  <si>
    <t>Miami Marlins vs New York Mets Over</t>
  </si>
  <si>
    <t>Los Angeles Angels vs Houston Astros Over</t>
  </si>
  <si>
    <t>New York Yankees vs Boston Red Sox Over</t>
  </si>
  <si>
    <t>Chicago Cubs vs San Diego Padres Over</t>
  </si>
  <si>
    <t>Toronto Blue Jays vs New York Yankees Over</t>
  </si>
  <si>
    <t>Philadelphia Phillies vs Los Angeles Dodgers Over</t>
  </si>
  <si>
    <t>Detroit Tigers vs Seattle Mariners Over</t>
  </si>
  <si>
    <t>Toronto Blue Jays vs Seattle Mariners Over</t>
  </si>
  <si>
    <t xml:space="preserve">Seattle Mariners vs Toronto Blue Jays  Over </t>
  </si>
  <si>
    <t>Bankroll (100$)</t>
  </si>
  <si>
    <t>Kelly</t>
  </si>
  <si>
    <t>Stake</t>
  </si>
  <si>
    <t>Apuesta</t>
  </si>
  <si>
    <t>Peso</t>
  </si>
  <si>
    <t>Arizona</t>
  </si>
  <si>
    <t>Ponderado</t>
  </si>
  <si>
    <t>Cleveland</t>
  </si>
  <si>
    <t>Criterio de Kelly</t>
  </si>
  <si>
    <t>Stake = (bp - q) / b, donde 'b' es la cuota decimal, 'p' es nuestra probabilidad estimada y 'q' es 1 - p.</t>
  </si>
  <si>
    <t xml:space="preserve">Bs </t>
  </si>
  <si>
    <t>Rub</t>
  </si>
  <si>
    <t>% temporada</t>
  </si>
  <si>
    <t>b = cuota</t>
  </si>
  <si>
    <t>% últimos 15 juegos</t>
  </si>
  <si>
    <t>p = probabilidad implicita</t>
  </si>
  <si>
    <t>NO</t>
  </si>
  <si>
    <t>q= analisis estadistico</t>
  </si>
  <si>
    <t>SI</t>
  </si>
  <si>
    <t>% temporada + % últimos 15 juegos</t>
  </si>
  <si>
    <t>(bp - q)/b</t>
  </si>
  <si>
    <t>% de carreras permitidas por el pitcher rival</t>
  </si>
  <si>
    <t>12.297,25 equivalian a 25.504,70 Rub</t>
  </si>
  <si>
    <t>Period</t>
  </si>
  <si>
    <t>Date of Period Start</t>
  </si>
  <si>
    <t xml:space="preserve"> Date of End Period </t>
  </si>
  <si>
    <t>Bankroll required for Withdrawl</t>
  </si>
  <si>
    <t>Withdrawal</t>
  </si>
  <si>
    <t>Bankroll after Withdrawal</t>
  </si>
  <si>
    <t>Profit required for withdawal</t>
  </si>
  <si>
    <t>Days on the Period</t>
  </si>
  <si>
    <t>% Growth per day</t>
  </si>
  <si>
    <t>$ Profit per day</t>
  </si>
  <si>
    <t>UNITS required per day to win</t>
  </si>
  <si>
    <t>Stake per pick (1 UNIT)</t>
  </si>
  <si>
    <t>Profit to look for per serie</t>
  </si>
  <si>
    <t>Max allowed lost PICK per serie</t>
  </si>
  <si>
    <t>Bankroll (8000€)</t>
  </si>
  <si>
    <t>Selections</t>
  </si>
  <si>
    <t>Initial bankroll</t>
  </si>
  <si>
    <t>Starting date</t>
  </si>
  <si>
    <t>Months between withdrawals</t>
  </si>
  <si>
    <t>% Increase Bankroll required for withdrawal</t>
  </si>
  <si>
    <t>Amount of profit to be withdrawal</t>
  </si>
  <si>
    <t>Risk per pick (1 UNIT)</t>
  </si>
  <si>
    <t>Your goal per period to be free</t>
  </si>
  <si>
    <t>Optional Selections</t>
  </si>
  <si>
    <t>Bankroll % to win per serie</t>
  </si>
  <si>
    <t>Series maximum multiplier</t>
  </si>
  <si>
    <t>Results</t>
  </si>
  <si>
    <t>When you will be achiving your goal per period?</t>
  </si>
  <si>
    <t>Inversionistas</t>
  </si>
  <si>
    <t>Monto Inicial</t>
  </si>
  <si>
    <t>%</t>
  </si>
  <si>
    <t>Monto Final</t>
  </si>
  <si>
    <t>Ysi</t>
  </si>
  <si>
    <t>Roso</t>
  </si>
  <si>
    <t>Sarahi</t>
  </si>
  <si>
    <t>Franklin</t>
  </si>
  <si>
    <t>Validacion</t>
  </si>
  <si>
    <t>Monto</t>
  </si>
  <si>
    <t>1,71*3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</si>
</sst>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164" formatCode="_ * #,##0.00_ ;_ * \-#,##0.00_ ;_ * &quot;-&quot;??_ ;_ @_ "/>
    <numFmt numFmtId="165" formatCode="#,##0.00;[Red]#,##0.00"/>
    <numFmt numFmtId="166" formatCode="#,##0;[Red]#,##0"/>
    <numFmt numFmtId="167" formatCode="&quot;$&quot;#,##0.00;[Red]&quot;$&quot;#,##0.00"/>
    <numFmt numFmtId="168" formatCode="0.0%"/>
    <numFmt numFmtId="169" formatCode="[$-F800]dddd\,\ mmmm\ dd\,\ yyyy"/>
    <numFmt numFmtId="170" formatCode="[$€-2]\ #,##0.00;[Red][$€-2]\ #,##0.00"/>
    <numFmt numFmtId="171" formatCode="_-* #,##0.000\ &quot;€&quot;_-;\-* #,##0.000\ &quot;€&quot;_-;_-* &quot;-&quot;??\ &quot;€&quot;_-;_-@_-"/>
    <numFmt numFmtId="172" formatCode="&quot;$&quot;#,##0.00"/>
    <numFmt numFmtId="173" formatCode="[$$-540A]#,##0.00;[Red][$$-540A]#,##0.00"/>
    <numFmt numFmtId="174" formatCode="dd/mm/yy;@"/>
    <numFmt numFmtId="175" formatCode="dd\-mm\-yy;@"/>
    <numFmt numFmtId="176" formatCode="0;[Red]0"/>
    <numFmt numFmtId="177" formatCode="0.00;[Red]0.00"/>
  </numFmts>
  <fonts count="23">
    <font>
      <sz val="11"/>
      <color theme="1"/>
      <name val="Calibri"/>
      <family val="2"/>
      <scheme val="minor"/>
    </font>
    <font>
      <sz val="11"/>
      <color indexed="8"/>
      <name val="Calibri"/>
      <family val="2"/>
    </font>
    <font>
      <b/>
      <sz val="11"/>
      <color indexed="8"/>
      <name val="Calibri"/>
      <family val="2"/>
    </font>
    <font>
      <b/>
      <sz val="9"/>
      <name val="Arial"/>
      <family val="2"/>
    </font>
    <font>
      <sz val="9"/>
      <name val="Arial"/>
      <family val="2"/>
    </font>
    <font>
      <sz val="9"/>
      <color indexed="30"/>
      <name val="Arial"/>
      <family val="2"/>
    </font>
    <font>
      <b/>
      <sz val="9"/>
      <color indexed="81"/>
      <name val="Tahoma"/>
      <family val="2"/>
    </font>
    <font>
      <sz val="9"/>
      <color indexed="81"/>
      <name val="Tahoma"/>
      <family val="2"/>
    </font>
    <font>
      <b/>
      <sz val="11"/>
      <color theme="1"/>
      <name val="Calibri"/>
      <family val="2"/>
      <scheme val="minor"/>
    </font>
    <font>
      <sz val="11"/>
      <color indexed="8"/>
      <name val="Calibri"/>
    </font>
    <font>
      <b/>
      <sz val="24"/>
      <color theme="1"/>
      <name val="Calibri"/>
      <family val="2"/>
      <scheme val="minor"/>
    </font>
    <font>
      <sz val="11"/>
      <color rgb="FF000000"/>
      <name val="System-Ui"/>
      <charset val="1"/>
    </font>
    <font>
      <sz val="10"/>
      <color rgb="FF1A1C1E"/>
      <name val="DM Mono"/>
      <family val="3"/>
      <charset val="1"/>
    </font>
    <font>
      <sz val="12"/>
      <color rgb="FF141414"/>
      <name val="Inter"/>
      <charset val="1"/>
    </font>
    <font>
      <sz val="11"/>
      <color rgb="FFFF0000"/>
      <name val="Calibri"/>
      <family val="2"/>
      <scheme val="minor"/>
    </font>
    <font>
      <sz val="11"/>
      <color rgb="FF000000"/>
      <name val="Calibri"/>
      <family val="2"/>
      <scheme val="minor"/>
    </font>
    <font>
      <sz val="11"/>
      <color theme="0"/>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1"/>
      <name val="Calibri"/>
      <family val="2"/>
      <scheme val="minor"/>
    </font>
    <font>
      <sz val="11"/>
      <name val="Calibri"/>
    </font>
    <font>
      <b/>
      <sz val="11"/>
      <name val="Calibri"/>
      <family val="2"/>
      <scheme val="minor"/>
    </font>
  </fonts>
  <fills count="11">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2F2F2"/>
        <bgColor indexed="64"/>
      </patternFill>
    </fill>
    <fill>
      <patternFill patternType="solid">
        <fgColor rgb="FFF0AAD4"/>
        <bgColor indexed="64"/>
      </patternFill>
    </fill>
    <fill>
      <patternFill patternType="solid">
        <fgColor rgb="FFFFFFFF"/>
        <bgColor indexed="64"/>
      </patternFill>
    </fill>
  </fills>
  <borders count="124">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diagonal/>
    </border>
    <border>
      <left/>
      <right/>
      <top/>
      <bottom style="medium">
        <color rgb="FF000000"/>
      </bottom>
      <diagonal/>
    </border>
    <border>
      <left style="thick">
        <color indexed="64"/>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style="medium">
        <color indexed="64"/>
      </bottom>
      <diagonal/>
    </border>
    <border>
      <left/>
      <right style="thick">
        <color indexed="64"/>
      </right>
      <top style="thick">
        <color indexed="64"/>
      </top>
      <bottom style="thick">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indexed="64"/>
      </right>
      <top style="medium">
        <color indexed="64"/>
      </top>
      <bottom/>
      <diagonal/>
    </border>
    <border>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style="medium">
        <color rgb="FF000000"/>
      </bottom>
      <diagonal/>
    </border>
    <border>
      <left style="thin">
        <color indexed="64"/>
      </left>
      <right style="thin">
        <color indexed="64"/>
      </right>
      <top style="medium">
        <color rgb="FF000000"/>
      </top>
      <bottom style="medium">
        <color rgb="FF000000"/>
      </bottom>
      <diagonal/>
    </border>
    <border>
      <left style="medium">
        <color rgb="FF000000"/>
      </left>
      <right style="thin">
        <color indexed="64"/>
      </right>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thin">
        <color indexed="64"/>
      </right>
      <top style="medium">
        <color rgb="FF000000"/>
      </top>
      <bottom/>
      <diagonal/>
    </border>
    <border>
      <left style="medium">
        <color rgb="FF000000"/>
      </left>
      <right style="thin">
        <color rgb="FF000000"/>
      </right>
      <top/>
      <bottom style="medium">
        <color rgb="FF000000"/>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diagonal/>
    </border>
    <border>
      <left style="medium">
        <color indexed="64"/>
      </left>
      <right style="thin">
        <color rgb="FF000000"/>
      </right>
      <top/>
      <bottom style="thin">
        <color indexed="64"/>
      </bottom>
      <diagonal/>
    </border>
    <border>
      <left style="medium">
        <color indexed="64"/>
      </left>
      <right style="thin">
        <color rgb="FF000000"/>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medium">
        <color rgb="FF000000"/>
      </top>
      <bottom/>
      <diagonal/>
    </border>
    <border>
      <left style="thin">
        <color rgb="FF000000"/>
      </left>
      <right/>
      <top/>
      <bottom/>
      <diagonal/>
    </border>
    <border>
      <left style="thin">
        <color rgb="FF000000"/>
      </left>
      <right/>
      <top/>
      <bottom style="medium">
        <color rgb="FF000000"/>
      </bottom>
      <diagonal/>
    </border>
    <border>
      <left/>
      <right style="thin">
        <color indexed="64"/>
      </right>
      <top style="medium">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s>
  <cellStyleXfs count="3">
    <xf numFmtId="0" fontId="0" fillId="0" borderId="0"/>
    <xf numFmtId="44" fontId="4" fillId="0" borderId="0" applyFont="0" applyFill="0" applyBorder="0" applyAlignment="0" applyProtection="0"/>
    <xf numFmtId="9" fontId="1" fillId="0" borderId="0" applyFont="0" applyFill="0" applyBorder="0" applyAlignment="0" applyProtection="0"/>
  </cellStyleXfs>
  <cellXfs count="658">
    <xf numFmtId="0" fontId="0" fillId="0" borderId="0" xfId="0"/>
    <xf numFmtId="166" fontId="0" fillId="0" borderId="0" xfId="0" applyNumberFormat="1"/>
    <xf numFmtId="165" fontId="0" fillId="0" borderId="0" xfId="0" applyNumberFormat="1"/>
    <xf numFmtId="0" fontId="0" fillId="0" borderId="0" xfId="0" applyAlignment="1">
      <alignment horizontal="left"/>
    </xf>
    <xf numFmtId="165" fontId="0" fillId="0" borderId="7" xfId="0" applyNumberFormat="1" applyBorder="1" applyAlignment="1">
      <alignment horizontal="center" vertical="center"/>
    </xf>
    <xf numFmtId="166" fontId="0" fillId="0" borderId="7" xfId="0" applyNumberFormat="1" applyBorder="1" applyAlignment="1">
      <alignment horizontal="center" vertical="center"/>
    </xf>
    <xf numFmtId="10" fontId="0" fillId="0" borderId="8" xfId="0" applyNumberFormat="1" applyBorder="1" applyAlignment="1">
      <alignment horizontal="center" vertical="center"/>
    </xf>
    <xf numFmtId="166" fontId="0" fillId="0" borderId="9" xfId="0" applyNumberFormat="1" applyBorder="1" applyAlignment="1">
      <alignment horizontal="center" vertical="center"/>
    </xf>
    <xf numFmtId="165" fontId="0" fillId="0" borderId="9" xfId="0" applyNumberFormat="1" applyBorder="1" applyAlignment="1">
      <alignment horizontal="center" vertical="center"/>
    </xf>
    <xf numFmtId="10" fontId="1" fillId="0" borderId="11" xfId="0" applyNumberFormat="1" applyFont="1" applyBorder="1"/>
    <xf numFmtId="10" fontId="1" fillId="0" borderId="13" xfId="0" applyNumberFormat="1" applyFont="1" applyBorder="1"/>
    <xf numFmtId="165" fontId="0" fillId="0" borderId="4" xfId="0" applyNumberFormat="1" applyBorder="1"/>
    <xf numFmtId="165" fontId="0" fillId="0" borderId="5" xfId="0" applyNumberFormat="1" applyBorder="1"/>
    <xf numFmtId="165" fontId="0" fillId="0" borderId="6" xfId="0" applyNumberFormat="1" applyBorder="1" applyAlignment="1">
      <alignment horizontal="right" vertical="center"/>
    </xf>
    <xf numFmtId="10" fontId="1" fillId="0" borderId="0" xfId="0" applyNumberFormat="1" applyFont="1"/>
    <xf numFmtId="165" fontId="0" fillId="0" borderId="0" xfId="0" applyNumberFormat="1" applyAlignment="1">
      <alignment horizontal="right" vertical="center"/>
    </xf>
    <xf numFmtId="0" fontId="0" fillId="0" borderId="15" xfId="0" applyBorder="1" applyAlignment="1">
      <alignment horizontal="left"/>
    </xf>
    <xf numFmtId="0" fontId="0" fillId="0" borderId="0" xfId="0" applyAlignment="1">
      <alignment horizontal="right"/>
    </xf>
    <xf numFmtId="10" fontId="0" fillId="0" borderId="0" xfId="0" applyNumberFormat="1"/>
    <xf numFmtId="9" fontId="0" fillId="0" borderId="0" xfId="0" applyNumberFormat="1"/>
    <xf numFmtId="0" fontId="1" fillId="0" borderId="0" xfId="0" applyFont="1"/>
    <xf numFmtId="166" fontId="0" fillId="0" borderId="16" xfId="0" applyNumberFormat="1" applyBorder="1" applyAlignment="1">
      <alignment horizontal="center" vertical="center"/>
    </xf>
    <xf numFmtId="10" fontId="0" fillId="0" borderId="17" xfId="0" applyNumberFormat="1" applyBorder="1" applyAlignment="1">
      <alignment horizontal="center" vertical="center"/>
    </xf>
    <xf numFmtId="165" fontId="0" fillId="0" borderId="13" xfId="0" applyNumberFormat="1" applyBorder="1"/>
    <xf numFmtId="165" fontId="0" fillId="0" borderId="11" xfId="0" applyNumberFormat="1" applyBorder="1"/>
    <xf numFmtId="0" fontId="0" fillId="0" borderId="0" xfId="0" applyProtection="1">
      <protection locked="0"/>
    </xf>
    <xf numFmtId="17" fontId="0" fillId="0" borderId="0" xfId="0" applyNumberFormat="1" applyProtection="1">
      <protection hidden="1"/>
    </xf>
    <xf numFmtId="167" fontId="0" fillId="0" borderId="0" xfId="0" applyNumberFormat="1" applyProtection="1">
      <protection hidden="1"/>
    </xf>
    <xf numFmtId="0" fontId="5" fillId="0" borderId="0" xfId="0" applyFont="1" applyProtection="1">
      <protection hidden="1"/>
    </xf>
    <xf numFmtId="167" fontId="5" fillId="0" borderId="0" xfId="0" applyNumberFormat="1" applyFont="1" applyProtection="1">
      <protection locked="0"/>
    </xf>
    <xf numFmtId="17" fontId="5" fillId="0" borderId="0" xfId="0" applyNumberFormat="1" applyFont="1" applyProtection="1">
      <protection locked="0"/>
    </xf>
    <xf numFmtId="0" fontId="5" fillId="0" borderId="0" xfId="0" applyFont="1" applyProtection="1">
      <protection locked="0"/>
    </xf>
    <xf numFmtId="0" fontId="5" fillId="0" borderId="0" xfId="0" applyFont="1" applyAlignment="1" applyProtection="1">
      <alignment wrapText="1"/>
      <protection hidden="1"/>
    </xf>
    <xf numFmtId="168" fontId="5" fillId="0" borderId="0" xfId="0" applyNumberFormat="1" applyFont="1" applyProtection="1">
      <protection locked="0"/>
    </xf>
    <xf numFmtId="0" fontId="4" fillId="0" borderId="0" xfId="0" applyFont="1" applyProtection="1">
      <protection hidden="1"/>
    </xf>
    <xf numFmtId="170" fontId="0" fillId="0" borderId="0" xfId="0" applyNumberFormat="1"/>
    <xf numFmtId="171" fontId="0" fillId="0" borderId="0" xfId="0" applyNumberFormat="1"/>
    <xf numFmtId="165" fontId="0" fillId="0" borderId="18" xfId="0" applyNumberFormat="1" applyBorder="1" applyAlignment="1">
      <alignment horizontal="right" vertical="center"/>
    </xf>
    <xf numFmtId="165" fontId="0" fillId="0" borderId="19" xfId="0" applyNumberFormat="1" applyBorder="1" applyAlignment="1">
      <alignment horizontal="right" vertical="center"/>
    </xf>
    <xf numFmtId="165" fontId="0" fillId="0" borderId="20" xfId="0" applyNumberFormat="1" applyBorder="1" applyAlignment="1">
      <alignment horizontal="right" vertical="center"/>
    </xf>
    <xf numFmtId="165" fontId="0" fillId="0" borderId="22" xfId="0" applyNumberFormat="1" applyBorder="1" applyAlignment="1">
      <alignment horizontal="right" vertical="center"/>
    </xf>
    <xf numFmtId="165" fontId="0" fillId="0" borderId="23" xfId="0" applyNumberFormat="1" applyBorder="1" applyAlignment="1">
      <alignment horizontal="right" vertical="center"/>
    </xf>
    <xf numFmtId="0" fontId="8" fillId="0" borderId="0" xfId="0" applyFont="1"/>
    <xf numFmtId="165" fontId="8" fillId="0" borderId="24" xfId="0" applyNumberFormat="1" applyFont="1" applyBorder="1"/>
    <xf numFmtId="10" fontId="8" fillId="0" borderId="24" xfId="0" applyNumberFormat="1" applyFont="1" applyBorder="1"/>
    <xf numFmtId="10" fontId="0" fillId="0" borderId="25" xfId="0" applyNumberFormat="1" applyBorder="1"/>
    <xf numFmtId="165" fontId="0" fillId="0" borderId="24" xfId="0" applyNumberFormat="1" applyBorder="1"/>
    <xf numFmtId="10" fontId="9" fillId="0" borderId="18" xfId="0" applyNumberFormat="1" applyFont="1" applyBorder="1"/>
    <xf numFmtId="10" fontId="9" fillId="0" borderId="22" xfId="0" applyNumberFormat="1" applyFont="1" applyBorder="1"/>
    <xf numFmtId="0" fontId="0" fillId="0" borderId="28" xfId="0" applyBorder="1"/>
    <xf numFmtId="172" fontId="0" fillId="0" borderId="0" xfId="0" applyNumberFormat="1"/>
    <xf numFmtId="172" fontId="2" fillId="0" borderId="0" xfId="0" applyNumberFormat="1" applyFont="1"/>
    <xf numFmtId="0" fontId="2" fillId="0" borderId="0" xfId="0" applyFont="1"/>
    <xf numFmtId="0" fontId="2" fillId="0" borderId="0" xfId="0" applyFont="1" applyAlignment="1">
      <alignment horizontal="center"/>
    </xf>
    <xf numFmtId="167" fontId="0" fillId="0" borderId="0" xfId="0" applyNumberFormat="1"/>
    <xf numFmtId="0" fontId="2" fillId="0" borderId="30" xfId="0" applyFont="1" applyBorder="1" applyAlignment="1">
      <alignment horizontal="center"/>
    </xf>
    <xf numFmtId="172" fontId="2" fillId="0" borderId="29" xfId="0" applyNumberFormat="1" applyFont="1" applyBorder="1" applyAlignment="1">
      <alignment horizontal="center"/>
    </xf>
    <xf numFmtId="164" fontId="0" fillId="0" borderId="0" xfId="0" applyNumberFormat="1"/>
    <xf numFmtId="2" fontId="0" fillId="0" borderId="0" xfId="0" applyNumberFormat="1"/>
    <xf numFmtId="10" fontId="9" fillId="0" borderId="19" xfId="0" applyNumberFormat="1" applyFont="1" applyBorder="1"/>
    <xf numFmtId="170" fontId="0" fillId="0" borderId="5" xfId="0" applyNumberFormat="1" applyBorder="1"/>
    <xf numFmtId="172" fontId="0" fillId="0" borderId="30" xfId="0" applyNumberFormat="1" applyBorder="1"/>
    <xf numFmtId="172" fontId="0" fillId="0" borderId="38" xfId="0" applyNumberFormat="1" applyBorder="1"/>
    <xf numFmtId="10" fontId="2" fillId="0" borderId="29" xfId="0" applyNumberFormat="1" applyFont="1" applyBorder="1" applyAlignment="1">
      <alignment horizontal="center"/>
    </xf>
    <xf numFmtId="0" fontId="0" fillId="0" borderId="39" xfId="0" applyBorder="1" applyProtection="1">
      <protection hidden="1"/>
    </xf>
    <xf numFmtId="17" fontId="0" fillId="0" borderId="40" xfId="0" applyNumberFormat="1" applyBorder="1" applyProtection="1">
      <protection hidden="1"/>
    </xf>
    <xf numFmtId="0" fontId="0" fillId="0" borderId="41" xfId="0" applyBorder="1" applyProtection="1">
      <protection hidden="1"/>
    </xf>
    <xf numFmtId="0" fontId="0" fillId="0" borderId="0" xfId="0" applyProtection="1">
      <protection hidden="1"/>
    </xf>
    <xf numFmtId="167" fontId="0" fillId="0" borderId="33" xfId="0" applyNumberFormat="1" applyBorder="1" applyProtection="1">
      <protection hidden="1"/>
    </xf>
    <xf numFmtId="167" fontId="8" fillId="0" borderId="24" xfId="0" applyNumberFormat="1" applyFont="1" applyBorder="1" applyProtection="1">
      <protection hidden="1"/>
    </xf>
    <xf numFmtId="167" fontId="0" fillId="0" borderId="40" xfId="0" applyNumberFormat="1" applyBorder="1" applyProtection="1">
      <protection hidden="1"/>
    </xf>
    <xf numFmtId="0" fontId="0" fillId="0" borderId="40" xfId="0" applyBorder="1" applyProtection="1">
      <protection hidden="1"/>
    </xf>
    <xf numFmtId="10" fontId="0" fillId="0" borderId="40" xfId="0" applyNumberFormat="1" applyBorder="1"/>
    <xf numFmtId="2" fontId="0" fillId="0" borderId="40" xfId="0" applyNumberFormat="1" applyBorder="1"/>
    <xf numFmtId="167" fontId="0" fillId="0" borderId="32" xfId="0" applyNumberFormat="1" applyBorder="1" applyProtection="1">
      <protection hidden="1"/>
    </xf>
    <xf numFmtId="173" fontId="0" fillId="0" borderId="36" xfId="0" applyNumberFormat="1" applyBorder="1"/>
    <xf numFmtId="173" fontId="0" fillId="0" borderId="5" xfId="0" applyNumberFormat="1" applyBorder="1"/>
    <xf numFmtId="170" fontId="0" fillId="0" borderId="0" xfId="0" applyNumberFormat="1" applyAlignment="1">
      <alignment horizontal="left"/>
    </xf>
    <xf numFmtId="167" fontId="0" fillId="0" borderId="0" xfId="0" applyNumberFormat="1" applyProtection="1">
      <protection locked="0"/>
    </xf>
    <xf numFmtId="0" fontId="3" fillId="0" borderId="25" xfId="0" applyFont="1" applyBorder="1" applyAlignment="1" applyProtection="1">
      <alignment vertical="center"/>
      <protection hidden="1"/>
    </xf>
    <xf numFmtId="44" fontId="3" fillId="0" borderId="43" xfId="0" applyNumberFormat="1" applyFont="1" applyBorder="1" applyAlignment="1" applyProtection="1">
      <alignment vertical="center" wrapText="1"/>
      <protection hidden="1"/>
    </xf>
    <xf numFmtId="170" fontId="3" fillId="0" borderId="43" xfId="0" applyNumberFormat="1" applyFont="1" applyBorder="1" applyAlignment="1" applyProtection="1">
      <alignment vertical="center" wrapText="1"/>
      <protection hidden="1"/>
    </xf>
    <xf numFmtId="170" fontId="3" fillId="0" borderId="43" xfId="0" applyNumberFormat="1" applyFont="1" applyBorder="1" applyAlignment="1" applyProtection="1">
      <alignment horizontal="left" vertical="center" wrapText="1"/>
      <protection hidden="1"/>
    </xf>
    <xf numFmtId="171" fontId="3" fillId="0" borderId="43" xfId="0" applyNumberFormat="1" applyFont="1" applyBorder="1" applyAlignment="1" applyProtection="1">
      <alignment vertical="center" wrapText="1"/>
      <protection hidden="1"/>
    </xf>
    <xf numFmtId="170" fontId="3" fillId="0" borderId="31" xfId="0" applyNumberFormat="1" applyFont="1" applyBorder="1" applyAlignment="1" applyProtection="1">
      <alignment vertical="center" wrapText="1"/>
      <protection hidden="1"/>
    </xf>
    <xf numFmtId="170" fontId="3" fillId="0" borderId="0" xfId="0" applyNumberFormat="1" applyFont="1" applyAlignment="1" applyProtection="1">
      <alignment vertical="center" wrapText="1"/>
      <protection hidden="1"/>
    </xf>
    <xf numFmtId="0" fontId="0" fillId="0" borderId="0" xfId="0" applyAlignment="1" applyProtection="1">
      <alignment vertical="center"/>
      <protection locked="0"/>
    </xf>
    <xf numFmtId="172" fontId="0" fillId="0" borderId="18" xfId="0" applyNumberFormat="1" applyBorder="1"/>
    <xf numFmtId="0" fontId="0" fillId="0" borderId="44" xfId="0" applyBorder="1"/>
    <xf numFmtId="172" fontId="0" fillId="0" borderId="48" xfId="0" applyNumberFormat="1" applyBorder="1"/>
    <xf numFmtId="172" fontId="0" fillId="0" borderId="45" xfId="0" applyNumberFormat="1" applyBorder="1"/>
    <xf numFmtId="10" fontId="0" fillId="0" borderId="49" xfId="0" applyNumberFormat="1" applyBorder="1"/>
    <xf numFmtId="172" fontId="0" fillId="0" borderId="50" xfId="0" applyNumberFormat="1" applyBorder="1"/>
    <xf numFmtId="10" fontId="0" fillId="0" borderId="46" xfId="0" applyNumberFormat="1" applyBorder="1"/>
    <xf numFmtId="172" fontId="0" fillId="0" borderId="19" xfId="0" applyNumberFormat="1" applyBorder="1"/>
    <xf numFmtId="172" fontId="0" fillId="0" borderId="47" xfId="0" applyNumberFormat="1" applyBorder="1"/>
    <xf numFmtId="10" fontId="9" fillId="0" borderId="48" xfId="0" applyNumberFormat="1" applyFont="1" applyBorder="1"/>
    <xf numFmtId="165" fontId="0" fillId="0" borderId="48" xfId="0" applyNumberFormat="1" applyBorder="1" applyAlignment="1">
      <alignment horizontal="right" vertical="center"/>
    </xf>
    <xf numFmtId="10" fontId="0" fillId="0" borderId="0" xfId="0" applyNumberFormat="1" applyAlignment="1">
      <alignment vertical="center"/>
    </xf>
    <xf numFmtId="166" fontId="0" fillId="0" borderId="0" xfId="0" applyNumberFormat="1" applyAlignment="1">
      <alignment horizontal="right" vertical="center"/>
    </xf>
    <xf numFmtId="174" fontId="0" fillId="0" borderId="0" xfId="0" applyNumberFormat="1" applyAlignment="1">
      <alignment horizontal="center" vertical="center"/>
    </xf>
    <xf numFmtId="174" fontId="0" fillId="0" borderId="0" xfId="0" applyNumberFormat="1"/>
    <xf numFmtId="174" fontId="8" fillId="0" borderId="0" xfId="0" applyNumberFormat="1" applyFont="1" applyAlignment="1">
      <alignment horizontal="right" vertical="center"/>
    </xf>
    <xf numFmtId="165" fontId="0" fillId="0" borderId="49" xfId="0" applyNumberFormat="1" applyBorder="1" applyAlignment="1">
      <alignment horizontal="right" vertical="center"/>
    </xf>
    <xf numFmtId="0" fontId="8" fillId="5" borderId="33" xfId="0" applyFont="1" applyFill="1" applyBorder="1"/>
    <xf numFmtId="165" fontId="0" fillId="0" borderId="46" xfId="0" applyNumberFormat="1" applyBorder="1" applyAlignment="1">
      <alignment horizontal="right" vertical="center"/>
    </xf>
    <xf numFmtId="0" fontId="8" fillId="6" borderId="32" xfId="0" applyFont="1" applyFill="1" applyBorder="1"/>
    <xf numFmtId="0" fontId="8" fillId="6" borderId="33" xfId="0" applyFont="1" applyFill="1" applyBorder="1"/>
    <xf numFmtId="165" fontId="0" fillId="0" borderId="51" xfId="0" applyNumberFormat="1" applyBorder="1" applyAlignment="1">
      <alignment horizontal="right" vertical="center"/>
    </xf>
    <xf numFmtId="0" fontId="8" fillId="7" borderId="32" xfId="0" applyFont="1" applyFill="1" applyBorder="1"/>
    <xf numFmtId="0" fontId="8" fillId="7" borderId="33" xfId="0" applyFont="1" applyFill="1" applyBorder="1"/>
    <xf numFmtId="0" fontId="8" fillId="7" borderId="53" xfId="0" applyFont="1" applyFill="1" applyBorder="1"/>
    <xf numFmtId="166" fontId="0" fillId="0" borderId="25" xfId="0" applyNumberFormat="1" applyBorder="1" applyAlignment="1">
      <alignment horizontal="center" vertical="center"/>
    </xf>
    <xf numFmtId="165" fontId="0" fillId="0" borderId="54" xfId="0" applyNumberFormat="1" applyBorder="1" applyAlignment="1">
      <alignment horizontal="center" vertical="center"/>
    </xf>
    <xf numFmtId="166" fontId="0" fillId="0" borderId="54" xfId="0" applyNumberFormat="1" applyBorder="1" applyAlignment="1">
      <alignment horizontal="center" vertical="center"/>
    </xf>
    <xf numFmtId="10" fontId="0" fillId="0" borderId="54" xfId="0" applyNumberFormat="1" applyBorder="1" applyAlignment="1">
      <alignment horizontal="center" vertical="center"/>
    </xf>
    <xf numFmtId="0" fontId="0" fillId="0" borderId="31" xfId="0" applyBorder="1"/>
    <xf numFmtId="165" fontId="8" fillId="0" borderId="44" xfId="0" applyNumberFormat="1" applyFont="1" applyBorder="1" applyAlignment="1">
      <alignment horizontal="right" vertical="center"/>
    </xf>
    <xf numFmtId="165" fontId="0" fillId="8" borderId="10" xfId="0" applyNumberFormat="1" applyFill="1" applyBorder="1" applyAlignment="1">
      <alignment horizontal="right" vertical="center"/>
    </xf>
    <xf numFmtId="10" fontId="9" fillId="8" borderId="22" xfId="0" applyNumberFormat="1" applyFont="1" applyFill="1" applyBorder="1"/>
    <xf numFmtId="174" fontId="8" fillId="8" borderId="0" xfId="0" applyNumberFormat="1" applyFont="1" applyFill="1" applyAlignment="1">
      <alignment horizontal="right" vertical="center"/>
    </xf>
    <xf numFmtId="165" fontId="8" fillId="8" borderId="55" xfId="0" applyNumberFormat="1" applyFont="1" applyFill="1" applyBorder="1" applyAlignment="1">
      <alignment horizontal="right" vertical="center"/>
    </xf>
    <xf numFmtId="165" fontId="0" fillId="8" borderId="14" xfId="0" applyNumberFormat="1" applyFill="1" applyBorder="1" applyAlignment="1">
      <alignment horizontal="right" vertical="center"/>
    </xf>
    <xf numFmtId="10" fontId="9" fillId="8" borderId="21" xfId="0" applyNumberFormat="1" applyFont="1" applyFill="1" applyBorder="1"/>
    <xf numFmtId="166" fontId="0" fillId="0" borderId="56" xfId="0" applyNumberFormat="1" applyBorder="1" applyAlignment="1">
      <alignment horizontal="center" vertical="center"/>
    </xf>
    <xf numFmtId="170" fontId="0" fillId="0" borderId="0" xfId="0" applyNumberFormat="1" applyProtection="1">
      <protection hidden="1"/>
    </xf>
    <xf numFmtId="167" fontId="1" fillId="0" borderId="0" xfId="1" applyNumberFormat="1" applyFont="1" applyFill="1" applyBorder="1" applyProtection="1">
      <protection hidden="1"/>
    </xf>
    <xf numFmtId="173" fontId="0" fillId="0" borderId="24" xfId="0" applyNumberFormat="1" applyBorder="1"/>
    <xf numFmtId="173" fontId="0" fillId="0" borderId="15" xfId="0" applyNumberFormat="1" applyBorder="1" applyAlignment="1">
      <alignment horizontal="left"/>
    </xf>
    <xf numFmtId="0" fontId="0" fillId="0" borderId="50" xfId="0" applyBorder="1"/>
    <xf numFmtId="165" fontId="0" fillId="0" borderId="58" xfId="0" applyNumberFormat="1" applyBorder="1" applyAlignment="1">
      <alignment horizontal="right" vertical="center"/>
    </xf>
    <xf numFmtId="165" fontId="0" fillId="0" borderId="59" xfId="0" applyNumberFormat="1" applyBorder="1" applyAlignment="1">
      <alignment horizontal="center" vertical="center"/>
    </xf>
    <xf numFmtId="166" fontId="0" fillId="0" borderId="60" xfId="0" applyNumberFormat="1" applyBorder="1" applyAlignment="1">
      <alignment horizontal="center" vertical="center"/>
    </xf>
    <xf numFmtId="0" fontId="0" fillId="0" borderId="54" xfId="0" applyBorder="1" applyAlignment="1">
      <alignment horizontal="center"/>
    </xf>
    <xf numFmtId="10" fontId="0" fillId="0" borderId="61" xfId="0" applyNumberFormat="1" applyBorder="1" applyAlignment="1">
      <alignment horizontal="center" vertical="center"/>
    </xf>
    <xf numFmtId="165" fontId="2" fillId="2" borderId="2" xfId="0" applyNumberFormat="1" applyFont="1" applyFill="1" applyBorder="1" applyAlignment="1">
      <alignment horizontal="right" vertical="center"/>
    </xf>
    <xf numFmtId="165" fontId="0" fillId="7" borderId="3" xfId="0" applyNumberFormat="1" applyFill="1" applyBorder="1" applyAlignment="1">
      <alignment horizontal="right" vertical="center"/>
    </xf>
    <xf numFmtId="165" fontId="8" fillId="0" borderId="0" xfId="0" applyNumberFormat="1" applyFont="1"/>
    <xf numFmtId="173" fontId="0" fillId="0" borderId="0" xfId="0" applyNumberFormat="1"/>
    <xf numFmtId="0" fontId="0" fillId="0" borderId="1" xfId="0" applyBorder="1"/>
    <xf numFmtId="165" fontId="0" fillId="0" borderId="66" xfId="0" applyNumberFormat="1" applyBorder="1"/>
    <xf numFmtId="0" fontId="0" fillId="0" borderId="47" xfId="0" applyBorder="1"/>
    <xf numFmtId="0" fontId="0" fillId="0" borderId="59" xfId="0" applyBorder="1"/>
    <xf numFmtId="165" fontId="0" fillId="0" borderId="54" xfId="0" applyNumberFormat="1" applyBorder="1"/>
    <xf numFmtId="10" fontId="9" fillId="0" borderId="61" xfId="0" applyNumberFormat="1" applyFont="1" applyBorder="1"/>
    <xf numFmtId="0" fontId="0" fillId="0" borderId="72" xfId="0" applyBorder="1"/>
    <xf numFmtId="165" fontId="0" fillId="0" borderId="56" xfId="0" applyNumberFormat="1" applyBorder="1"/>
    <xf numFmtId="0" fontId="0" fillId="0" borderId="52" xfId="0" applyBorder="1"/>
    <xf numFmtId="0" fontId="0" fillId="0" borderId="0" xfId="0" applyFill="1" applyAlignment="1">
      <alignment horizontal="right"/>
    </xf>
    <xf numFmtId="173" fontId="0" fillId="0" borderId="31" xfId="0" applyNumberFormat="1" applyBorder="1"/>
    <xf numFmtId="173" fontId="0" fillId="0" borderId="42" xfId="0" applyNumberFormat="1" applyBorder="1"/>
    <xf numFmtId="165" fontId="0" fillId="0" borderId="18" xfId="0" applyNumberFormat="1" applyFill="1" applyBorder="1" applyAlignment="1">
      <alignment horizontal="right" vertical="center"/>
    </xf>
    <xf numFmtId="165" fontId="0" fillId="0" borderId="22" xfId="0" applyNumberFormat="1" applyFill="1" applyBorder="1" applyAlignment="1">
      <alignment horizontal="right" vertical="center"/>
    </xf>
    <xf numFmtId="10" fontId="1" fillId="4" borderId="57" xfId="0" applyNumberFormat="1" applyFont="1" applyFill="1" applyBorder="1"/>
    <xf numFmtId="165" fontId="0" fillId="0" borderId="0" xfId="0" applyNumberFormat="1" applyBorder="1"/>
    <xf numFmtId="165" fontId="0" fillId="0" borderId="63" xfId="0" applyNumberFormat="1" applyFill="1" applyBorder="1" applyAlignment="1">
      <alignment horizontal="right" vertical="center"/>
    </xf>
    <xf numFmtId="10" fontId="9" fillId="0" borderId="18" xfId="0" applyNumberFormat="1" applyFont="1" applyFill="1" applyBorder="1"/>
    <xf numFmtId="0" fontId="0" fillId="0" borderId="52" xfId="0" applyFill="1" applyBorder="1"/>
    <xf numFmtId="165" fontId="0" fillId="7" borderId="75" xfId="0" applyNumberFormat="1" applyFill="1" applyBorder="1" applyAlignment="1">
      <alignment horizontal="right" vertical="center"/>
    </xf>
    <xf numFmtId="165" fontId="2" fillId="2" borderId="76" xfId="0" applyNumberFormat="1" applyFont="1" applyFill="1" applyBorder="1" applyAlignment="1">
      <alignment horizontal="right" vertical="center"/>
    </xf>
    <xf numFmtId="10" fontId="9" fillId="0" borderId="0" xfId="0" applyNumberFormat="1" applyFont="1" applyBorder="1"/>
    <xf numFmtId="10" fontId="0" fillId="0" borderId="56" xfId="0" applyNumberFormat="1" applyBorder="1" applyAlignment="1">
      <alignment horizontal="center" vertical="center"/>
    </xf>
    <xf numFmtId="0" fontId="0" fillId="0" borderId="56" xfId="0" applyBorder="1" applyAlignment="1">
      <alignment horizontal="center"/>
    </xf>
    <xf numFmtId="165" fontId="0" fillId="0" borderId="48" xfId="0" applyNumberFormat="1" applyFill="1" applyBorder="1" applyAlignment="1">
      <alignment horizontal="right" vertical="center"/>
    </xf>
    <xf numFmtId="165" fontId="0" fillId="0" borderId="69" xfId="0" applyNumberFormat="1" applyFill="1" applyBorder="1" applyAlignment="1">
      <alignment horizontal="right" vertical="center"/>
    </xf>
    <xf numFmtId="165" fontId="0" fillId="0" borderId="19" xfId="0" applyNumberFormat="1" applyFill="1" applyBorder="1" applyAlignment="1">
      <alignment horizontal="right" vertical="center"/>
    </xf>
    <xf numFmtId="10" fontId="0" fillId="0" borderId="0" xfId="0" applyNumberFormat="1" applyBorder="1"/>
    <xf numFmtId="165" fontId="0" fillId="0" borderId="44" xfId="0" applyNumberFormat="1" applyFill="1" applyBorder="1" applyAlignment="1">
      <alignment horizontal="right" vertical="center"/>
    </xf>
    <xf numFmtId="0" fontId="0" fillId="0" borderId="45" xfId="0" applyFill="1" applyBorder="1"/>
    <xf numFmtId="165" fontId="0" fillId="0" borderId="49" xfId="0" applyNumberFormat="1" applyFill="1" applyBorder="1" applyAlignment="1">
      <alignment horizontal="right" vertical="center"/>
    </xf>
    <xf numFmtId="165" fontId="0" fillId="0" borderId="51" xfId="0" applyNumberFormat="1" applyFill="1" applyBorder="1" applyAlignment="1">
      <alignment horizontal="right" vertical="center"/>
    </xf>
    <xf numFmtId="0" fontId="0" fillId="0" borderId="45" xfId="0" applyFill="1" applyBorder="1" applyAlignment="1">
      <alignment wrapText="1"/>
    </xf>
    <xf numFmtId="165" fontId="0" fillId="0" borderId="46" xfId="0" applyNumberFormat="1" applyFill="1" applyBorder="1" applyAlignment="1">
      <alignment horizontal="right" vertical="center"/>
    </xf>
    <xf numFmtId="10" fontId="0" fillId="0" borderId="0" xfId="0" applyNumberFormat="1" applyAlignment="1">
      <alignment wrapText="1"/>
    </xf>
    <xf numFmtId="10" fontId="0" fillId="0" borderId="24" xfId="0" applyNumberFormat="1" applyBorder="1"/>
    <xf numFmtId="0" fontId="0" fillId="9" borderId="0" xfId="0" applyFill="1"/>
    <xf numFmtId="0" fontId="0" fillId="7" borderId="0" xfId="0" applyFill="1"/>
    <xf numFmtId="0" fontId="0" fillId="0" borderId="18" xfId="0" applyBorder="1"/>
    <xf numFmtId="10" fontId="0" fillId="0" borderId="18" xfId="0" applyNumberFormat="1" applyBorder="1"/>
    <xf numFmtId="10" fontId="0" fillId="0" borderId="22" xfId="0" applyNumberFormat="1" applyBorder="1"/>
    <xf numFmtId="10" fontId="0" fillId="0" borderId="63" xfId="0" applyNumberFormat="1" applyBorder="1"/>
    <xf numFmtId="165" fontId="0" fillId="0" borderId="67" xfId="0" applyNumberFormat="1" applyFill="1" applyBorder="1" applyAlignment="1">
      <alignment horizontal="right" vertical="center"/>
    </xf>
    <xf numFmtId="10" fontId="0" fillId="7" borderId="18" xfId="0" applyNumberFormat="1" applyFill="1" applyBorder="1"/>
    <xf numFmtId="10" fontId="0" fillId="7" borderId="69" xfId="0" applyNumberFormat="1" applyFill="1" applyBorder="1"/>
    <xf numFmtId="10" fontId="1" fillId="0" borderId="48" xfId="0" applyNumberFormat="1" applyFont="1" applyFill="1" applyBorder="1"/>
    <xf numFmtId="165" fontId="0" fillId="0" borderId="0" xfId="0" applyNumberFormat="1" applyFill="1"/>
    <xf numFmtId="0" fontId="0" fillId="0" borderId="0" xfId="0" applyFill="1"/>
    <xf numFmtId="10" fontId="0" fillId="0" borderId="39" xfId="0" applyNumberFormat="1" applyFill="1" applyBorder="1"/>
    <xf numFmtId="10" fontId="0" fillId="0" borderId="40" xfId="0" applyNumberFormat="1" applyFill="1" applyBorder="1"/>
    <xf numFmtId="2" fontId="0" fillId="0" borderId="40" xfId="0" applyNumberFormat="1" applyFill="1" applyBorder="1"/>
    <xf numFmtId="0" fontId="0" fillId="0" borderId="32" xfId="0" applyNumberFormat="1" applyFill="1" applyBorder="1"/>
    <xf numFmtId="0" fontId="0" fillId="0" borderId="50" xfId="0" applyFill="1" applyBorder="1"/>
    <xf numFmtId="10" fontId="9" fillId="0" borderId="22" xfId="0" applyNumberFormat="1" applyFont="1" applyFill="1" applyBorder="1"/>
    <xf numFmtId="10" fontId="9" fillId="0" borderId="48" xfId="0" applyNumberFormat="1" applyFont="1" applyFill="1" applyBorder="1"/>
    <xf numFmtId="0" fontId="0" fillId="0" borderId="52" xfId="0" applyFill="1" applyBorder="1" applyAlignment="1">
      <alignment wrapText="1"/>
    </xf>
    <xf numFmtId="10" fontId="9" fillId="0" borderId="19" xfId="0" applyNumberFormat="1" applyFont="1" applyFill="1" applyBorder="1"/>
    <xf numFmtId="0" fontId="0" fillId="0" borderId="47" xfId="0" applyFill="1" applyBorder="1"/>
    <xf numFmtId="10" fontId="9" fillId="0" borderId="69" xfId="0" applyNumberFormat="1" applyFont="1" applyFill="1" applyBorder="1"/>
    <xf numFmtId="10" fontId="0" fillId="0" borderId="34" xfId="0" applyNumberFormat="1" applyFill="1" applyBorder="1"/>
    <xf numFmtId="10" fontId="0" fillId="0" borderId="27" xfId="0" applyNumberFormat="1" applyFill="1" applyBorder="1"/>
    <xf numFmtId="2" fontId="0" fillId="0" borderId="27" xfId="0" applyNumberFormat="1" applyFill="1" applyBorder="1"/>
    <xf numFmtId="0" fontId="0" fillId="0" borderId="53" xfId="0" applyNumberFormat="1" applyFill="1" applyBorder="1"/>
    <xf numFmtId="0" fontId="0" fillId="0" borderId="45" xfId="0" applyFont="1" applyFill="1" applyBorder="1"/>
    <xf numFmtId="0" fontId="0" fillId="0" borderId="50" xfId="0" applyFont="1" applyFill="1" applyBorder="1"/>
    <xf numFmtId="0" fontId="0" fillId="0" borderId="47" xfId="0" applyFont="1" applyFill="1" applyBorder="1"/>
    <xf numFmtId="0" fontId="0" fillId="0" borderId="47" xfId="0" applyFont="1" applyFill="1" applyBorder="1" applyAlignment="1">
      <alignment wrapText="1"/>
    </xf>
    <xf numFmtId="165" fontId="0" fillId="0" borderId="78" xfId="0" applyNumberFormat="1" applyFill="1" applyBorder="1" applyAlignment="1">
      <alignment horizontal="right" vertical="center"/>
    </xf>
    <xf numFmtId="165" fontId="0" fillId="0" borderId="23" xfId="0" applyNumberFormat="1" applyFill="1" applyBorder="1" applyAlignment="1">
      <alignment horizontal="right" vertical="center"/>
    </xf>
    <xf numFmtId="165" fontId="0" fillId="0" borderId="77" xfId="0" applyNumberFormat="1" applyFill="1" applyBorder="1" applyAlignment="1">
      <alignment horizontal="right" vertical="center"/>
    </xf>
    <xf numFmtId="165" fontId="0" fillId="0" borderId="68" xfId="0" applyNumberFormat="1" applyFill="1" applyBorder="1" applyAlignment="1">
      <alignment horizontal="right" vertical="center"/>
    </xf>
    <xf numFmtId="165" fontId="0" fillId="0" borderId="72" xfId="0" applyNumberFormat="1" applyBorder="1" applyAlignment="1">
      <alignment horizontal="center" vertical="center"/>
    </xf>
    <xf numFmtId="0" fontId="0" fillId="0" borderId="52" xfId="0" applyFont="1" applyFill="1" applyBorder="1"/>
    <xf numFmtId="0" fontId="0" fillId="0" borderId="45" xfId="0" applyFont="1" applyFill="1" applyBorder="1" applyAlignment="1">
      <alignment wrapText="1"/>
    </xf>
    <xf numFmtId="0" fontId="0" fillId="0" borderId="52" xfId="0" applyFont="1" applyFill="1" applyBorder="1" applyAlignment="1">
      <alignment wrapText="1"/>
    </xf>
    <xf numFmtId="165" fontId="0" fillId="4" borderId="19" xfId="0" applyNumberFormat="1" applyFill="1" applyBorder="1" applyAlignment="1">
      <alignment horizontal="right" vertical="center"/>
    </xf>
    <xf numFmtId="10" fontId="1" fillId="0" borderId="69" xfId="0" applyNumberFormat="1" applyFont="1" applyFill="1" applyBorder="1"/>
    <xf numFmtId="0" fontId="0" fillId="0" borderId="70" xfId="0" applyFill="1" applyBorder="1"/>
    <xf numFmtId="0" fontId="0" fillId="0" borderId="70" xfId="0" applyFont="1" applyFill="1" applyBorder="1"/>
    <xf numFmtId="165" fontId="0" fillId="0" borderId="78" xfId="0" applyNumberFormat="1" applyBorder="1" applyAlignment="1">
      <alignment horizontal="right" vertical="center"/>
    </xf>
    <xf numFmtId="0" fontId="0" fillId="0" borderId="45" xfId="0" applyBorder="1"/>
    <xf numFmtId="165" fontId="0" fillId="0" borderId="77" xfId="0" applyNumberFormat="1" applyBorder="1" applyAlignment="1">
      <alignment horizontal="right" vertical="center"/>
    </xf>
    <xf numFmtId="10" fontId="0" fillId="0" borderId="39" xfId="0" applyNumberFormat="1" applyBorder="1"/>
    <xf numFmtId="0" fontId="0" fillId="0" borderId="61" xfId="0" applyFill="1" applyBorder="1" applyAlignment="1">
      <alignment horizontal="center"/>
    </xf>
    <xf numFmtId="164" fontId="0" fillId="0" borderId="0" xfId="0" applyNumberFormat="1" applyFill="1"/>
    <xf numFmtId="0" fontId="11" fillId="0" borderId="0" xfId="0" applyFont="1" applyFill="1"/>
    <xf numFmtId="165" fontId="0" fillId="0" borderId="79" xfId="0" applyNumberFormat="1" applyFill="1" applyBorder="1" applyAlignment="1">
      <alignment horizontal="right" vertical="center"/>
    </xf>
    <xf numFmtId="165" fontId="0" fillId="0" borderId="80" xfId="0" applyNumberFormat="1" applyFill="1" applyBorder="1" applyAlignment="1">
      <alignment horizontal="right" vertical="center"/>
    </xf>
    <xf numFmtId="10" fontId="9" fillId="0" borderId="81" xfId="0" applyNumberFormat="1" applyFont="1" applyFill="1" applyBorder="1"/>
    <xf numFmtId="165" fontId="0" fillId="0" borderId="81" xfId="0" applyNumberFormat="1" applyFill="1" applyBorder="1" applyAlignment="1">
      <alignment horizontal="right" vertical="center"/>
    </xf>
    <xf numFmtId="0" fontId="0" fillId="0" borderId="82" xfId="0" applyFill="1" applyBorder="1" applyAlignment="1">
      <alignment wrapText="1"/>
    </xf>
    <xf numFmtId="0" fontId="8" fillId="0" borderId="0" xfId="0" applyFont="1" applyAlignment="1">
      <alignment horizontal="right"/>
    </xf>
    <xf numFmtId="164" fontId="8" fillId="0" borderId="0" xfId="0" applyNumberFormat="1" applyFont="1"/>
    <xf numFmtId="165" fontId="0" fillId="0" borderId="36" xfId="0" applyNumberFormat="1" applyBorder="1"/>
    <xf numFmtId="173" fontId="8" fillId="0" borderId="0" xfId="0" applyNumberFormat="1" applyFont="1" applyAlignment="1">
      <alignment horizontal="left"/>
    </xf>
    <xf numFmtId="165" fontId="0" fillId="0" borderId="62" xfId="0" applyNumberFormat="1" applyFill="1" applyBorder="1" applyAlignment="1">
      <alignment horizontal="right" vertical="center"/>
    </xf>
    <xf numFmtId="165" fontId="0" fillId="0" borderId="64" xfId="0" applyNumberFormat="1" applyFill="1" applyBorder="1" applyAlignment="1">
      <alignment horizontal="right" vertical="center"/>
    </xf>
    <xf numFmtId="165" fontId="0" fillId="0" borderId="21" xfId="0" applyNumberFormat="1" applyFill="1" applyBorder="1" applyAlignment="1">
      <alignment horizontal="right" vertical="center"/>
    </xf>
    <xf numFmtId="0" fontId="0" fillId="0" borderId="18" xfId="0" applyBorder="1" applyAlignment="1">
      <alignment wrapText="1"/>
    </xf>
    <xf numFmtId="10" fontId="0" fillId="0" borderId="0" xfId="0" applyNumberFormat="1" applyFill="1"/>
    <xf numFmtId="173" fontId="8" fillId="7" borderId="24" xfId="0" applyNumberFormat="1" applyFont="1" applyFill="1" applyBorder="1"/>
    <xf numFmtId="4" fontId="0" fillId="0" borderId="0" xfId="0" applyNumberFormat="1"/>
    <xf numFmtId="0" fontId="13" fillId="10" borderId="0" xfId="0" applyFont="1" applyFill="1" applyAlignment="1">
      <alignment wrapText="1"/>
    </xf>
    <xf numFmtId="0" fontId="13" fillId="0" borderId="0" xfId="0" applyFont="1" applyAlignment="1">
      <alignment wrapText="1"/>
    </xf>
    <xf numFmtId="4" fontId="0" fillId="0" borderId="18" xfId="0" applyNumberFormat="1" applyBorder="1"/>
    <xf numFmtId="0" fontId="0" fillId="0" borderId="48" xfId="0" applyBorder="1"/>
    <xf numFmtId="4" fontId="0" fillId="0" borderId="49" xfId="0" applyNumberFormat="1" applyBorder="1"/>
    <xf numFmtId="4" fontId="0" fillId="0" borderId="50" xfId="0" applyNumberFormat="1" applyBorder="1"/>
    <xf numFmtId="4" fontId="0" fillId="0" borderId="46" xfId="0" applyNumberFormat="1" applyBorder="1"/>
    <xf numFmtId="4" fontId="0" fillId="0" borderId="19" xfId="0" applyNumberFormat="1" applyBorder="1"/>
    <xf numFmtId="4" fontId="0" fillId="0" borderId="47" xfId="0" applyNumberFormat="1" applyBorder="1"/>
    <xf numFmtId="0" fontId="0" fillId="0" borderId="0" xfId="0" applyAlignment="1">
      <alignment horizontal="center"/>
    </xf>
    <xf numFmtId="167" fontId="0" fillId="0" borderId="24" xfId="0" applyNumberFormat="1" applyBorder="1" applyProtection="1">
      <protection hidden="1"/>
    </xf>
    <xf numFmtId="165" fontId="0" fillId="0" borderId="0" xfId="0" applyNumberFormat="1" applyAlignment="1">
      <alignment horizontal="center"/>
    </xf>
    <xf numFmtId="10" fontId="1" fillId="0" borderId="21" xfId="0" applyNumberFormat="1" applyFont="1" applyFill="1" applyBorder="1"/>
    <xf numFmtId="0" fontId="0" fillId="0" borderId="83" xfId="0" applyFont="1" applyFill="1" applyBorder="1"/>
    <xf numFmtId="165" fontId="0" fillId="0" borderId="88" xfId="0" applyNumberFormat="1" applyFill="1" applyBorder="1" applyAlignment="1">
      <alignment horizontal="right" vertical="center"/>
    </xf>
    <xf numFmtId="10" fontId="9" fillId="0" borderId="89" xfId="0" applyNumberFormat="1" applyFont="1" applyFill="1" applyBorder="1"/>
    <xf numFmtId="165" fontId="0" fillId="0" borderId="89" xfId="0" applyNumberFormat="1" applyFill="1" applyBorder="1" applyAlignment="1">
      <alignment horizontal="right" vertical="center"/>
    </xf>
    <xf numFmtId="0" fontId="0" fillId="0" borderId="90" xfId="0" applyFont="1" applyFill="1" applyBorder="1" applyAlignment="1">
      <alignment wrapText="1"/>
    </xf>
    <xf numFmtId="169" fontId="0" fillId="0" borderId="24" xfId="0" applyNumberFormat="1" applyBorder="1" applyAlignment="1">
      <alignment vertical="center"/>
    </xf>
    <xf numFmtId="0" fontId="0" fillId="0" borderId="57" xfId="0" applyFill="1" applyBorder="1" applyAlignment="1">
      <alignment horizontal="center"/>
    </xf>
    <xf numFmtId="165" fontId="0" fillId="0" borderId="91" xfId="0" applyNumberFormat="1" applyFill="1" applyBorder="1" applyAlignment="1">
      <alignment horizontal="right" vertical="center"/>
    </xf>
    <xf numFmtId="165" fontId="0" fillId="0" borderId="92" xfId="0" applyNumberFormat="1" applyFill="1" applyBorder="1" applyAlignment="1">
      <alignment horizontal="right" vertical="center"/>
    </xf>
    <xf numFmtId="10" fontId="1" fillId="0" borderId="92" xfId="0" applyNumberFormat="1" applyFont="1" applyFill="1" applyBorder="1"/>
    <xf numFmtId="0" fontId="0" fillId="0" borderId="93" xfId="0" applyFill="1" applyBorder="1"/>
    <xf numFmtId="165" fontId="0" fillId="0" borderId="94" xfId="0" applyNumberFormat="1" applyFill="1" applyBorder="1" applyAlignment="1">
      <alignment horizontal="right" vertical="center"/>
    </xf>
    <xf numFmtId="0" fontId="0" fillId="0" borderId="93" xfId="0" applyFont="1" applyFill="1" applyBorder="1"/>
    <xf numFmtId="0" fontId="0" fillId="0" borderId="82" xfId="0" applyFont="1" applyFill="1" applyBorder="1" applyAlignment="1">
      <alignment wrapText="1"/>
    </xf>
    <xf numFmtId="169" fontId="0" fillId="0" borderId="25" xfId="0" applyNumberFormat="1" applyBorder="1" applyAlignment="1">
      <alignment horizontal="center" vertical="center"/>
    </xf>
    <xf numFmtId="10" fontId="9" fillId="0" borderId="92" xfId="0" applyNumberFormat="1" applyFont="1" applyFill="1" applyBorder="1"/>
    <xf numFmtId="0" fontId="0" fillId="0" borderId="93" xfId="0" applyFont="1" applyFill="1" applyBorder="1" applyAlignment="1">
      <alignment wrapText="1"/>
    </xf>
    <xf numFmtId="10" fontId="0" fillId="0" borderId="25" xfId="0" applyNumberFormat="1" applyFill="1" applyBorder="1"/>
    <xf numFmtId="10" fontId="0" fillId="0" borderId="43" xfId="0" applyNumberFormat="1" applyFill="1" applyBorder="1"/>
    <xf numFmtId="2" fontId="0" fillId="0" borderId="43" xfId="0" applyNumberFormat="1" applyFill="1" applyBorder="1"/>
    <xf numFmtId="0" fontId="0" fillId="0" borderId="31" xfId="0" applyNumberFormat="1" applyFill="1" applyBorder="1"/>
    <xf numFmtId="169" fontId="0" fillId="0" borderId="25" xfId="0" applyNumberFormat="1" applyBorder="1" applyAlignment="1">
      <alignment horizontal="right" vertical="center"/>
    </xf>
    <xf numFmtId="0" fontId="14" fillId="0" borderId="50" xfId="0" applyFont="1" applyFill="1" applyBorder="1"/>
    <xf numFmtId="0" fontId="15" fillId="0" borderId="50" xfId="0" applyFont="1" applyFill="1" applyBorder="1"/>
    <xf numFmtId="0" fontId="0" fillId="0" borderId="82" xfId="0" applyFill="1" applyBorder="1"/>
    <xf numFmtId="0" fontId="15" fillId="0" borderId="70" xfId="0" applyFont="1" applyFill="1" applyBorder="1"/>
    <xf numFmtId="0" fontId="0" fillId="0" borderId="82" xfId="0" applyFont="1" applyFill="1" applyBorder="1"/>
    <xf numFmtId="165" fontId="0" fillId="0" borderId="44" xfId="0" applyNumberFormat="1" applyBorder="1" applyAlignment="1">
      <alignment horizontal="right" vertical="center"/>
    </xf>
    <xf numFmtId="169" fontId="0" fillId="4" borderId="34" xfId="0" applyNumberFormat="1" applyFill="1" applyBorder="1" applyAlignment="1">
      <alignment horizontal="right" vertical="center"/>
    </xf>
    <xf numFmtId="0" fontId="0" fillId="0" borderId="90" xfId="0" applyFill="1" applyBorder="1" applyAlignment="1">
      <alignment wrapText="1"/>
    </xf>
    <xf numFmtId="175" fontId="0" fillId="0" borderId="0" xfId="0" applyNumberFormat="1"/>
    <xf numFmtId="0" fontId="8" fillId="0" borderId="0" xfId="0" applyFont="1" applyAlignment="1">
      <alignment horizontal="center"/>
    </xf>
    <xf numFmtId="0" fontId="0" fillId="0" borderId="19" xfId="0" applyBorder="1"/>
    <xf numFmtId="0" fontId="0" fillId="0" borderId="0" xfId="0" applyFont="1"/>
    <xf numFmtId="0" fontId="8" fillId="0" borderId="0" xfId="0" applyFont="1" applyBorder="1" applyAlignment="1">
      <alignment horizontal="center"/>
    </xf>
    <xf numFmtId="0" fontId="0" fillId="0" borderId="0" xfId="0" applyBorder="1"/>
    <xf numFmtId="0" fontId="0" fillId="0" borderId="18" xfId="0" applyFont="1" applyFill="1" applyBorder="1"/>
    <xf numFmtId="0" fontId="0" fillId="0" borderId="18" xfId="0" applyFill="1" applyBorder="1"/>
    <xf numFmtId="0" fontId="8" fillId="0" borderId="48" xfId="0" applyFont="1" applyBorder="1"/>
    <xf numFmtId="0" fontId="0" fillId="0" borderId="48" xfId="0" applyFill="1" applyBorder="1"/>
    <xf numFmtId="0" fontId="8" fillId="0" borderId="48" xfId="0" applyFont="1" applyFill="1" applyBorder="1"/>
    <xf numFmtId="0" fontId="0" fillId="0" borderId="48" xfId="0" applyFont="1" applyFill="1" applyBorder="1"/>
    <xf numFmtId="0" fontId="0" fillId="0" borderId="19" xfId="0" applyFill="1" applyBorder="1"/>
    <xf numFmtId="0" fontId="0" fillId="0" borderId="19" xfId="0" applyFont="1" applyFill="1" applyBorder="1"/>
    <xf numFmtId="0" fontId="0" fillId="0" borderId="94" xfId="0" applyFont="1" applyBorder="1" applyAlignment="1">
      <alignment horizontal="center"/>
    </xf>
    <xf numFmtId="0" fontId="0" fillId="0" borderId="22" xfId="0" applyBorder="1"/>
    <xf numFmtId="0" fontId="0" fillId="0" borderId="18" xfId="0" applyFont="1" applyBorder="1" applyAlignment="1">
      <alignment horizontal="center"/>
    </xf>
    <xf numFmtId="0" fontId="8" fillId="0" borderId="20" xfId="0" applyFont="1" applyFill="1" applyBorder="1"/>
    <xf numFmtId="0" fontId="0" fillId="0" borderId="23" xfId="0" applyBorder="1"/>
    <xf numFmtId="0" fontId="8" fillId="0" borderId="20" xfId="0" applyFont="1" applyBorder="1"/>
    <xf numFmtId="0" fontId="0" fillId="0" borderId="93" xfId="0" applyBorder="1"/>
    <xf numFmtId="0" fontId="0" fillId="0" borderId="22" xfId="0" applyFill="1" applyBorder="1"/>
    <xf numFmtId="0" fontId="8" fillId="0" borderId="22" xfId="0" applyFont="1" applyFill="1" applyBorder="1"/>
    <xf numFmtId="0" fontId="0" fillId="0" borderId="64" xfId="0" applyFont="1" applyBorder="1" applyAlignment="1">
      <alignment horizontal="center"/>
    </xf>
    <xf numFmtId="0" fontId="0" fillId="0" borderId="22" xfId="0" applyFont="1" applyFill="1" applyBorder="1"/>
    <xf numFmtId="0" fontId="8" fillId="0" borderId="22" xfId="0" applyFont="1" applyBorder="1"/>
    <xf numFmtId="0" fontId="0" fillId="0" borderId="19" xfId="0" applyFont="1" applyBorder="1" applyAlignment="1">
      <alignment horizontal="center"/>
    </xf>
    <xf numFmtId="0" fontId="8" fillId="0" borderId="95" xfId="0" applyFont="1" applyFill="1" applyBorder="1"/>
    <xf numFmtId="0" fontId="0" fillId="0" borderId="92" xfId="0" applyBorder="1"/>
    <xf numFmtId="0" fontId="8" fillId="0" borderId="97" xfId="0" applyFont="1" applyFill="1" applyBorder="1"/>
    <xf numFmtId="0" fontId="0" fillId="0" borderId="69" xfId="0" applyFont="1" applyBorder="1" applyAlignment="1">
      <alignment horizontal="center"/>
    </xf>
    <xf numFmtId="0" fontId="8" fillId="0" borderId="98" xfId="0" applyFont="1" applyFill="1" applyBorder="1"/>
    <xf numFmtId="0" fontId="0" fillId="0" borderId="48" xfId="0" applyFont="1" applyBorder="1" applyAlignment="1">
      <alignment horizontal="center"/>
    </xf>
    <xf numFmtId="0" fontId="8" fillId="0" borderId="95" xfId="0" applyFont="1" applyBorder="1"/>
    <xf numFmtId="0" fontId="8" fillId="0" borderId="97" xfId="0" applyFont="1" applyBorder="1"/>
    <xf numFmtId="0" fontId="8" fillId="0" borderId="101" xfId="0" applyFont="1" applyBorder="1"/>
    <xf numFmtId="176" fontId="0" fillId="0" borderId="48" xfId="0" applyNumberFormat="1" applyBorder="1"/>
    <xf numFmtId="176" fontId="0" fillId="0" borderId="22" xfId="0" applyNumberFormat="1" applyBorder="1"/>
    <xf numFmtId="176" fontId="0" fillId="0" borderId="48" xfId="0" applyNumberFormat="1" applyFont="1" applyFill="1" applyBorder="1"/>
    <xf numFmtId="176" fontId="0" fillId="0" borderId="96" xfId="0" applyNumberFormat="1" applyFont="1" applyBorder="1"/>
    <xf numFmtId="176" fontId="0" fillId="0" borderId="96" xfId="0" applyNumberFormat="1" applyFont="1" applyFill="1" applyBorder="1"/>
    <xf numFmtId="176" fontId="0" fillId="0" borderId="96" xfId="0" applyNumberFormat="1" applyBorder="1"/>
    <xf numFmtId="176" fontId="0" fillId="0" borderId="100" xfId="0" applyNumberFormat="1" applyBorder="1"/>
    <xf numFmtId="0" fontId="0" fillId="0" borderId="18" xfId="0" applyBorder="1" applyAlignment="1">
      <alignment horizontal="center"/>
    </xf>
    <xf numFmtId="0" fontId="0" fillId="0" borderId="63" xfId="0" applyBorder="1"/>
    <xf numFmtId="0" fontId="0" fillId="0" borderId="78" xfId="0" applyBorder="1"/>
    <xf numFmtId="0" fontId="0" fillId="0" borderId="94" xfId="0" applyBorder="1"/>
    <xf numFmtId="0" fontId="0" fillId="0" borderId="77" xfId="0" applyBorder="1"/>
    <xf numFmtId="0" fontId="0" fillId="0" borderId="19" xfId="0" applyBorder="1" applyAlignment="1">
      <alignment horizontal="center"/>
    </xf>
    <xf numFmtId="0" fontId="0" fillId="0" borderId="69" xfId="0" applyBorder="1" applyAlignment="1">
      <alignment horizontal="center"/>
    </xf>
    <xf numFmtId="0" fontId="0" fillId="0" borderId="22" xfId="0" applyBorder="1" applyAlignment="1">
      <alignment horizontal="center"/>
    </xf>
    <xf numFmtId="176" fontId="0" fillId="0" borderId="102" xfId="0" applyNumberFormat="1" applyBorder="1"/>
    <xf numFmtId="0" fontId="8" fillId="0" borderId="18" xfId="0" applyFont="1" applyBorder="1"/>
    <xf numFmtId="176" fontId="0" fillId="0" borderId="18" xfId="0" applyNumberFormat="1" applyBorder="1"/>
    <xf numFmtId="0" fontId="8" fillId="0" borderId="103" xfId="0" applyFont="1" applyBorder="1"/>
    <xf numFmtId="0" fontId="0" fillId="0" borderId="92" xfId="0" applyBorder="1" applyAlignment="1">
      <alignment horizontal="center"/>
    </xf>
    <xf numFmtId="176" fontId="0" fillId="0" borderId="40" xfId="0" applyNumberFormat="1" applyBorder="1"/>
    <xf numFmtId="0" fontId="0" fillId="0" borderId="69" xfId="0" applyBorder="1"/>
    <xf numFmtId="0" fontId="8" fillId="0" borderId="69" xfId="0" applyFont="1" applyBorder="1"/>
    <xf numFmtId="176" fontId="0" fillId="0" borderId="69" xfId="0" applyNumberFormat="1" applyBorder="1"/>
    <xf numFmtId="176" fontId="8" fillId="0" borderId="98" xfId="0" applyNumberFormat="1" applyFont="1" applyBorder="1"/>
    <xf numFmtId="176" fontId="8" fillId="0" borderId="97" xfId="0" applyNumberFormat="1" applyFont="1" applyBorder="1"/>
    <xf numFmtId="176" fontId="8" fillId="0" borderId="103" xfId="0" applyNumberFormat="1" applyFont="1" applyBorder="1"/>
    <xf numFmtId="176" fontId="8" fillId="0" borderId="20" xfId="0" applyNumberFormat="1" applyFont="1" applyBorder="1"/>
    <xf numFmtId="176" fontId="8" fillId="0" borderId="95" xfId="0" applyNumberFormat="1" applyFont="1" applyBorder="1"/>
    <xf numFmtId="176" fontId="8" fillId="0" borderId="0" xfId="0" applyNumberFormat="1" applyFont="1" applyBorder="1"/>
    <xf numFmtId="176" fontId="8" fillId="0" borderId="102" xfId="0" applyNumberFormat="1" applyFont="1" applyBorder="1"/>
    <xf numFmtId="0" fontId="0" fillId="0" borderId="69" xfId="0" applyFill="1" applyBorder="1"/>
    <xf numFmtId="176" fontId="8" fillId="0" borderId="101" xfId="0" applyNumberFormat="1" applyFont="1" applyBorder="1"/>
    <xf numFmtId="176" fontId="8" fillId="0" borderId="105" xfId="0" applyNumberFormat="1" applyFont="1" applyBorder="1"/>
    <xf numFmtId="0" fontId="0" fillId="0" borderId="70" xfId="0" applyBorder="1"/>
    <xf numFmtId="176" fontId="8" fillId="0" borderId="18" xfId="0" applyNumberFormat="1" applyFont="1" applyBorder="1"/>
    <xf numFmtId="176" fontId="8" fillId="0" borderId="40" xfId="0" applyNumberFormat="1" applyFont="1" applyBorder="1"/>
    <xf numFmtId="0" fontId="0" fillId="0" borderId="41" xfId="0" applyBorder="1"/>
    <xf numFmtId="0" fontId="0" fillId="0" borderId="48" xfId="0" applyBorder="1" applyAlignment="1">
      <alignment horizontal="center"/>
    </xf>
    <xf numFmtId="176" fontId="8" fillId="0" borderId="48" xfId="0" applyNumberFormat="1" applyFont="1" applyBorder="1"/>
    <xf numFmtId="176" fontId="8" fillId="0" borderId="22" xfId="0" applyNumberFormat="1" applyFont="1" applyBorder="1"/>
    <xf numFmtId="0" fontId="0" fillId="0" borderId="21" xfId="0" applyBorder="1"/>
    <xf numFmtId="0" fontId="8" fillId="0" borderId="92" xfId="0" applyFont="1" applyBorder="1"/>
    <xf numFmtId="176" fontId="0" fillId="0" borderId="92" xfId="0" applyNumberFormat="1" applyBorder="1"/>
    <xf numFmtId="176" fontId="8" fillId="0" borderId="92" xfId="0" applyNumberFormat="1" applyFont="1" applyBorder="1"/>
    <xf numFmtId="2" fontId="8" fillId="0" borderId="0" xfId="0" applyNumberFormat="1" applyFont="1" applyBorder="1" applyAlignment="1">
      <alignment horizontal="center"/>
    </xf>
    <xf numFmtId="166" fontId="0" fillId="0" borderId="106" xfId="0" applyNumberFormat="1" applyBorder="1" applyAlignment="1">
      <alignment horizontal="center" vertical="center"/>
    </xf>
    <xf numFmtId="0" fontId="0" fillId="0" borderId="57" xfId="0" applyBorder="1" applyAlignment="1">
      <alignment horizontal="center"/>
    </xf>
    <xf numFmtId="0" fontId="0" fillId="0" borderId="83" xfId="0" applyBorder="1"/>
    <xf numFmtId="165" fontId="0" fillId="0" borderId="73" xfId="0" applyNumberFormat="1" applyBorder="1" applyAlignment="1">
      <alignment horizontal="right" vertical="center"/>
    </xf>
    <xf numFmtId="165" fontId="0" fillId="0" borderId="63" xfId="0" applyNumberFormat="1" applyBorder="1" applyAlignment="1">
      <alignment horizontal="right" vertical="center"/>
    </xf>
    <xf numFmtId="0" fontId="0" fillId="0" borderId="34" xfId="0" applyBorder="1"/>
    <xf numFmtId="165" fontId="0" fillId="0" borderId="94" xfId="0" applyNumberFormat="1" applyBorder="1" applyAlignment="1">
      <alignment horizontal="right" vertical="center"/>
    </xf>
    <xf numFmtId="165" fontId="0" fillId="0" borderId="68" xfId="0" applyNumberFormat="1" applyBorder="1" applyAlignment="1">
      <alignment horizontal="right" vertical="center"/>
    </xf>
    <xf numFmtId="165" fontId="0" fillId="0" borderId="64" xfId="0" applyNumberFormat="1" applyBorder="1" applyAlignment="1">
      <alignment horizontal="right" vertical="center"/>
    </xf>
    <xf numFmtId="173" fontId="0" fillId="0" borderId="0" xfId="0" applyNumberFormat="1" applyBorder="1" applyAlignment="1">
      <alignment horizontal="left"/>
    </xf>
    <xf numFmtId="0" fontId="0" fillId="0" borderId="110" xfId="0" applyBorder="1"/>
    <xf numFmtId="0" fontId="0" fillId="0" borderId="111" xfId="0" applyBorder="1"/>
    <xf numFmtId="0" fontId="0" fillId="0" borderId="32" xfId="0" applyBorder="1"/>
    <xf numFmtId="0" fontId="0" fillId="0" borderId="33" xfId="0" applyBorder="1"/>
    <xf numFmtId="165" fontId="0" fillId="0" borderId="27" xfId="0" applyNumberFormat="1" applyBorder="1"/>
    <xf numFmtId="0" fontId="0" fillId="0" borderId="112" xfId="0" applyBorder="1"/>
    <xf numFmtId="173" fontId="0" fillId="0" borderId="0" xfId="0" applyNumberFormat="1" applyAlignment="1">
      <alignment horizontal="left"/>
    </xf>
    <xf numFmtId="165" fontId="0" fillId="0" borderId="102" xfId="0" applyNumberFormat="1" applyBorder="1" applyAlignment="1">
      <alignment horizontal="right" vertical="center"/>
    </xf>
    <xf numFmtId="165" fontId="0" fillId="0" borderId="99" xfId="0" applyNumberFormat="1" applyBorder="1" applyAlignment="1">
      <alignment horizontal="right" vertical="center"/>
    </xf>
    <xf numFmtId="165" fontId="0" fillId="0" borderId="96" xfId="0" applyNumberFormat="1" applyBorder="1" applyAlignment="1">
      <alignment horizontal="right" vertical="center"/>
    </xf>
    <xf numFmtId="165" fontId="0" fillId="0" borderId="100" xfId="0" applyNumberFormat="1" applyBorder="1" applyAlignment="1">
      <alignment horizontal="right" vertical="center"/>
    </xf>
    <xf numFmtId="165" fontId="0" fillId="0" borderId="109" xfId="0" applyNumberFormat="1" applyBorder="1" applyAlignment="1">
      <alignment horizontal="right" vertical="center"/>
    </xf>
    <xf numFmtId="0" fontId="0" fillId="0" borderId="113" xfId="0" applyBorder="1"/>
    <xf numFmtId="165" fontId="0" fillId="0" borderId="114" xfId="0" applyNumberFormat="1" applyBorder="1" applyAlignment="1">
      <alignment horizontal="right" vertical="center"/>
    </xf>
    <xf numFmtId="165" fontId="0" fillId="0" borderId="115" xfId="0" applyNumberFormat="1" applyBorder="1" applyAlignment="1">
      <alignment horizontal="right" vertical="center"/>
    </xf>
    <xf numFmtId="165" fontId="0" fillId="0" borderId="116" xfId="0" applyNumberFormat="1" applyBorder="1" applyAlignment="1">
      <alignment horizontal="right" vertical="center"/>
    </xf>
    <xf numFmtId="0" fontId="0" fillId="0" borderId="32" xfId="0" applyFill="1" applyBorder="1"/>
    <xf numFmtId="0" fontId="0" fillId="0" borderId="111" xfId="0" applyFill="1" applyBorder="1"/>
    <xf numFmtId="0" fontId="0" fillId="0" borderId="110" xfId="0" applyFill="1" applyBorder="1"/>
    <xf numFmtId="176" fontId="8" fillId="0" borderId="50" xfId="0" applyNumberFormat="1" applyFont="1" applyBorder="1"/>
    <xf numFmtId="0" fontId="0" fillId="0" borderId="23" xfId="0" applyFill="1" applyBorder="1"/>
    <xf numFmtId="0" fontId="8" fillId="0" borderId="18" xfId="0" applyFont="1" applyFill="1" applyBorder="1"/>
    <xf numFmtId="0" fontId="0" fillId="0" borderId="18" xfId="0" applyFill="1" applyBorder="1" applyAlignment="1">
      <alignment horizontal="center"/>
    </xf>
    <xf numFmtId="176" fontId="0" fillId="0" borderId="18" xfId="0" applyNumberFormat="1" applyFill="1" applyBorder="1"/>
    <xf numFmtId="176" fontId="8" fillId="0" borderId="50" xfId="0" applyNumberFormat="1" applyFont="1" applyFill="1" applyBorder="1"/>
    <xf numFmtId="0" fontId="0" fillId="0" borderId="53" xfId="0" applyBorder="1"/>
    <xf numFmtId="165" fontId="0" fillId="0" borderId="96" xfId="0" applyNumberFormat="1" applyFill="1" applyBorder="1" applyAlignment="1">
      <alignment horizontal="right" vertical="center"/>
    </xf>
    <xf numFmtId="165" fontId="0" fillId="0" borderId="102" xfId="0" applyNumberFormat="1" applyFill="1" applyBorder="1" applyAlignment="1">
      <alignment horizontal="right" vertical="center"/>
    </xf>
    <xf numFmtId="165" fontId="0" fillId="0" borderId="34" xfId="0" applyNumberFormat="1" applyBorder="1" applyAlignment="1">
      <alignment horizontal="right" vertical="center"/>
    </xf>
    <xf numFmtId="0" fontId="0" fillId="0" borderId="20" xfId="0" applyBorder="1"/>
    <xf numFmtId="0" fontId="0" fillId="0" borderId="95" xfId="0" applyBorder="1"/>
    <xf numFmtId="0" fontId="0" fillId="0" borderId="101" xfId="0" applyBorder="1"/>
    <xf numFmtId="0" fontId="0" fillId="0" borderId="97" xfId="0" applyBorder="1"/>
    <xf numFmtId="0" fontId="0" fillId="0" borderId="103" xfId="0" applyBorder="1"/>
    <xf numFmtId="0" fontId="0" fillId="0" borderId="98" xfId="0" applyBorder="1"/>
    <xf numFmtId="0" fontId="0" fillId="0" borderId="96" xfId="0" applyBorder="1"/>
    <xf numFmtId="0" fontId="0" fillId="0" borderId="96" xfId="0" applyFill="1" applyBorder="1"/>
    <xf numFmtId="0" fontId="8" fillId="0" borderId="104" xfId="0" applyFont="1" applyBorder="1" applyAlignment="1">
      <alignment horizontal="center"/>
    </xf>
    <xf numFmtId="0" fontId="8" fillId="0" borderId="21" xfId="0" applyFont="1" applyBorder="1" applyAlignment="1">
      <alignment horizontal="center"/>
    </xf>
    <xf numFmtId="0" fontId="0" fillId="0" borderId="0" xfId="0" pivotButton="1"/>
    <xf numFmtId="0" fontId="0" fillId="0" borderId="0" xfId="0" applyNumberFormat="1"/>
    <xf numFmtId="165" fontId="0" fillId="0" borderId="117" xfId="0" applyNumberFormat="1" applyBorder="1" applyAlignment="1">
      <alignment horizontal="right" vertical="center"/>
    </xf>
    <xf numFmtId="165" fontId="0" fillId="0" borderId="118" xfId="0" applyNumberFormat="1" applyBorder="1" applyAlignment="1">
      <alignment horizontal="right" vertical="center"/>
    </xf>
    <xf numFmtId="175" fontId="0" fillId="0" borderId="18" xfId="0" applyNumberFormat="1" applyBorder="1" applyAlignment="1">
      <alignment vertical="center"/>
    </xf>
    <xf numFmtId="175" fontId="0" fillId="0" borderId="18" xfId="0" applyNumberFormat="1" applyBorder="1"/>
    <xf numFmtId="0" fontId="0" fillId="0" borderId="63" xfId="0" applyBorder="1" applyAlignment="1">
      <alignment horizontal="left" wrapText="1"/>
    </xf>
    <xf numFmtId="0" fontId="0" fillId="0" borderId="68" xfId="0" applyBorder="1"/>
    <xf numFmtId="0" fontId="0" fillId="0" borderId="64" xfId="0" applyBorder="1"/>
    <xf numFmtId="0" fontId="0" fillId="0" borderId="63" xfId="0" applyFill="1" applyBorder="1"/>
    <xf numFmtId="175" fontId="0" fillId="0" borderId="44" xfId="0" applyNumberFormat="1" applyBorder="1" applyAlignment="1">
      <alignment vertical="center"/>
    </xf>
    <xf numFmtId="0" fontId="0" fillId="0" borderId="78" xfId="0" applyBorder="1" applyAlignment="1">
      <alignment wrapText="1"/>
    </xf>
    <xf numFmtId="0" fontId="0" fillId="0" borderId="78" xfId="0" applyFont="1" applyBorder="1" applyAlignment="1">
      <alignment horizontal="center"/>
    </xf>
    <xf numFmtId="0" fontId="0" fillId="0" borderId="40" xfId="0" applyBorder="1" applyAlignment="1">
      <alignment wrapText="1"/>
    </xf>
    <xf numFmtId="175" fontId="0" fillId="0" borderId="46" xfId="0" applyNumberFormat="1" applyBorder="1" applyAlignment="1">
      <alignment vertical="center"/>
    </xf>
    <xf numFmtId="0" fontId="0" fillId="0" borderId="88" xfId="0" applyFont="1" applyBorder="1" applyAlignment="1">
      <alignment horizontal="center"/>
    </xf>
    <xf numFmtId="0" fontId="8" fillId="0" borderId="19" xfId="0" applyFont="1" applyBorder="1"/>
    <xf numFmtId="176" fontId="0" fillId="0" borderId="19" xfId="0" applyNumberFormat="1" applyBorder="1"/>
    <xf numFmtId="0" fontId="0" fillId="0" borderId="27" xfId="0" applyBorder="1"/>
    <xf numFmtId="175" fontId="8" fillId="0" borderId="22" xfId="0" applyNumberFormat="1" applyFont="1" applyBorder="1" applyAlignment="1">
      <alignment horizontal="center"/>
    </xf>
    <xf numFmtId="0" fontId="8" fillId="0" borderId="64" xfId="0" applyFont="1" applyBorder="1" applyAlignment="1">
      <alignment horizontal="center"/>
    </xf>
    <xf numFmtId="0" fontId="8" fillId="0" borderId="21" xfId="0" applyFont="1" applyBorder="1"/>
    <xf numFmtId="0" fontId="8" fillId="0" borderId="83" xfId="0" applyFont="1" applyBorder="1"/>
    <xf numFmtId="0" fontId="8" fillId="0" borderId="104" xfId="0" applyFont="1" applyBorder="1"/>
    <xf numFmtId="175" fontId="0" fillId="0" borderId="69" xfId="0" applyNumberFormat="1" applyBorder="1" applyAlignment="1">
      <alignment vertical="center"/>
    </xf>
    <xf numFmtId="0" fontId="0" fillId="0" borderId="40" xfId="0" applyBorder="1"/>
    <xf numFmtId="175" fontId="0" fillId="0" borderId="49" xfId="0" applyNumberFormat="1" applyBorder="1" applyAlignment="1">
      <alignment vertical="center"/>
    </xf>
    <xf numFmtId="175" fontId="0" fillId="0" borderId="51" xfId="0" applyNumberFormat="1" applyBorder="1" applyAlignment="1">
      <alignment vertical="center"/>
    </xf>
    <xf numFmtId="0" fontId="0" fillId="0" borderId="21" xfId="0" applyFont="1" applyFill="1" applyBorder="1"/>
    <xf numFmtId="176" fontId="0" fillId="0" borderId="109" xfId="0" applyNumberFormat="1" applyFont="1" applyFill="1" applyBorder="1"/>
    <xf numFmtId="175" fontId="0" fillId="0" borderId="19" xfId="0" applyNumberFormat="1" applyBorder="1" applyAlignment="1">
      <alignment vertical="center"/>
    </xf>
    <xf numFmtId="175" fontId="0" fillId="0" borderId="89" xfId="0" applyNumberFormat="1" applyBorder="1" applyAlignment="1">
      <alignment vertical="center"/>
    </xf>
    <xf numFmtId="176" fontId="8" fillId="0" borderId="19" xfId="0" applyNumberFormat="1" applyFont="1" applyBorder="1"/>
    <xf numFmtId="176" fontId="8" fillId="0" borderId="69" xfId="0" applyNumberFormat="1" applyFont="1" applyBorder="1"/>
    <xf numFmtId="176" fontId="8" fillId="0" borderId="70" xfId="0" applyNumberFormat="1" applyFont="1" applyBorder="1"/>
    <xf numFmtId="0" fontId="0" fillId="0" borderId="109" xfId="0" applyBorder="1"/>
    <xf numFmtId="176" fontId="8" fillId="0" borderId="47" xfId="0" applyNumberFormat="1" applyFont="1" applyBorder="1"/>
    <xf numFmtId="175" fontId="0" fillId="0" borderId="69" xfId="0" applyNumberFormat="1" applyBorder="1"/>
    <xf numFmtId="10" fontId="16" fillId="0" borderId="0" xfId="0" applyNumberFormat="1" applyFont="1"/>
    <xf numFmtId="10" fontId="8" fillId="0" borderId="0" xfId="0" applyNumberFormat="1" applyFont="1"/>
    <xf numFmtId="175" fontId="0" fillId="0" borderId="0" xfId="0" applyNumberFormat="1" applyBorder="1"/>
    <xf numFmtId="175" fontId="0" fillId="0" borderId="22" xfId="0" applyNumberFormat="1" applyBorder="1" applyAlignment="1">
      <alignment vertical="center"/>
    </xf>
    <xf numFmtId="176" fontId="8" fillId="0" borderId="52" xfId="0" applyNumberFormat="1" applyFont="1" applyBorder="1"/>
    <xf numFmtId="0" fontId="0" fillId="0" borderId="102" xfId="0" applyBorder="1"/>
    <xf numFmtId="0" fontId="18" fillId="0" borderId="0" xfId="0" applyFont="1"/>
    <xf numFmtId="0" fontId="0" fillId="0" borderId="0" xfId="0" applyNumberFormat="1" applyBorder="1"/>
    <xf numFmtId="10" fontId="0" fillId="0" borderId="0" xfId="0" applyNumberFormat="1" applyFont="1"/>
    <xf numFmtId="176" fontId="8" fillId="0" borderId="45" xfId="0" applyNumberFormat="1" applyFont="1" applyBorder="1"/>
    <xf numFmtId="0" fontId="0" fillId="0" borderId="99" xfId="0" applyBorder="1"/>
    <xf numFmtId="165" fontId="0" fillId="0" borderId="41" xfId="0" applyNumberFormat="1" applyBorder="1" applyAlignment="1">
      <alignment horizontal="right" vertical="center"/>
    </xf>
    <xf numFmtId="175" fontId="0" fillId="0" borderId="91" xfId="0" applyNumberFormat="1" applyBorder="1" applyAlignment="1">
      <alignment vertical="center"/>
    </xf>
    <xf numFmtId="0" fontId="0" fillId="0" borderId="40" xfId="0" applyNumberFormat="1" applyBorder="1"/>
    <xf numFmtId="0" fontId="0" fillId="0" borderId="32" xfId="0" applyNumberFormat="1" applyBorder="1"/>
    <xf numFmtId="0" fontId="0" fillId="0" borderId="33" xfId="0" applyNumberFormat="1" applyBorder="1"/>
    <xf numFmtId="0" fontId="0" fillId="0" borderId="27" xfId="0" applyNumberFormat="1" applyBorder="1"/>
    <xf numFmtId="0" fontId="0" fillId="0" borderId="53" xfId="0" applyNumberFormat="1" applyBorder="1"/>
    <xf numFmtId="14" fontId="19" fillId="0" borderId="0" xfId="0" applyNumberFormat="1" applyFont="1" applyAlignment="1">
      <alignment horizontal="left"/>
    </xf>
    <xf numFmtId="176" fontId="8" fillId="0" borderId="93" xfId="0" applyNumberFormat="1" applyFont="1" applyBorder="1"/>
    <xf numFmtId="165" fontId="0" fillId="0" borderId="27" xfId="0" applyNumberFormat="1" applyBorder="1" applyAlignment="1">
      <alignment horizontal="right" vertical="center"/>
    </xf>
    <xf numFmtId="0" fontId="0" fillId="0" borderId="119" xfId="0" applyBorder="1"/>
    <xf numFmtId="165" fontId="0" fillId="0" borderId="0" xfId="0" applyNumberFormat="1" applyBorder="1" applyAlignment="1">
      <alignment horizontal="right" vertical="center"/>
    </xf>
    <xf numFmtId="175" fontId="0" fillId="0" borderId="21" xfId="0" applyNumberFormat="1" applyBorder="1" applyAlignment="1">
      <alignment vertical="center"/>
    </xf>
    <xf numFmtId="169" fontId="0" fillId="0" borderId="34" xfId="0" applyNumberFormat="1" applyBorder="1" applyAlignment="1">
      <alignment vertical="center"/>
    </xf>
    <xf numFmtId="0" fontId="0" fillId="0" borderId="23" xfId="0" applyBorder="1" applyAlignment="1">
      <alignment wrapText="1"/>
    </xf>
    <xf numFmtId="165" fontId="0" fillId="0" borderId="25" xfId="0" applyNumberFormat="1" applyBorder="1" applyAlignment="1">
      <alignment horizontal="right" vertical="center"/>
    </xf>
    <xf numFmtId="165" fontId="0" fillId="0" borderId="115" xfId="0" applyNumberFormat="1" applyFill="1" applyBorder="1" applyAlignment="1">
      <alignment horizontal="right" vertical="center"/>
    </xf>
    <xf numFmtId="0" fontId="0" fillId="0" borderId="113" xfId="0" applyFill="1" applyBorder="1"/>
    <xf numFmtId="0" fontId="0" fillId="0" borderId="112" xfId="0" applyFill="1" applyBorder="1"/>
    <xf numFmtId="165" fontId="0" fillId="0" borderId="117" xfId="0" applyNumberFormat="1" applyFill="1" applyBorder="1" applyAlignment="1">
      <alignment horizontal="right" vertical="center"/>
    </xf>
    <xf numFmtId="165" fontId="0" fillId="0" borderId="109" xfId="0" applyNumberFormat="1" applyFill="1" applyBorder="1" applyAlignment="1">
      <alignment horizontal="right" vertical="center"/>
    </xf>
    <xf numFmtId="0" fontId="0" fillId="0" borderId="119" xfId="0" applyFill="1" applyBorder="1"/>
    <xf numFmtId="0" fontId="16" fillId="0" borderId="0" xfId="0" applyFont="1" applyAlignment="1">
      <alignment wrapText="1"/>
    </xf>
    <xf numFmtId="165" fontId="0" fillId="0" borderId="99" xfId="0" applyNumberFormat="1" applyFill="1" applyBorder="1" applyAlignment="1">
      <alignment horizontal="right" vertical="center"/>
    </xf>
    <xf numFmtId="165" fontId="0" fillId="0" borderId="100" xfId="0" applyNumberFormat="1" applyFill="1" applyBorder="1" applyAlignment="1">
      <alignment horizontal="right" vertical="center"/>
    </xf>
    <xf numFmtId="0" fontId="8" fillId="4" borderId="0" xfId="0" applyFont="1" applyFill="1"/>
    <xf numFmtId="165" fontId="0" fillId="0" borderId="109" xfId="0" applyNumberFormat="1" applyBorder="1"/>
    <xf numFmtId="165" fontId="0" fillId="0" borderId="27" xfId="0" applyNumberFormat="1" applyFill="1" applyBorder="1" applyAlignment="1">
      <alignment horizontal="right" vertical="center"/>
    </xf>
    <xf numFmtId="0" fontId="0" fillId="0" borderId="53" xfId="0" applyFill="1" applyBorder="1"/>
    <xf numFmtId="165" fontId="0" fillId="0" borderId="114" xfId="0" applyNumberFormat="1" applyFill="1" applyBorder="1" applyAlignment="1">
      <alignment horizontal="right" vertical="center"/>
    </xf>
    <xf numFmtId="0" fontId="8" fillId="0" borderId="0" xfId="0" applyFont="1" applyFill="1"/>
    <xf numFmtId="0" fontId="0" fillId="0" borderId="0" xfId="0" applyFont="1" applyFill="1"/>
    <xf numFmtId="10" fontId="9" fillId="0" borderId="21" xfId="0" applyNumberFormat="1" applyFont="1" applyFill="1" applyBorder="1"/>
    <xf numFmtId="165" fontId="0" fillId="0" borderId="56" xfId="0" applyNumberFormat="1" applyFill="1" applyBorder="1" applyAlignment="1">
      <alignment horizontal="center" vertical="center"/>
    </xf>
    <xf numFmtId="166" fontId="0" fillId="0" borderId="56" xfId="0" applyNumberFormat="1" applyFill="1" applyBorder="1" applyAlignment="1">
      <alignment horizontal="center" vertical="center"/>
    </xf>
    <xf numFmtId="10" fontId="0" fillId="0" borderId="56" xfId="0" applyNumberFormat="1" applyFill="1" applyBorder="1" applyAlignment="1">
      <alignment horizontal="center" vertical="center"/>
    </xf>
    <xf numFmtId="0" fontId="0" fillId="0" borderId="56" xfId="0" applyFill="1" applyBorder="1" applyAlignment="1">
      <alignment horizontal="center"/>
    </xf>
    <xf numFmtId="165" fontId="0" fillId="0" borderId="6" xfId="0" applyNumberFormat="1" applyFill="1" applyBorder="1" applyAlignment="1">
      <alignment horizontal="right" vertical="center"/>
    </xf>
    <xf numFmtId="10" fontId="1" fillId="0" borderId="0" xfId="0" applyNumberFormat="1" applyFont="1" applyFill="1"/>
    <xf numFmtId="165" fontId="8" fillId="0" borderId="58" xfId="0" applyNumberFormat="1" applyFont="1" applyFill="1" applyBorder="1"/>
    <xf numFmtId="165" fontId="0" fillId="0" borderId="84" xfId="0" applyNumberFormat="1" applyFill="1" applyBorder="1" applyAlignment="1">
      <alignment horizontal="right" vertical="center"/>
    </xf>
    <xf numFmtId="165" fontId="2" fillId="0" borderId="76" xfId="0" applyNumberFormat="1" applyFont="1" applyFill="1" applyBorder="1" applyAlignment="1">
      <alignment horizontal="right" vertical="center"/>
    </xf>
    <xf numFmtId="165" fontId="0" fillId="0" borderId="0" xfId="0" applyNumberFormat="1" applyFill="1" applyAlignment="1">
      <alignment horizontal="right" vertical="center"/>
    </xf>
    <xf numFmtId="165" fontId="2" fillId="0" borderId="85" xfId="0" applyNumberFormat="1" applyFont="1" applyFill="1" applyBorder="1" applyAlignment="1">
      <alignment horizontal="right" vertical="center"/>
    </xf>
    <xf numFmtId="165" fontId="0" fillId="0" borderId="3" xfId="0" applyNumberFormat="1" applyFill="1" applyBorder="1" applyAlignment="1">
      <alignment horizontal="right" vertical="center"/>
    </xf>
    <xf numFmtId="165" fontId="0" fillId="0" borderId="56" xfId="0" applyNumberFormat="1" applyFill="1" applyBorder="1"/>
    <xf numFmtId="10" fontId="1" fillId="0" borderId="57" xfId="0" applyNumberFormat="1" applyFont="1" applyFill="1" applyBorder="1"/>
    <xf numFmtId="173" fontId="0" fillId="0" borderId="0" xfId="0" applyNumberFormat="1" applyFill="1" applyBorder="1"/>
    <xf numFmtId="173" fontId="0" fillId="0" borderId="0" xfId="0" applyNumberFormat="1" applyFill="1"/>
    <xf numFmtId="173" fontId="8" fillId="0" borderId="0" xfId="0" applyNumberFormat="1" applyFont="1" applyFill="1"/>
    <xf numFmtId="165" fontId="0" fillId="0" borderId="54" xfId="0" applyNumberFormat="1" applyFill="1" applyBorder="1"/>
    <xf numFmtId="10" fontId="9" fillId="0" borderId="61" xfId="0" applyNumberFormat="1" applyFont="1" applyFill="1" applyBorder="1"/>
    <xf numFmtId="165" fontId="8" fillId="0" borderId="0" xfId="0" applyNumberFormat="1" applyFont="1" applyFill="1"/>
    <xf numFmtId="0" fontId="8" fillId="0" borderId="0" xfId="0" applyFont="1" applyFill="1" applyAlignment="1">
      <alignment horizontal="right"/>
    </xf>
    <xf numFmtId="165" fontId="8" fillId="0" borderId="24" xfId="0" applyNumberFormat="1" applyFont="1" applyFill="1" applyBorder="1"/>
    <xf numFmtId="10" fontId="8" fillId="0" borderId="24" xfId="0" applyNumberFormat="1" applyFont="1" applyFill="1" applyBorder="1"/>
    <xf numFmtId="165" fontId="0" fillId="4" borderId="89" xfId="0" applyNumberFormat="1" applyFill="1" applyBorder="1" applyAlignment="1">
      <alignment horizontal="right" vertical="center"/>
    </xf>
    <xf numFmtId="0" fontId="0" fillId="0" borderId="88" xfId="0" applyBorder="1"/>
    <xf numFmtId="0" fontId="0" fillId="0" borderId="89" xfId="0" applyBorder="1"/>
    <xf numFmtId="0" fontId="8" fillId="0" borderId="89" xfId="0" applyFont="1" applyBorder="1"/>
    <xf numFmtId="0" fontId="0" fillId="0" borderId="89" xfId="0" applyBorder="1" applyAlignment="1">
      <alignment horizontal="center"/>
    </xf>
    <xf numFmtId="176" fontId="0" fillId="0" borderId="89" xfId="0" applyNumberFormat="1" applyBorder="1"/>
    <xf numFmtId="176" fontId="8" fillId="0" borderId="90" xfId="0" applyNumberFormat="1" applyFont="1" applyBorder="1"/>
    <xf numFmtId="0" fontId="14" fillId="0" borderId="119" xfId="0" applyFont="1" applyFill="1" applyBorder="1"/>
    <xf numFmtId="175" fontId="0" fillId="0" borderId="73" xfId="0" applyNumberFormat="1" applyBorder="1" applyAlignment="1">
      <alignment vertical="center"/>
    </xf>
    <xf numFmtId="0" fontId="0" fillId="0" borderId="0" xfId="0" quotePrefix="1" applyFill="1"/>
    <xf numFmtId="0" fontId="0" fillId="4" borderId="0" xfId="0" applyFill="1"/>
    <xf numFmtId="165" fontId="14" fillId="0" borderId="69" xfId="0" applyNumberFormat="1" applyFont="1" applyFill="1" applyBorder="1" applyAlignment="1">
      <alignment horizontal="right" vertical="center"/>
    </xf>
    <xf numFmtId="10" fontId="0" fillId="7" borderId="36" xfId="0" applyNumberFormat="1" applyFill="1" applyBorder="1" applyAlignment="1">
      <alignment horizontal="center"/>
    </xf>
    <xf numFmtId="2" fontId="8" fillId="7" borderId="24" xfId="0" applyNumberFormat="1" applyFont="1" applyFill="1" applyBorder="1" applyAlignment="1">
      <alignment horizontal="center"/>
    </xf>
    <xf numFmtId="165" fontId="0" fillId="0" borderId="69" xfId="0" applyNumberFormat="1" applyFont="1" applyFill="1" applyBorder="1" applyAlignment="1">
      <alignment horizontal="right" vertical="center"/>
    </xf>
    <xf numFmtId="0" fontId="0" fillId="0" borderId="71" xfId="0" applyFont="1" applyBorder="1"/>
    <xf numFmtId="165" fontId="20" fillId="0" borderId="89" xfId="0" applyNumberFormat="1" applyFont="1" applyFill="1" applyBorder="1" applyAlignment="1">
      <alignment horizontal="right" vertical="center"/>
    </xf>
    <xf numFmtId="165" fontId="20" fillId="0" borderId="69" xfId="0" applyNumberFormat="1" applyFont="1" applyFill="1" applyBorder="1" applyAlignment="1">
      <alignment horizontal="right" vertical="center"/>
    </xf>
    <xf numFmtId="0" fontId="0" fillId="0" borderId="0" xfId="0" applyAlignment="1">
      <alignment wrapText="1"/>
    </xf>
    <xf numFmtId="165" fontId="0" fillId="4" borderId="56" xfId="0" applyNumberFormat="1" applyFill="1" applyBorder="1"/>
    <xf numFmtId="165" fontId="15" fillId="0" borderId="27" xfId="0" applyNumberFormat="1" applyFont="1" applyFill="1" applyBorder="1" applyAlignment="1">
      <alignment horizontal="right" vertical="center"/>
    </xf>
    <xf numFmtId="0" fontId="14" fillId="0" borderId="53" xfId="0" applyFont="1" applyFill="1" applyBorder="1"/>
    <xf numFmtId="165" fontId="15" fillId="0" borderId="69" xfId="0" applyNumberFormat="1" applyFont="1" applyFill="1" applyBorder="1" applyAlignment="1">
      <alignment horizontal="right" vertical="center"/>
    </xf>
    <xf numFmtId="165" fontId="15" fillId="0" borderId="89" xfId="0" applyNumberFormat="1" applyFont="1" applyFill="1" applyBorder="1" applyAlignment="1">
      <alignment horizontal="right" vertical="center"/>
    </xf>
    <xf numFmtId="177" fontId="11" fillId="0" borderId="0" xfId="0" applyNumberFormat="1" applyFont="1" applyAlignment="1">
      <alignment horizontal="right"/>
    </xf>
    <xf numFmtId="177" fontId="0" fillId="0" borderId="0" xfId="0" applyNumberFormat="1" applyAlignment="1">
      <alignment horizontal="right"/>
    </xf>
    <xf numFmtId="165" fontId="20" fillId="0" borderId="109" xfId="0" applyNumberFormat="1" applyFont="1" applyFill="1" applyBorder="1" applyAlignment="1">
      <alignment horizontal="right" vertical="center"/>
    </xf>
    <xf numFmtId="10" fontId="21" fillId="0" borderId="69" xfId="0" applyNumberFormat="1" applyFont="1" applyFill="1" applyBorder="1"/>
    <xf numFmtId="0" fontId="20" fillId="0" borderId="119" xfId="0" applyFont="1" applyFill="1" applyBorder="1"/>
    <xf numFmtId="165" fontId="20" fillId="0" borderId="27" xfId="0" applyNumberFormat="1" applyFont="1" applyFill="1" applyBorder="1" applyAlignment="1">
      <alignment horizontal="right" vertical="center"/>
    </xf>
    <xf numFmtId="10" fontId="21" fillId="0" borderId="89" xfId="0" applyNumberFormat="1" applyFont="1" applyFill="1" applyBorder="1"/>
    <xf numFmtId="0" fontId="20" fillId="0" borderId="53" xfId="0" applyFont="1" applyFill="1" applyBorder="1"/>
    <xf numFmtId="0" fontId="8" fillId="0" borderId="0" xfId="0" applyFont="1" applyFill="1" applyAlignment="1">
      <alignment horizontal="left"/>
    </xf>
    <xf numFmtId="177" fontId="0" fillId="0" borderId="0" xfId="0" applyNumberFormat="1"/>
    <xf numFmtId="4" fontId="0" fillId="4" borderId="0" xfId="0" applyNumberFormat="1" applyFill="1"/>
    <xf numFmtId="0" fontId="0" fillId="0" borderId="90" xfId="0" applyFill="1" applyBorder="1"/>
    <xf numFmtId="0" fontId="14" fillId="0" borderId="0" xfId="0" applyFont="1" applyFill="1"/>
    <xf numFmtId="0" fontId="8" fillId="0" borderId="24" xfId="0" applyFont="1" applyBorder="1" applyAlignment="1">
      <alignment horizontal="center"/>
    </xf>
    <xf numFmtId="166" fontId="8" fillId="0" borderId="43" xfId="0" applyNumberFormat="1" applyFont="1" applyBorder="1" applyAlignment="1">
      <alignment horizontal="center" vertical="center"/>
    </xf>
    <xf numFmtId="0" fontId="8" fillId="0" borderId="25" xfId="0" applyFont="1" applyFill="1" applyBorder="1" applyAlignment="1">
      <alignment horizontal="center"/>
    </xf>
    <xf numFmtId="166" fontId="8" fillId="0" borderId="24" xfId="0" applyNumberFormat="1" applyFont="1" applyFill="1" applyBorder="1" applyAlignment="1">
      <alignment horizontal="center" vertical="center"/>
    </xf>
    <xf numFmtId="10" fontId="8" fillId="0" borderId="31" xfId="0" applyNumberFormat="1" applyFont="1" applyFill="1" applyBorder="1" applyAlignment="1">
      <alignment horizontal="center" vertical="center"/>
    </xf>
    <xf numFmtId="165" fontId="22" fillId="4" borderId="89" xfId="0" applyNumberFormat="1" applyFont="1" applyFill="1" applyBorder="1" applyAlignment="1">
      <alignment horizontal="right" vertical="center"/>
    </xf>
    <xf numFmtId="165" fontId="22" fillId="0" borderId="89" xfId="0" applyNumberFormat="1" applyFont="1" applyFill="1" applyBorder="1" applyAlignment="1">
      <alignment horizontal="right" vertical="center"/>
    </xf>
    <xf numFmtId="0" fontId="20" fillId="4" borderId="119" xfId="0" applyFont="1" applyFill="1" applyBorder="1"/>
    <xf numFmtId="0" fontId="20" fillId="4" borderId="53" xfId="0" applyFont="1" applyFill="1" applyBorder="1"/>
    <xf numFmtId="165" fontId="20" fillId="4" borderId="69" xfId="0" applyNumberFormat="1" applyFont="1" applyFill="1" applyBorder="1" applyAlignment="1">
      <alignment horizontal="right" vertical="center"/>
    </xf>
    <xf numFmtId="165" fontId="22" fillId="0" borderId="69" xfId="0" applyNumberFormat="1" applyFont="1" applyFill="1" applyBorder="1" applyAlignment="1">
      <alignment horizontal="right" vertical="center"/>
    </xf>
    <xf numFmtId="165" fontId="20" fillId="4" borderId="89" xfId="0" applyNumberFormat="1" applyFont="1" applyFill="1" applyBorder="1" applyAlignment="1">
      <alignment horizontal="right" vertical="center"/>
    </xf>
    <xf numFmtId="169" fontId="0" fillId="0" borderId="58" xfId="0" applyNumberFormat="1" applyBorder="1" applyAlignment="1">
      <alignment vertical="center"/>
    </xf>
    <xf numFmtId="169" fontId="0" fillId="0" borderId="39" xfId="0" applyNumberFormat="1" applyBorder="1" applyAlignment="1">
      <alignment vertical="center"/>
    </xf>
    <xf numFmtId="0" fontId="11" fillId="0" borderId="0" xfId="0" applyFont="1" applyAlignment="1">
      <alignment horizontal="center"/>
    </xf>
    <xf numFmtId="0" fontId="0" fillId="0" borderId="25" xfId="0" applyBorder="1" applyAlignment="1">
      <alignment horizontal="center"/>
    </xf>
    <xf numFmtId="0" fontId="0" fillId="0" borderId="43" xfId="0" applyBorder="1" applyAlignment="1">
      <alignment horizontal="center"/>
    </xf>
    <xf numFmtId="169" fontId="0" fillId="0" borderId="58" xfId="0" applyNumberFormat="1" applyBorder="1" applyAlignment="1">
      <alignment horizontal="center" vertical="center"/>
    </xf>
    <xf numFmtId="10" fontId="0" fillId="0" borderId="36" xfId="0" applyNumberFormat="1" applyFont="1" applyBorder="1"/>
    <xf numFmtId="10" fontId="0" fillId="0" borderId="71" xfId="0" applyNumberFormat="1" applyFont="1" applyBorder="1"/>
    <xf numFmtId="10" fontId="0" fillId="0" borderId="58" xfId="0" applyNumberFormat="1" applyFont="1" applyBorder="1"/>
    <xf numFmtId="10" fontId="8" fillId="0" borderId="36" xfId="0" applyNumberFormat="1" applyFont="1" applyBorder="1"/>
    <xf numFmtId="10" fontId="8" fillId="0" borderId="71" xfId="0" applyNumberFormat="1" applyFont="1" applyBorder="1"/>
    <xf numFmtId="10" fontId="8" fillId="0" borderId="58" xfId="0" applyNumberFormat="1" applyFont="1" applyBorder="1"/>
    <xf numFmtId="173" fontId="0" fillId="0" borderId="35" xfId="0" applyNumberFormat="1" applyBorder="1" applyAlignment="1">
      <alignment horizontal="center"/>
    </xf>
    <xf numFmtId="173" fontId="0" fillId="0" borderId="42" xfId="0" applyNumberFormat="1" applyBorder="1" applyAlignment="1">
      <alignment horizontal="center"/>
    </xf>
    <xf numFmtId="0" fontId="0" fillId="0" borderId="25" xfId="0" applyFill="1" applyBorder="1" applyAlignment="1">
      <alignment horizontal="center"/>
    </xf>
    <xf numFmtId="0" fontId="0" fillId="0" borderId="43" xfId="0" applyFill="1" applyBorder="1" applyAlignment="1">
      <alignment horizontal="center"/>
    </xf>
    <xf numFmtId="0" fontId="0" fillId="0" borderId="31" xfId="0" applyFill="1" applyBorder="1" applyAlignment="1">
      <alignment horizontal="center"/>
    </xf>
    <xf numFmtId="169" fontId="0" fillId="0" borderId="36" xfId="0" applyNumberFormat="1" applyBorder="1" applyAlignment="1">
      <alignment vertical="center"/>
    </xf>
    <xf numFmtId="169" fontId="0" fillId="0" borderId="71" xfId="0" applyNumberFormat="1" applyBorder="1" applyAlignment="1">
      <alignment vertical="center"/>
    </xf>
    <xf numFmtId="0" fontId="11" fillId="0" borderId="0" xfId="0" applyFont="1" applyAlignment="1">
      <alignment horizontal="center"/>
    </xf>
    <xf numFmtId="0" fontId="0" fillId="0" borderId="41" xfId="0" applyBorder="1" applyAlignment="1">
      <alignment wrapText="1"/>
    </xf>
    <xf numFmtId="0" fontId="0" fillId="0" borderId="0" xfId="0" applyBorder="1" applyAlignment="1">
      <alignment wrapText="1"/>
    </xf>
    <xf numFmtId="169" fontId="0" fillId="0" borderId="58" xfId="0" applyNumberFormat="1" applyBorder="1" applyAlignment="1">
      <alignment vertical="center"/>
    </xf>
    <xf numFmtId="173" fontId="0" fillId="0" borderId="120" xfId="0" applyNumberFormat="1" applyBorder="1" applyAlignment="1">
      <alignment horizontal="center"/>
    </xf>
    <xf numFmtId="173" fontId="0" fillId="0" borderId="121" xfId="0" applyNumberFormat="1" applyBorder="1" applyAlignment="1">
      <alignment horizontal="center"/>
    </xf>
    <xf numFmtId="173" fontId="0" fillId="0" borderId="122" xfId="0" applyNumberFormat="1" applyBorder="1" applyAlignment="1">
      <alignment horizontal="center"/>
    </xf>
    <xf numFmtId="173" fontId="0" fillId="0" borderId="123" xfId="0" applyNumberFormat="1" applyBorder="1" applyAlignment="1">
      <alignment horizontal="center"/>
    </xf>
    <xf numFmtId="165" fontId="10" fillId="0" borderId="86" xfId="0" applyNumberFormat="1" applyFont="1" applyFill="1" applyBorder="1" applyAlignment="1">
      <alignment horizontal="right" vertical="center"/>
    </xf>
    <xf numFmtId="165" fontId="10" fillId="0" borderId="87" xfId="0" applyNumberFormat="1" applyFont="1" applyFill="1" applyBorder="1" applyAlignment="1">
      <alignment horizontal="right" vertical="center"/>
    </xf>
    <xf numFmtId="169" fontId="0" fillId="0" borderId="39" xfId="0" applyNumberFormat="1" applyBorder="1" applyAlignment="1">
      <alignment horizontal="right" vertical="center"/>
    </xf>
    <xf numFmtId="169" fontId="0" fillId="0" borderId="41" xfId="0" applyNumberFormat="1" applyBorder="1" applyAlignment="1">
      <alignment horizontal="right" vertical="center"/>
    </xf>
    <xf numFmtId="169" fontId="0" fillId="0" borderId="34" xfId="0" applyNumberFormat="1" applyBorder="1" applyAlignment="1">
      <alignment horizontal="right" vertical="center"/>
    </xf>
    <xf numFmtId="169" fontId="0" fillId="0" borderId="36" xfId="0" applyNumberFormat="1" applyBorder="1" applyAlignment="1">
      <alignment horizontal="right" vertical="center"/>
    </xf>
    <xf numFmtId="169" fontId="0" fillId="0" borderId="71" xfId="0" applyNumberFormat="1" applyBorder="1" applyAlignment="1">
      <alignment horizontal="right" vertical="center"/>
    </xf>
    <xf numFmtId="169" fontId="0" fillId="0" borderId="39" xfId="0" applyNumberFormat="1" applyBorder="1" applyAlignment="1">
      <alignment vertical="center"/>
    </xf>
    <xf numFmtId="169" fontId="0" fillId="0" borderId="41" xfId="0" applyNumberFormat="1" applyBorder="1" applyAlignment="1">
      <alignment vertical="center"/>
    </xf>
    <xf numFmtId="169" fontId="0" fillId="0" borderId="107" xfId="0" applyNumberFormat="1" applyBorder="1" applyAlignment="1">
      <alignment horizontal="right" vertical="center"/>
    </xf>
    <xf numFmtId="169" fontId="0" fillId="0" borderId="108" xfId="0" applyNumberFormat="1" applyBorder="1" applyAlignment="1">
      <alignment horizontal="right" vertical="center"/>
    </xf>
    <xf numFmtId="10" fontId="0" fillId="9" borderId="25" xfId="0" applyNumberFormat="1" applyFill="1" applyBorder="1" applyAlignment="1">
      <alignment horizontal="center"/>
    </xf>
    <xf numFmtId="10" fontId="0" fillId="9" borderId="31" xfId="0" applyNumberFormat="1" applyFill="1" applyBorder="1" applyAlignment="1">
      <alignment horizontal="center"/>
    </xf>
    <xf numFmtId="2" fontId="0" fillId="9" borderId="34" xfId="0" applyNumberFormat="1" applyFont="1" applyFill="1" applyBorder="1" applyAlignment="1">
      <alignment horizontal="center"/>
    </xf>
    <xf numFmtId="2" fontId="0" fillId="9" borderId="53" xfId="0" applyNumberFormat="1" applyFont="1" applyFill="1" applyBorder="1" applyAlignment="1">
      <alignment horizontal="center"/>
    </xf>
    <xf numFmtId="2" fontId="8" fillId="7" borderId="34" xfId="0" applyNumberFormat="1" applyFont="1" applyFill="1" applyBorder="1" applyAlignment="1">
      <alignment horizontal="center"/>
    </xf>
    <xf numFmtId="2" fontId="8" fillId="7" borderId="53" xfId="0" applyNumberFormat="1" applyFont="1" applyFill="1" applyBorder="1" applyAlignment="1">
      <alignment horizontal="center"/>
    </xf>
    <xf numFmtId="10" fontId="8" fillId="7" borderId="25" xfId="0" applyNumberFormat="1" applyFont="1" applyFill="1" applyBorder="1" applyAlignment="1">
      <alignment horizontal="center"/>
    </xf>
    <xf numFmtId="10" fontId="8" fillId="7" borderId="31" xfId="0" applyNumberFormat="1" applyFont="1" applyFill="1" applyBorder="1" applyAlignment="1">
      <alignment horizontal="center"/>
    </xf>
    <xf numFmtId="2" fontId="0" fillId="9" borderId="41" xfId="0" applyNumberFormat="1" applyFont="1" applyFill="1" applyBorder="1" applyAlignment="1">
      <alignment horizontal="center"/>
    </xf>
    <xf numFmtId="2" fontId="0" fillId="9" borderId="33" xfId="0" applyNumberFormat="1" applyFont="1" applyFill="1" applyBorder="1" applyAlignment="1">
      <alignment horizontal="center"/>
    </xf>
    <xf numFmtId="2" fontId="0" fillId="9" borderId="39" xfId="0" applyNumberFormat="1" applyFont="1" applyFill="1" applyBorder="1" applyAlignment="1">
      <alignment horizontal="center"/>
    </xf>
    <xf numFmtId="2" fontId="0" fillId="9" borderId="32" xfId="0" applyNumberFormat="1" applyFont="1" applyFill="1" applyBorder="1" applyAlignment="1">
      <alignment horizontal="center"/>
    </xf>
    <xf numFmtId="10" fontId="0" fillId="9" borderId="39" xfId="0" applyNumberFormat="1" applyFill="1" applyBorder="1" applyAlignment="1">
      <alignment horizontal="center"/>
    </xf>
    <xf numFmtId="10" fontId="0" fillId="9" borderId="32" xfId="0" applyNumberFormat="1" applyFill="1" applyBorder="1" applyAlignment="1">
      <alignment horizontal="center"/>
    </xf>
    <xf numFmtId="10" fontId="0" fillId="9" borderId="40" xfId="0" applyNumberFormat="1" applyFill="1" applyBorder="1" applyAlignment="1">
      <alignment horizontal="center"/>
    </xf>
    <xf numFmtId="10" fontId="0" fillId="0" borderId="43" xfId="0" applyNumberFormat="1" applyBorder="1" applyAlignment="1">
      <alignment horizontal="center"/>
    </xf>
    <xf numFmtId="10" fontId="0" fillId="0" borderId="31" xfId="0" applyNumberFormat="1" applyBorder="1" applyAlignment="1">
      <alignment horizontal="center"/>
    </xf>
    <xf numFmtId="0" fontId="17" fillId="0" borderId="0" xfId="0" applyFont="1" applyAlignment="1">
      <alignment horizontal="center" wrapText="1"/>
    </xf>
    <xf numFmtId="165" fontId="10" fillId="7" borderId="14" xfId="0" applyNumberFormat="1" applyFont="1" applyFill="1" applyBorder="1" applyAlignment="1">
      <alignment horizontal="right" vertical="center"/>
    </xf>
    <xf numFmtId="165" fontId="10" fillId="7" borderId="65" xfId="0" applyNumberFormat="1" applyFont="1" applyFill="1" applyBorder="1" applyAlignment="1">
      <alignment horizontal="right" vertical="center"/>
    </xf>
    <xf numFmtId="169" fontId="0" fillId="0" borderId="36" xfId="0" applyNumberFormat="1" applyBorder="1" applyAlignment="1">
      <alignment horizontal="center" vertical="center"/>
    </xf>
    <xf numFmtId="169" fontId="0" fillId="0" borderId="71" xfId="0" applyNumberFormat="1" applyBorder="1" applyAlignment="1">
      <alignment horizontal="center" vertical="center"/>
    </xf>
    <xf numFmtId="169" fontId="0" fillId="0" borderId="58" xfId="0" applyNumberFormat="1" applyBorder="1" applyAlignment="1">
      <alignment horizontal="center" vertical="center"/>
    </xf>
    <xf numFmtId="169" fontId="0" fillId="0" borderId="41" xfId="0" applyNumberFormat="1" applyBorder="1" applyAlignment="1">
      <alignment horizontal="center" vertical="center"/>
    </xf>
    <xf numFmtId="169" fontId="0" fillId="0" borderId="39" xfId="0" applyNumberFormat="1" applyBorder="1" applyAlignment="1">
      <alignment horizontal="center" vertical="center"/>
    </xf>
    <xf numFmtId="169" fontId="0" fillId="0" borderId="34" xfId="0" applyNumberFormat="1" applyBorder="1" applyAlignment="1">
      <alignment horizontal="center" vertical="center"/>
    </xf>
    <xf numFmtId="169" fontId="0" fillId="4" borderId="36" xfId="0" applyNumberFormat="1" applyFill="1" applyBorder="1" applyAlignment="1">
      <alignment horizontal="center" vertical="center"/>
    </xf>
    <xf numFmtId="169" fontId="0" fillId="4" borderId="71" xfId="0" applyNumberFormat="1" applyFill="1" applyBorder="1" applyAlignment="1">
      <alignment horizontal="center" vertical="center"/>
    </xf>
    <xf numFmtId="169" fontId="0" fillId="4" borderId="58" xfId="0" applyNumberFormat="1" applyFill="1" applyBorder="1" applyAlignment="1">
      <alignment horizontal="center" vertical="center"/>
    </xf>
    <xf numFmtId="0" fontId="12" fillId="0" borderId="0" xfId="0" applyFont="1" applyAlignment="1">
      <alignment horizontal="left" wrapText="1"/>
    </xf>
    <xf numFmtId="173" fontId="0" fillId="0" borderId="37" xfId="0" applyNumberFormat="1" applyBorder="1" applyAlignment="1">
      <alignment horizontal="center"/>
    </xf>
    <xf numFmtId="173" fontId="0" fillId="0" borderId="74" xfId="0" applyNumberFormat="1" applyBorder="1" applyAlignment="1">
      <alignment horizontal="center"/>
    </xf>
    <xf numFmtId="173" fontId="0" fillId="0" borderId="26" xfId="0" applyNumberFormat="1" applyBorder="1" applyAlignment="1">
      <alignment horizontal="center"/>
    </xf>
    <xf numFmtId="173" fontId="0" fillId="0" borderId="12" xfId="0" applyNumberFormat="1" applyBorder="1" applyAlignment="1">
      <alignment horizontal="center"/>
    </xf>
    <xf numFmtId="169" fontId="0" fillId="0" borderId="32" xfId="0" applyNumberFormat="1" applyBorder="1" applyAlignment="1">
      <alignment vertical="center"/>
    </xf>
    <xf numFmtId="169" fontId="0" fillId="0" borderId="33" xfId="0" applyNumberFormat="1" applyBorder="1" applyAlignment="1">
      <alignment vertical="center"/>
    </xf>
    <xf numFmtId="169" fontId="0" fillId="0" borderId="0" xfId="0" applyNumberFormat="1" applyBorder="1" applyAlignment="1">
      <alignment vertical="center"/>
    </xf>
    <xf numFmtId="0" fontId="0" fillId="0" borderId="25" xfId="0" applyBorder="1" applyAlignment="1">
      <alignment horizontal="center"/>
    </xf>
    <xf numFmtId="0" fontId="0" fillId="0" borderId="43" xfId="0" applyBorder="1" applyAlignment="1">
      <alignment horizontal="center"/>
    </xf>
    <xf numFmtId="0" fontId="0" fillId="0" borderId="31" xfId="0" applyBorder="1" applyAlignment="1">
      <alignment horizontal="center"/>
    </xf>
    <xf numFmtId="173" fontId="0" fillId="0" borderId="5" xfId="0" applyNumberFormat="1" applyBorder="1" applyAlignment="1">
      <alignment horizontal="center"/>
    </xf>
    <xf numFmtId="169" fontId="0" fillId="0" borderId="53" xfId="0" applyNumberFormat="1" applyBorder="1" applyAlignment="1">
      <alignment vertical="center"/>
    </xf>
    <xf numFmtId="169" fontId="0" fillId="0" borderId="32" xfId="0" applyNumberFormat="1" applyBorder="1" applyAlignment="1">
      <alignment horizontal="right" vertical="center"/>
    </xf>
    <xf numFmtId="169" fontId="0" fillId="0" borderId="33" xfId="0" applyNumberFormat="1" applyBorder="1" applyAlignment="1">
      <alignment horizontal="right" vertical="center"/>
    </xf>
    <xf numFmtId="169" fontId="0" fillId="0" borderId="53" xfId="0" applyNumberFormat="1" applyBorder="1" applyAlignment="1">
      <alignment horizontal="right" vertical="center"/>
    </xf>
    <xf numFmtId="169" fontId="0" fillId="0" borderId="58" xfId="0" applyNumberFormat="1" applyBorder="1" applyAlignment="1">
      <alignment horizontal="right" vertical="center"/>
    </xf>
    <xf numFmtId="0" fontId="0" fillId="0" borderId="0" xfId="0" applyAlignment="1">
      <alignment horizontal="left" wrapText="1"/>
    </xf>
    <xf numFmtId="0" fontId="3" fillId="2" borderId="0" xfId="0" applyFont="1" applyFill="1" applyAlignment="1" applyProtection="1">
      <alignment horizontal="center"/>
      <protection hidden="1"/>
    </xf>
    <xf numFmtId="0" fontId="4" fillId="3" borderId="0" xfId="0" applyFont="1" applyFill="1" applyAlignment="1" applyProtection="1">
      <alignment horizontal="center"/>
      <protection hidden="1"/>
    </xf>
    <xf numFmtId="173" fontId="0" fillId="0" borderId="25" xfId="0" applyNumberFormat="1" applyBorder="1" applyAlignment="1">
      <alignment horizontal="center"/>
    </xf>
    <xf numFmtId="173" fontId="0" fillId="0" borderId="31" xfId="0" applyNumberFormat="1" applyBorder="1" applyAlignment="1">
      <alignment horizontal="center"/>
    </xf>
  </cellXfs>
  <cellStyles count="3">
    <cellStyle name="Euro" xfId="1" xr:uid="{00000000-0005-0000-0000-000000000000}"/>
    <cellStyle name="Normal" xfId="0" builtinId="0"/>
    <cellStyle name="Percent 2" xfId="2" xr:uid="{00000000-0005-0000-0000-000002000000}"/>
  </cellStyles>
  <dxfs count="115">
    <dxf>
      <font>
        <color rgb="FF0070C0"/>
      </font>
    </dxf>
    <dxf>
      <font>
        <color rgb="FF0070C0"/>
      </font>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indexed="8"/>
        <name val="Arial"/>
        <scheme val="none"/>
      </font>
      <numFmt numFmtId="178" formatCode="0.000"/>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indexed="8"/>
        <name val="Arial"/>
        <scheme val="none"/>
      </font>
      <numFmt numFmtId="14" formatCode="0.00%"/>
      <protection locked="1" hidden="1"/>
    </dxf>
    <dxf>
      <numFmt numFmtId="0" formatCode="Genera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font>
        <b val="0"/>
        <i val="0"/>
        <strike val="0"/>
        <condense val="0"/>
        <extend val="0"/>
        <outline val="0"/>
        <shadow val="0"/>
        <u val="none"/>
        <vertAlign val="baseline"/>
        <sz val="9"/>
        <color auto="1"/>
        <name val="Arial"/>
        <scheme val="none"/>
      </font>
      <numFmt numFmtId="167" formatCode="&quot;$&quot;#,##0.00;[Red]&quot;$&quot;#,##0.00"/>
      <fill>
        <patternFill patternType="none">
          <fgColor indexed="64"/>
          <bgColor indexed="65"/>
        </patternFill>
      </fill>
      <protection locked="1" hidden="1"/>
    </dxf>
    <dxf>
      <numFmt numFmtId="167" formatCode="&quot;$&quot;#,##0.00;[Red]&quot;$&quot;#,##0.00"/>
      <fill>
        <patternFill patternType="none">
          <fgColor indexed="64"/>
          <bgColor indexed="65"/>
        </patternFill>
      </fill>
      <protection locked="1" hidden="1"/>
    </dxf>
    <dxf>
      <numFmt numFmtId="22" formatCode="mmm\-yy"/>
      <protection locked="1" hidden="1"/>
    </dxf>
    <dxf>
      <numFmt numFmtId="22" formatCode="mmm\-yy"/>
      <protection locked="1" hidden="1"/>
    </dxf>
    <dxf>
      <protection locked="1" hidden="1"/>
    </dxf>
    <dxf>
      <font>
        <b val="0"/>
        <i val="0"/>
        <strike val="0"/>
        <condense val="0"/>
        <extend val="0"/>
        <outline val="0"/>
        <shadow val="0"/>
        <u val="none"/>
        <vertAlign val="baseline"/>
        <sz val="9"/>
        <color auto="1"/>
        <name val="Arial"/>
        <scheme val="none"/>
      </font>
      <fill>
        <patternFill patternType="none">
          <fgColor indexed="64"/>
          <bgColor indexed="65"/>
        </patternFill>
      </fill>
      <protection locked="1" hidden="1"/>
    </dxf>
    <dxf>
      <font>
        <b/>
        <i val="0"/>
        <strike val="0"/>
        <condense val="0"/>
        <extend val="0"/>
        <outline val="0"/>
        <shadow val="0"/>
        <u val="none"/>
        <vertAlign val="baseline"/>
        <sz val="9"/>
        <color auto="1"/>
        <name val="Arial"/>
        <scheme val="none"/>
      </font>
      <numFmt numFmtId="170" formatCode="[$€-2]\ #,##0.00;[Red][$€-2]\ #,##0.00"/>
      <alignment horizontal="general" vertical="center" textRotation="0" wrapText="1" indent="0" justifyLastLine="0" shrinkToFit="0" readingOrder="0"/>
      <protection locked="1" hidden="1"/>
    </dxf>
    <dxf>
      <font>
        <color auto="1"/>
      </font>
      <fill>
        <patternFill>
          <bgColor rgb="FF92D050"/>
        </patternFill>
      </fill>
    </dxf>
    <dxf>
      <font>
        <color rgb="FF006100"/>
      </font>
      <fill>
        <patternFill>
          <bgColor rgb="FFC6EFCE"/>
        </patternFill>
      </fill>
    </dxf>
    <dxf>
      <font>
        <b/>
        <i val="0"/>
        <color rgb="FF00B050"/>
      </font>
    </dxf>
    <dxf>
      <font>
        <b/>
        <i val="0"/>
        <color rgb="FF00B050"/>
      </font>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00B050"/>
      </font>
    </dxf>
    <dxf>
      <font>
        <b/>
        <i val="0"/>
        <color rgb="FF00B050"/>
      </font>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00B050"/>
      </font>
    </dxf>
    <dxf>
      <font>
        <b/>
        <i val="0"/>
        <color rgb="FF00B050"/>
      </font>
    </dxf>
    <dxf>
      <font>
        <color rgb="FF006100"/>
      </font>
      <fill>
        <patternFill>
          <bgColor rgb="FFC6EFCE"/>
        </patternFill>
      </fill>
    </dxf>
    <dxf>
      <font>
        <b/>
        <i val="0"/>
        <color rgb="FF00B050"/>
      </font>
    </dxf>
    <dxf>
      <font>
        <b/>
        <i val="0"/>
        <color rgb="FF00B050"/>
      </font>
    </dxf>
    <dxf>
      <font>
        <color rgb="FF0070C0"/>
      </font>
    </dxf>
    <dxf>
      <font>
        <color rgb="FF006100"/>
      </font>
      <fill>
        <patternFill>
          <bgColor rgb="FFC6EFCE"/>
        </patternFill>
      </fill>
    </dxf>
    <dxf>
      <font>
        <color rgb="FF0070C0"/>
      </font>
    </dxf>
    <dxf>
      <font>
        <color rgb="FF0070C0"/>
      </font>
    </dxf>
    <dxf>
      <font>
        <color rgb="FF9C0006"/>
      </font>
      <fill>
        <patternFill>
          <bgColor rgb="FFFFC7CE"/>
        </patternFill>
      </fill>
    </dxf>
    <dxf>
      <font>
        <color rgb="FF006100"/>
      </font>
      <fill>
        <patternFill>
          <bgColor rgb="FFC6EF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font>
        <b/>
        <i val="0"/>
        <strike val="0"/>
        <condense val="0"/>
        <extend val="0"/>
        <outline val="0"/>
        <shadow val="0"/>
        <u val="none"/>
        <vertAlign val="baseline"/>
        <sz val="11"/>
        <color theme="1"/>
        <name val="Calibri"/>
        <family val="2"/>
        <scheme val="minor"/>
      </font>
      <numFmt numFmtId="176" formatCode="0;[Red]0"/>
      <border diagonalUp="0" diagonalDown="0">
        <left style="thin">
          <color rgb="FF000000"/>
        </left>
        <right style="medium">
          <color rgb="FF000000"/>
        </right>
        <top style="thin">
          <color rgb="FF000000"/>
        </top>
        <bottom style="thin">
          <color rgb="FF000000"/>
        </bottom>
        <vertical/>
        <horizontal/>
      </border>
    </dxf>
    <dxf>
      <numFmt numFmtId="176" formatCode="0;[Red]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numFmt numFmtId="175" formatCode="dd\-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rgb="FF000000"/>
        </left>
        <right style="thin">
          <color rgb="FF000000"/>
        </right>
        <top/>
        <bottom/>
      </border>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b/>
        <i val="0"/>
        <color rgb="FF00B050"/>
      </font>
    </dxf>
    <dxf>
      <font>
        <b/>
        <i val="0"/>
        <color rgb="FF00B050"/>
      </font>
    </dxf>
    <dxf>
      <font>
        <color rgb="FF006100"/>
      </font>
      <fill>
        <patternFill>
          <bgColor rgb="FFC6EFCE"/>
        </patternFill>
      </fill>
    </dxf>
    <dxf>
      <font>
        <color rgb="FF006100"/>
      </font>
      <fill>
        <patternFill>
          <bgColor rgb="FFC6EFCE"/>
        </patternFill>
      </fill>
    </dxf>
    <dxf>
      <font>
        <color rgb="FF0070C0"/>
      </font>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0A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NBA!$G$2:$G$1036</c:f>
              <c:numCache>
                <c:formatCode>#,##0.00;[Red]#,##0.00</c:formatCode>
                <c:ptCount val="1035"/>
                <c:pt idx="237">
                  <c:v>-2.38</c:v>
                </c:pt>
                <c:pt idx="238">
                  <c:v>0</c:v>
                </c:pt>
                <c:pt idx="239">
                  <c:v>1.9039999999999999</c:v>
                </c:pt>
                <c:pt idx="240">
                  <c:v>4.0697999999999999</c:v>
                </c:pt>
                <c:pt idx="241">
                  <c:v>6.2117999999999993</c:v>
                </c:pt>
                <c:pt idx="242">
                  <c:v>8.3537999999999997</c:v>
                </c:pt>
                <c:pt idx="243">
                  <c:v>10.495799999999999</c:v>
                </c:pt>
                <c:pt idx="244">
                  <c:v>8.1158000000000001</c:v>
                </c:pt>
                <c:pt idx="245">
                  <c:v>10.2578</c:v>
                </c:pt>
                <c:pt idx="246">
                  <c:v>12.399799999999999</c:v>
                </c:pt>
                <c:pt idx="247">
                  <c:v>14.541799999999999</c:v>
                </c:pt>
                <c:pt idx="248">
                  <c:v>16.360119999999998</c:v>
                </c:pt>
                <c:pt idx="249">
                  <c:v>13.980119999999999</c:v>
                </c:pt>
                <c:pt idx="250">
                  <c:v>11.60012</c:v>
                </c:pt>
                <c:pt idx="251">
                  <c:v>13.337520000000001</c:v>
                </c:pt>
                <c:pt idx="252">
                  <c:v>15.036840000000002</c:v>
                </c:pt>
                <c:pt idx="253">
                  <c:v>12.656840000000003</c:v>
                </c:pt>
                <c:pt idx="254">
                  <c:v>14.394240000000003</c:v>
                </c:pt>
                <c:pt idx="255">
                  <c:v>16.088800000000003</c:v>
                </c:pt>
                <c:pt idx="256">
                  <c:v>17.783360000000002</c:v>
                </c:pt>
                <c:pt idx="257">
                  <c:v>14.123360000000002</c:v>
                </c:pt>
                <c:pt idx="258">
                  <c:v>17.044040000000003</c:v>
                </c:pt>
                <c:pt idx="259">
                  <c:v>20.338040000000003</c:v>
                </c:pt>
                <c:pt idx="260">
                  <c:v>23.632040000000003</c:v>
                </c:pt>
                <c:pt idx="261">
                  <c:v>26.585660000000004</c:v>
                </c:pt>
                <c:pt idx="262">
                  <c:v>22.925660000000004</c:v>
                </c:pt>
                <c:pt idx="263">
                  <c:v>26.219660000000005</c:v>
                </c:pt>
                <c:pt idx="264">
                  <c:v>29.656400000000005</c:v>
                </c:pt>
                <c:pt idx="265">
                  <c:v>32.950400000000002</c:v>
                </c:pt>
                <c:pt idx="266">
                  <c:v>36.387140000000002</c:v>
                </c:pt>
                <c:pt idx="267">
                  <c:v>39.30782</c:v>
                </c:pt>
                <c:pt idx="268">
                  <c:v>35.647819999999996</c:v>
                </c:pt>
                <c:pt idx="269">
                  <c:v>38.261059999999993</c:v>
                </c:pt>
                <c:pt idx="270">
                  <c:v>40.866979999999991</c:v>
                </c:pt>
                <c:pt idx="271">
                  <c:v>43.472899999999989</c:v>
                </c:pt>
                <c:pt idx="272">
                  <c:v>46.086139999999986</c:v>
                </c:pt>
                <c:pt idx="273">
                  <c:v>48.743299999999984</c:v>
                </c:pt>
                <c:pt idx="274">
                  <c:v>50.78617999999998</c:v>
                </c:pt>
                <c:pt idx="275">
                  <c:v>53.090179999999982</c:v>
                </c:pt>
                <c:pt idx="276">
                  <c:v>55.394179999999984</c:v>
                </c:pt>
                <c:pt idx="277">
                  <c:v>52.834179999999982</c:v>
                </c:pt>
                <c:pt idx="278">
                  <c:v>55.040899999999979</c:v>
                </c:pt>
                <c:pt idx="279">
                  <c:v>52.480899999999977</c:v>
                </c:pt>
                <c:pt idx="280">
                  <c:v>49.920899999999975</c:v>
                </c:pt>
                <c:pt idx="281">
                  <c:v>52.127619999999972</c:v>
                </c:pt>
                <c:pt idx="282">
                  <c:v>49.56761999999997</c:v>
                </c:pt>
                <c:pt idx="283">
                  <c:v>47.007619999999967</c:v>
                </c:pt>
                <c:pt idx="284">
                  <c:v>44.447619999999965</c:v>
                </c:pt>
                <c:pt idx="285">
                  <c:v>41.887619999999963</c:v>
                </c:pt>
                <c:pt idx="286">
                  <c:v>43.71033999999996</c:v>
                </c:pt>
                <c:pt idx="287">
                  <c:v>41.150339999999957</c:v>
                </c:pt>
                <c:pt idx="288">
                  <c:v>38.590339999999955</c:v>
                </c:pt>
                <c:pt idx="289">
                  <c:v>36.030339999999953</c:v>
                </c:pt>
                <c:pt idx="290">
                  <c:v>33.47033999999995</c:v>
                </c:pt>
                <c:pt idx="291">
                  <c:v>30.910339999999952</c:v>
                </c:pt>
                <c:pt idx="292">
                  <c:v>26.430339999999951</c:v>
                </c:pt>
                <c:pt idx="293">
                  <c:v>29.870979999999953</c:v>
                </c:pt>
                <c:pt idx="294">
                  <c:v>33.902979999999957</c:v>
                </c:pt>
                <c:pt idx="295">
                  <c:v>29.422979999999956</c:v>
                </c:pt>
                <c:pt idx="296">
                  <c:v>24.942979999999956</c:v>
                </c:pt>
                <c:pt idx="297">
                  <c:v>20.462979999999956</c:v>
                </c:pt>
                <c:pt idx="298">
                  <c:v>24.494979999999956</c:v>
                </c:pt>
                <c:pt idx="299">
                  <c:v>28.526979999999956</c:v>
                </c:pt>
                <c:pt idx="300">
                  <c:v>24.046979999999955</c:v>
                </c:pt>
                <c:pt idx="301">
                  <c:v>27.362179999999956</c:v>
                </c:pt>
                <c:pt idx="302">
                  <c:v>30.731139999999957</c:v>
                </c:pt>
                <c:pt idx="303">
                  <c:v>34.064259999999955</c:v>
                </c:pt>
                <c:pt idx="304">
                  <c:v>37.397379999999956</c:v>
                </c:pt>
                <c:pt idx="305">
                  <c:v>35.507379999999955</c:v>
                </c:pt>
                <c:pt idx="306">
                  <c:v>33.617379999999955</c:v>
                </c:pt>
                <c:pt idx="307">
                  <c:v>35.246559999999953</c:v>
                </c:pt>
                <c:pt idx="308">
                  <c:v>36.758559999999953</c:v>
                </c:pt>
                <c:pt idx="309">
                  <c:v>34.868559999999952</c:v>
                </c:pt>
                <c:pt idx="310">
                  <c:v>32.978559999999952</c:v>
                </c:pt>
                <c:pt idx="311">
                  <c:v>31.088559999999951</c:v>
                </c:pt>
                <c:pt idx="312">
                  <c:v>32.789559999999952</c:v>
                </c:pt>
                <c:pt idx="313">
                  <c:v>34.679559999999952</c:v>
                </c:pt>
                <c:pt idx="314">
                  <c:v>36.380559999999953</c:v>
                </c:pt>
                <c:pt idx="315">
                  <c:v>38.081559999999953</c:v>
                </c:pt>
                <c:pt idx="316">
                  <c:v>39.650259999999953</c:v>
                </c:pt>
                <c:pt idx="317">
                  <c:v>41.101779999999955</c:v>
                </c:pt>
                <c:pt idx="318">
                  <c:v>39.211779999999955</c:v>
                </c:pt>
                <c:pt idx="319">
                  <c:v>37.321779999999954</c:v>
                </c:pt>
                <c:pt idx="320">
                  <c:v>38.739279999999951</c:v>
                </c:pt>
                <c:pt idx="321">
                  <c:v>40.130319999999948</c:v>
                </c:pt>
                <c:pt idx="322">
                  <c:v>41.536479999999948</c:v>
                </c:pt>
                <c:pt idx="323">
                  <c:v>42.991779999999949</c:v>
                </c:pt>
                <c:pt idx="324">
                  <c:v>41.101779999999948</c:v>
                </c:pt>
                <c:pt idx="325">
                  <c:v>39.211779999999948</c:v>
                </c:pt>
                <c:pt idx="326">
                  <c:v>37.321779999999947</c:v>
                </c:pt>
                <c:pt idx="327">
                  <c:v>35.431779999999947</c:v>
                </c:pt>
                <c:pt idx="328">
                  <c:v>32.211779999999948</c:v>
                </c:pt>
                <c:pt idx="329">
                  <c:v>35.109779999999951</c:v>
                </c:pt>
                <c:pt idx="330">
                  <c:v>31.889779999999952</c:v>
                </c:pt>
                <c:pt idx="331">
                  <c:v>34.665419999999955</c:v>
                </c:pt>
                <c:pt idx="332">
                  <c:v>31.445419999999956</c:v>
                </c:pt>
                <c:pt idx="333">
                  <c:v>34.343419999999959</c:v>
                </c:pt>
                <c:pt idx="334">
                  <c:v>37.119059999999962</c:v>
                </c:pt>
                <c:pt idx="335">
                  <c:v>33.899059999999963</c:v>
                </c:pt>
                <c:pt idx="336">
                  <c:v>36.797059999999966</c:v>
                </c:pt>
                <c:pt idx="337">
                  <c:v>33.577059999999967</c:v>
                </c:pt>
                <c:pt idx="338">
                  <c:v>30.357059999999969</c:v>
                </c:pt>
                <c:pt idx="339">
                  <c:v>33.255059999999972</c:v>
                </c:pt>
                <c:pt idx="340">
                  <c:v>30.035059999999973</c:v>
                </c:pt>
                <c:pt idx="341">
                  <c:v>32.57885999999997</c:v>
                </c:pt>
                <c:pt idx="342">
                  <c:v>29.358859999999972</c:v>
                </c:pt>
                <c:pt idx="343">
                  <c:v>31.902659999999972</c:v>
                </c:pt>
                <c:pt idx="344">
                  <c:v>28.682659999999974</c:v>
                </c:pt>
                <c:pt idx="345">
                  <c:v>31.226459999999975</c:v>
                </c:pt>
                <c:pt idx="346">
                  <c:v>28.026459999999975</c:v>
                </c:pt>
                <c:pt idx="347">
                  <c:v>24.826459999999976</c:v>
                </c:pt>
                <c:pt idx="348">
                  <c:v>21.626459999999977</c:v>
                </c:pt>
                <c:pt idx="349">
                  <c:v>18.426459999999977</c:v>
                </c:pt>
                <c:pt idx="350">
                  <c:v>20.935259999999978</c:v>
                </c:pt>
                <c:pt idx="351">
                  <c:v>17.735259999999979</c:v>
                </c:pt>
                <c:pt idx="352">
                  <c:v>20.317659999999979</c:v>
                </c:pt>
                <c:pt idx="353">
                  <c:v>17.117659999999979</c:v>
                </c:pt>
                <c:pt idx="354">
                  <c:v>13.91765999999998</c:v>
                </c:pt>
                <c:pt idx="355">
                  <c:v>10.717659999999981</c:v>
                </c:pt>
                <c:pt idx="356">
                  <c:v>7.5176599999999807</c:v>
                </c:pt>
                <c:pt idx="357">
                  <c:v>10.058459999999981</c:v>
                </c:pt>
                <c:pt idx="358">
                  <c:v>6.8584599999999805</c:v>
                </c:pt>
                <c:pt idx="359">
                  <c:v>3.6584599999999803</c:v>
                </c:pt>
                <c:pt idx="360">
                  <c:v>0.45845999999998011</c:v>
                </c:pt>
                <c:pt idx="361">
                  <c:v>-6.6715400000000198</c:v>
                </c:pt>
                <c:pt idx="362">
                  <c:v>-0.25454000000002086</c:v>
                </c:pt>
                <c:pt idx="363">
                  <c:v>6.2337599999999789</c:v>
                </c:pt>
                <c:pt idx="364">
                  <c:v>-0.89624000000002102</c:v>
                </c:pt>
                <c:pt idx="365">
                  <c:v>-8.0262400000000209</c:v>
                </c:pt>
                <c:pt idx="366">
                  <c:v>-2.1083400000000205</c:v>
                </c:pt>
                <c:pt idx="367">
                  <c:v>-9.2383400000000204</c:v>
                </c:pt>
                <c:pt idx="368">
                  <c:v>-16.368340000000021</c:v>
                </c:pt>
                <c:pt idx="369">
                  <c:v>-10.664340000000021</c:v>
                </c:pt>
                <c:pt idx="370">
                  <c:v>-21.174340000000022</c:v>
                </c:pt>
                <c:pt idx="371">
                  <c:v>-11.715340000000024</c:v>
                </c:pt>
                <c:pt idx="372">
                  <c:v>-22.225340000000024</c:v>
                </c:pt>
                <c:pt idx="373">
                  <c:v>-32.735340000000022</c:v>
                </c:pt>
                <c:pt idx="374">
                  <c:v>-43.24534000000002</c:v>
                </c:pt>
                <c:pt idx="375">
                  <c:v>-38.75434000000002</c:v>
                </c:pt>
                <c:pt idx="376">
                  <c:v>-34.263340000000021</c:v>
                </c:pt>
                <c:pt idx="377">
                  <c:v>-39.253340000000023</c:v>
                </c:pt>
                <c:pt idx="378">
                  <c:v>-34.762340000000023</c:v>
                </c:pt>
                <c:pt idx="379">
                  <c:v>-30.620640000000023</c:v>
                </c:pt>
                <c:pt idx="380">
                  <c:v>-35.610640000000025</c:v>
                </c:pt>
                <c:pt idx="381">
                  <c:v>-31.493890000000025</c:v>
                </c:pt>
                <c:pt idx="382">
                  <c:v>-36.483890000000024</c:v>
                </c:pt>
                <c:pt idx="383">
                  <c:v>-32.441990000000025</c:v>
                </c:pt>
                <c:pt idx="384">
                  <c:v>-28.370150000000024</c:v>
                </c:pt>
                <c:pt idx="385">
                  <c:v>-25.712950000000024</c:v>
                </c:pt>
                <c:pt idx="386">
                  <c:v>-23.195910000000023</c:v>
                </c:pt>
                <c:pt idx="387">
                  <c:v>-20.678870000000021</c:v>
                </c:pt>
                <c:pt idx="388">
                  <c:v>-18.342870000000019</c:v>
                </c:pt>
                <c:pt idx="389">
                  <c:v>-15.422870000000019</c:v>
                </c:pt>
                <c:pt idx="390">
                  <c:v>-12.999270000000019</c:v>
                </c:pt>
                <c:pt idx="391">
                  <c:v>-15.919270000000019</c:v>
                </c:pt>
                <c:pt idx="392">
                  <c:v>-13.291270000000019</c:v>
                </c:pt>
                <c:pt idx="393">
                  <c:v>-10.663270000000018</c:v>
                </c:pt>
                <c:pt idx="394">
                  <c:v>-7.7432700000000185</c:v>
                </c:pt>
                <c:pt idx="395">
                  <c:v>-5.3196700000000181</c:v>
                </c:pt>
                <c:pt idx="396">
                  <c:v>-2.691670000000018</c:v>
                </c:pt>
                <c:pt idx="397">
                  <c:v>-0.2826700000000173</c:v>
                </c:pt>
                <c:pt idx="398">
                  <c:v>2.1263299999999834</c:v>
                </c:pt>
                <c:pt idx="399">
                  <c:v>4.6258499999999838</c:v>
                </c:pt>
                <c:pt idx="400">
                  <c:v>1.9358499999999839</c:v>
                </c:pt>
                <c:pt idx="401">
                  <c:v>4.044809999999984</c:v>
                </c:pt>
                <c:pt idx="402">
                  <c:v>6.1295599999999837</c:v>
                </c:pt>
                <c:pt idx="403">
                  <c:v>3.4395599999999837</c:v>
                </c:pt>
                <c:pt idx="404">
                  <c:v>0.74955999999998379</c:v>
                </c:pt>
                <c:pt idx="405">
                  <c:v>-1.9404400000000162</c:v>
                </c:pt>
                <c:pt idx="406">
                  <c:v>0.25459999999998395</c:v>
                </c:pt>
                <c:pt idx="407">
                  <c:v>-2.435400000000016</c:v>
                </c:pt>
                <c:pt idx="408">
                  <c:v>-9.5100000000015505E-2</c:v>
                </c:pt>
                <c:pt idx="409">
                  <c:v>2.2182999999999846</c:v>
                </c:pt>
                <c:pt idx="410">
                  <c:v>-0.47170000000001533</c:v>
                </c:pt>
                <c:pt idx="411">
                  <c:v>-3.1617000000000153</c:v>
                </c:pt>
                <c:pt idx="412">
                  <c:v>-0.88865000000001526</c:v>
                </c:pt>
                <c:pt idx="413">
                  <c:v>-3.5786500000000152</c:v>
                </c:pt>
                <c:pt idx="414">
                  <c:v>-6.2686500000000152</c:v>
                </c:pt>
                <c:pt idx="415">
                  <c:v>-8.9586500000000147</c:v>
                </c:pt>
                <c:pt idx="416">
                  <c:v>-13.178650000000015</c:v>
                </c:pt>
                <c:pt idx="417">
                  <c:v>-9.380650000000017</c:v>
                </c:pt>
                <c:pt idx="418">
                  <c:v>-5.5826500000000179</c:v>
                </c:pt>
                <c:pt idx="419">
                  <c:v>-9.8026500000000176</c:v>
                </c:pt>
                <c:pt idx="420">
                  <c:v>-6.0046500000000185</c:v>
                </c:pt>
                <c:pt idx="421">
                  <c:v>-2.2066500000000193</c:v>
                </c:pt>
                <c:pt idx="422">
                  <c:v>-6.4266500000000191</c:v>
                </c:pt>
                <c:pt idx="423">
                  <c:v>-2.9451500000000195</c:v>
                </c:pt>
                <c:pt idx="424">
                  <c:v>0.59964999999998092</c:v>
                </c:pt>
                <c:pt idx="425">
                  <c:v>-3.6203500000000188</c:v>
                </c:pt>
                <c:pt idx="426">
                  <c:v>-14.250350000000019</c:v>
                </c:pt>
                <c:pt idx="427">
                  <c:v>-5.7463500000000192</c:v>
                </c:pt>
                <c:pt idx="428">
                  <c:v>3.8206499999999792</c:v>
                </c:pt>
                <c:pt idx="429">
                  <c:v>-6.8093500000000216</c:v>
                </c:pt>
                <c:pt idx="430">
                  <c:v>-17.439350000000022</c:v>
                </c:pt>
                <c:pt idx="431">
                  <c:v>-28.069350000000021</c:v>
                </c:pt>
                <c:pt idx="432">
                  <c:v>-26.709350000000022</c:v>
                </c:pt>
                <c:pt idx="433">
                  <c:v>-28.409350000000021</c:v>
                </c:pt>
                <c:pt idx="434">
                  <c:v>-30.10935000000002</c:v>
                </c:pt>
                <c:pt idx="435">
                  <c:v>-28.579350000000019</c:v>
                </c:pt>
                <c:pt idx="436">
                  <c:v>-30.279350000000019</c:v>
                </c:pt>
                <c:pt idx="437">
                  <c:v>-31.979350000000018</c:v>
                </c:pt>
                <c:pt idx="438">
                  <c:v>-30.279350000000019</c:v>
                </c:pt>
                <c:pt idx="439">
                  <c:v>-28.749350000000018</c:v>
                </c:pt>
                <c:pt idx="440">
                  <c:v>-27.304350000000017</c:v>
                </c:pt>
                <c:pt idx="441">
                  <c:v>-29.004350000000017</c:v>
                </c:pt>
                <c:pt idx="442">
                  <c:v>-30.704350000000016</c:v>
                </c:pt>
                <c:pt idx="443">
                  <c:v>-29.174350000000015</c:v>
                </c:pt>
                <c:pt idx="444">
                  <c:v>-27.644350000000014</c:v>
                </c:pt>
                <c:pt idx="445">
                  <c:v>-29.344350000000013</c:v>
                </c:pt>
                <c:pt idx="446">
                  <c:v>-27.644350000000014</c:v>
                </c:pt>
                <c:pt idx="447">
                  <c:v>-26.216350000000013</c:v>
                </c:pt>
                <c:pt idx="448">
                  <c:v>-24.686350000000012</c:v>
                </c:pt>
                <c:pt idx="449">
                  <c:v>-23.249850000000013</c:v>
                </c:pt>
                <c:pt idx="450">
                  <c:v>-24.949850000000012</c:v>
                </c:pt>
                <c:pt idx="451">
                  <c:v>-26.649850000000011</c:v>
                </c:pt>
                <c:pt idx="452">
                  <c:v>-25.11985000000001</c:v>
                </c:pt>
                <c:pt idx="453">
                  <c:v>-23.589850000000009</c:v>
                </c:pt>
                <c:pt idx="454">
                  <c:v>-25.289850000000008</c:v>
                </c:pt>
                <c:pt idx="455">
                  <c:v>-23.827850000000009</c:v>
                </c:pt>
                <c:pt idx="456">
                  <c:v>-20.11985000000001</c:v>
                </c:pt>
                <c:pt idx="457">
                  <c:v>-16.659050000000008</c:v>
                </c:pt>
                <c:pt idx="458">
                  <c:v>-12.951050000000009</c:v>
                </c:pt>
                <c:pt idx="459">
                  <c:v>-17.07105000000001</c:v>
                </c:pt>
                <c:pt idx="460">
                  <c:v>-21.191050000000011</c:v>
                </c:pt>
                <c:pt idx="461">
                  <c:v>-17.565450000000013</c:v>
                </c:pt>
                <c:pt idx="462">
                  <c:v>-13.857450000000014</c:v>
                </c:pt>
                <c:pt idx="463">
                  <c:v>-10.149450000000016</c:v>
                </c:pt>
                <c:pt idx="464">
                  <c:v>-14.269450000000017</c:v>
                </c:pt>
                <c:pt idx="465">
                  <c:v>-10.767450000000016</c:v>
                </c:pt>
                <c:pt idx="466">
                  <c:v>-12.867450000000016</c:v>
                </c:pt>
                <c:pt idx="467">
                  <c:v>-14.967450000000015</c:v>
                </c:pt>
                <c:pt idx="468">
                  <c:v>-17.067450000000015</c:v>
                </c:pt>
                <c:pt idx="469">
                  <c:v>-14.967450000000015</c:v>
                </c:pt>
                <c:pt idx="470">
                  <c:v>-13.224450000000015</c:v>
                </c:pt>
                <c:pt idx="471">
                  <c:v>-15.324450000000015</c:v>
                </c:pt>
                <c:pt idx="472">
                  <c:v>-13.434450000000016</c:v>
                </c:pt>
                <c:pt idx="473">
                  <c:v>-11.124450000000015</c:v>
                </c:pt>
                <c:pt idx="474">
                  <c:v>-13.224450000000015</c:v>
                </c:pt>
                <c:pt idx="475">
                  <c:v>-11.313450000000016</c:v>
                </c:pt>
                <c:pt idx="476">
                  <c:v>-9.0034500000000151</c:v>
                </c:pt>
                <c:pt idx="477">
                  <c:v>-11.103450000000015</c:v>
                </c:pt>
                <c:pt idx="478">
                  <c:v>-13.203450000000014</c:v>
                </c:pt>
                <c:pt idx="479">
                  <c:v>-11.313450000000014</c:v>
                </c:pt>
                <c:pt idx="480">
                  <c:v>-9.444450000000014</c:v>
                </c:pt>
                <c:pt idx="481">
                  <c:v>-7.6594500000000139</c:v>
                </c:pt>
                <c:pt idx="482">
                  <c:v>-5.7904500000000141</c:v>
                </c:pt>
                <c:pt idx="483">
                  <c:v>-4.0054500000000139</c:v>
                </c:pt>
                <c:pt idx="484">
                  <c:v>-6.1054500000000136</c:v>
                </c:pt>
                <c:pt idx="485">
                  <c:v>-2.9284500000000144</c:v>
                </c:pt>
                <c:pt idx="486">
                  <c:v>-6.4584500000000142</c:v>
                </c:pt>
                <c:pt idx="487">
                  <c:v>-9.9884500000000145</c:v>
                </c:pt>
                <c:pt idx="488">
                  <c:v>-13.518450000000014</c:v>
                </c:pt>
                <c:pt idx="489">
                  <c:v>-9.9884500000000145</c:v>
                </c:pt>
                <c:pt idx="490">
                  <c:v>-13.518450000000014</c:v>
                </c:pt>
                <c:pt idx="491">
                  <c:v>-10.341450000000014</c:v>
                </c:pt>
                <c:pt idx="492">
                  <c:v>-7.0267800000000147</c:v>
                </c:pt>
                <c:pt idx="493">
                  <c:v>-2.0267800000000147</c:v>
                </c:pt>
                <c:pt idx="494">
                  <c:v>1.1502199999999845</c:v>
                </c:pt>
                <c:pt idx="495">
                  <c:v>-2.3797800000000153</c:v>
                </c:pt>
                <c:pt idx="496">
                  <c:v>-5.9097800000000156</c:v>
                </c:pt>
                <c:pt idx="497">
                  <c:v>-9.4397800000000149</c:v>
                </c:pt>
                <c:pt idx="498">
                  <c:v>-6.3686800000000154</c:v>
                </c:pt>
                <c:pt idx="499">
                  <c:v>-1.2346800000000142</c:v>
                </c:pt>
                <c:pt idx="500">
                  <c:v>-7.2746800000000142</c:v>
                </c:pt>
                <c:pt idx="501">
                  <c:v>-10.294680000000014</c:v>
                </c:pt>
                <c:pt idx="502">
                  <c:v>-13.314680000000013</c:v>
                </c:pt>
                <c:pt idx="503">
                  <c:v>-16.334680000000013</c:v>
                </c:pt>
                <c:pt idx="504">
                  <c:v>-19.354680000000013</c:v>
                </c:pt>
                <c:pt idx="505">
                  <c:v>-16.606480000000012</c:v>
                </c:pt>
                <c:pt idx="506">
                  <c:v>-12.650280000000011</c:v>
                </c:pt>
                <c:pt idx="507">
                  <c:v>-10.022880000000011</c:v>
                </c:pt>
                <c:pt idx="508">
                  <c:v>-13.042880000000011</c:v>
                </c:pt>
                <c:pt idx="509">
                  <c:v>-16.06288000000001</c:v>
                </c:pt>
                <c:pt idx="510">
                  <c:v>-19.08288000000001</c:v>
                </c:pt>
                <c:pt idx="511">
                  <c:v>-22.10288000000001</c:v>
                </c:pt>
                <c:pt idx="512">
                  <c:v>-23.572880000000008</c:v>
                </c:pt>
                <c:pt idx="513">
                  <c:v>-22.305740000000007</c:v>
                </c:pt>
                <c:pt idx="514">
                  <c:v>-20.982740000000007</c:v>
                </c:pt>
                <c:pt idx="515">
                  <c:v>-19.703840000000007</c:v>
                </c:pt>
                <c:pt idx="516">
                  <c:v>-21.173840000000006</c:v>
                </c:pt>
                <c:pt idx="517">
                  <c:v>-22.643840000000004</c:v>
                </c:pt>
                <c:pt idx="518">
                  <c:v>-21.394340000000003</c:v>
                </c:pt>
                <c:pt idx="519">
                  <c:v>-20.071340000000003</c:v>
                </c:pt>
                <c:pt idx="520">
                  <c:v>-21.541340000000002</c:v>
                </c:pt>
                <c:pt idx="521">
                  <c:v>-23.011340000000001</c:v>
                </c:pt>
                <c:pt idx="522">
                  <c:v>-24.481339999999999</c:v>
                </c:pt>
                <c:pt idx="523">
                  <c:v>-21.89414</c:v>
                </c:pt>
                <c:pt idx="524">
                  <c:v>-20.277139999999999</c:v>
                </c:pt>
                <c:pt idx="525">
                  <c:v>-18.88064</c:v>
                </c:pt>
                <c:pt idx="526">
                  <c:v>-16.627130000000001</c:v>
                </c:pt>
                <c:pt idx="527">
                  <c:v>-15.304130000000001</c:v>
                </c:pt>
                <c:pt idx="528">
                  <c:v>-13.98113</c:v>
                </c:pt>
                <c:pt idx="529">
                  <c:v>-15.451130000000001</c:v>
                </c:pt>
                <c:pt idx="530">
                  <c:v>-14.128130000000001</c:v>
                </c:pt>
                <c:pt idx="531">
                  <c:v>-15.598130000000001</c:v>
                </c:pt>
                <c:pt idx="532">
                  <c:v>-17.06813</c:v>
                </c:pt>
                <c:pt idx="533">
                  <c:v>-15.74513</c:v>
                </c:pt>
                <c:pt idx="534">
                  <c:v>-14.422129999999999</c:v>
                </c:pt>
                <c:pt idx="535">
                  <c:v>-13.099129999999999</c:v>
                </c:pt>
                <c:pt idx="536">
                  <c:v>-11.776129999999998</c:v>
                </c:pt>
                <c:pt idx="537">
                  <c:v>-10.453129999999998</c:v>
                </c:pt>
                <c:pt idx="538">
                  <c:v>-6.6641299999999983</c:v>
                </c:pt>
                <c:pt idx="539">
                  <c:v>-2.9593299999999987</c:v>
                </c:pt>
                <c:pt idx="540">
                  <c:v>0.70337000000000138</c:v>
                </c:pt>
                <c:pt idx="541">
                  <c:v>4.6607700000000003</c:v>
                </c:pt>
                <c:pt idx="542">
                  <c:v>0.45077000000000034</c:v>
                </c:pt>
                <c:pt idx="543">
                  <c:v>4.4081699999999993</c:v>
                </c:pt>
                <c:pt idx="544">
                  <c:v>0.19816999999999929</c:v>
                </c:pt>
                <c:pt idx="545">
                  <c:v>4.1555699999999982</c:v>
                </c:pt>
                <c:pt idx="546">
                  <c:v>8.1129699999999971</c:v>
                </c:pt>
                <c:pt idx="547">
                  <c:v>3.9029699999999972</c:v>
                </c:pt>
                <c:pt idx="548">
                  <c:v>7.8603699999999961</c:v>
                </c:pt>
                <c:pt idx="549">
                  <c:v>3.6503699999999961</c:v>
                </c:pt>
                <c:pt idx="550">
                  <c:v>5.7296699999999969</c:v>
                </c:pt>
                <c:pt idx="551">
                  <c:v>8.3586699999999965</c:v>
                </c:pt>
                <c:pt idx="552">
                  <c:v>5.9686699999999959</c:v>
                </c:pt>
                <c:pt idx="553">
                  <c:v>3.5786699999999958</c:v>
                </c:pt>
                <c:pt idx="554">
                  <c:v>1.1886699999999957</c:v>
                </c:pt>
                <c:pt idx="555">
                  <c:v>3.248849999999996</c:v>
                </c:pt>
                <c:pt idx="556">
                  <c:v>5.5551999999999966</c:v>
                </c:pt>
                <c:pt idx="557">
                  <c:v>8.184199999999997</c:v>
                </c:pt>
                <c:pt idx="558">
                  <c:v>10.490549999999997</c:v>
                </c:pt>
                <c:pt idx="559">
                  <c:v>8.1005499999999966</c:v>
                </c:pt>
                <c:pt idx="560">
                  <c:v>10.406899999999997</c:v>
                </c:pt>
                <c:pt idx="561">
                  <c:v>8.0168999999999961</c:v>
                </c:pt>
                <c:pt idx="562">
                  <c:v>10.239599999999996</c:v>
                </c:pt>
                <c:pt idx="563">
                  <c:v>12.438399999999996</c:v>
                </c:pt>
                <c:pt idx="564">
                  <c:v>12.438399999999996</c:v>
                </c:pt>
                <c:pt idx="565">
                  <c:v>10.048399999999996</c:v>
                </c:pt>
                <c:pt idx="566">
                  <c:v>7.658399999999995</c:v>
                </c:pt>
                <c:pt idx="567">
                  <c:v>5.2483999999999948</c:v>
                </c:pt>
                <c:pt idx="568">
                  <c:v>7.4173999999999944</c:v>
                </c:pt>
                <c:pt idx="569">
                  <c:v>5.0073999999999943</c:v>
                </c:pt>
                <c:pt idx="570">
                  <c:v>7.2004999999999946</c:v>
                </c:pt>
                <c:pt idx="571">
                  <c:v>4.7904999999999944</c:v>
                </c:pt>
                <c:pt idx="572">
                  <c:v>2.3804999999999943</c:v>
                </c:pt>
                <c:pt idx="573">
                  <c:v>4.7663999999999946</c:v>
                </c:pt>
                <c:pt idx="574">
                  <c:v>2.3563999999999945</c:v>
                </c:pt>
                <c:pt idx="575">
                  <c:v>-5.3600000000005643E-2</c:v>
                </c:pt>
                <c:pt idx="576">
                  <c:v>2.211799999999994</c:v>
                </c:pt>
                <c:pt idx="577">
                  <c:v>-0.19820000000000615</c:v>
                </c:pt>
                <c:pt idx="578">
                  <c:v>-2.6082000000000063</c:v>
                </c:pt>
                <c:pt idx="579">
                  <c:v>0.5867999999999931</c:v>
                </c:pt>
                <c:pt idx="580">
                  <c:v>-2.9632000000000067</c:v>
                </c:pt>
                <c:pt idx="581">
                  <c:v>-6.5132000000000065</c:v>
                </c:pt>
                <c:pt idx="582">
                  <c:v>-10.063200000000005</c:v>
                </c:pt>
                <c:pt idx="583">
                  <c:v>1.6162999999999954</c:v>
                </c:pt>
                <c:pt idx="584">
                  <c:v>-1.9337000000000044</c:v>
                </c:pt>
                <c:pt idx="585">
                  <c:v>1.5452999999999957</c:v>
                </c:pt>
                <c:pt idx="586">
                  <c:v>5.0952999999999955</c:v>
                </c:pt>
                <c:pt idx="587">
                  <c:v>8.5742999999999956</c:v>
                </c:pt>
                <c:pt idx="588">
                  <c:v>12.053299999999997</c:v>
                </c:pt>
                <c:pt idx="589">
                  <c:v>8.5032999999999959</c:v>
                </c:pt>
                <c:pt idx="590">
                  <c:v>4.953299999999996</c:v>
                </c:pt>
                <c:pt idx="591">
                  <c:v>1.4032999999999962</c:v>
                </c:pt>
                <c:pt idx="592">
                  <c:v>-2.1467000000000036</c:v>
                </c:pt>
                <c:pt idx="593">
                  <c:v>-0.40070000000000361</c:v>
                </c:pt>
                <c:pt idx="594">
                  <c:v>1.3452999999999964</c:v>
                </c:pt>
                <c:pt idx="595">
                  <c:v>3.0912999999999964</c:v>
                </c:pt>
                <c:pt idx="596">
                  <c:v>1.1512999999999964</c:v>
                </c:pt>
                <c:pt idx="597">
                  <c:v>2.9166999999999961</c:v>
                </c:pt>
                <c:pt idx="598">
                  <c:v>0.97669999999999613</c:v>
                </c:pt>
                <c:pt idx="599">
                  <c:v>2.8487999999999962</c:v>
                </c:pt>
                <c:pt idx="600">
                  <c:v>0.90879999999999628</c:v>
                </c:pt>
                <c:pt idx="601">
                  <c:v>3.0466799999999958</c:v>
                </c:pt>
                <c:pt idx="602">
                  <c:v>4.8702799999999957</c:v>
                </c:pt>
                <c:pt idx="603">
                  <c:v>7.6716399999999947</c:v>
                </c:pt>
                <c:pt idx="604">
                  <c:v>5.7316399999999952</c:v>
                </c:pt>
                <c:pt idx="605">
                  <c:v>7.6037399999999948</c:v>
                </c:pt>
                <c:pt idx="606">
                  <c:v>9.4661399999999958</c:v>
                </c:pt>
                <c:pt idx="607">
                  <c:v>7.5261399999999963</c:v>
                </c:pt>
                <c:pt idx="608">
                  <c:v>9.4273399999999956</c:v>
                </c:pt>
                <c:pt idx="609">
                  <c:v>11.328539999999995</c:v>
                </c:pt>
                <c:pt idx="610">
                  <c:v>13.181239999999995</c:v>
                </c:pt>
                <c:pt idx="611">
                  <c:v>17.876039999999996</c:v>
                </c:pt>
                <c:pt idx="612">
                  <c:v>15.936039999999997</c:v>
                </c:pt>
                <c:pt idx="613">
                  <c:v>17.837239999999998</c:v>
                </c:pt>
                <c:pt idx="614">
                  <c:v>22.992349999999998</c:v>
                </c:pt>
                <c:pt idx="615">
                  <c:v>27.768650000000001</c:v>
                </c:pt>
                <c:pt idx="616">
                  <c:v>22.278649999999999</c:v>
                </c:pt>
                <c:pt idx="617">
                  <c:v>27.549050000000001</c:v>
                </c:pt>
                <c:pt idx="618">
                  <c:v>22.059049999999999</c:v>
                </c:pt>
                <c:pt idx="619">
                  <c:v>16.569049999999997</c:v>
                </c:pt>
                <c:pt idx="620">
                  <c:v>26.363209999999995</c:v>
                </c:pt>
                <c:pt idx="621">
                  <c:v>31.715959999999995</c:v>
                </c:pt>
                <c:pt idx="622">
                  <c:v>37.096159999999998</c:v>
                </c:pt>
                <c:pt idx="623">
                  <c:v>39.355159999999998</c:v>
                </c:pt>
                <c:pt idx="624">
                  <c:v>36.84516</c:v>
                </c:pt>
                <c:pt idx="625">
                  <c:v>39.00376</c:v>
                </c:pt>
                <c:pt idx="626">
                  <c:v>36.493760000000002</c:v>
                </c:pt>
                <c:pt idx="627">
                  <c:v>33.983760000000004</c:v>
                </c:pt>
                <c:pt idx="628">
                  <c:v>38.677460000000004</c:v>
                </c:pt>
                <c:pt idx="629">
                  <c:v>41.137260000000005</c:v>
                </c:pt>
                <c:pt idx="630">
                  <c:v>38.627260000000007</c:v>
                </c:pt>
                <c:pt idx="631">
                  <c:v>41.087060000000008</c:v>
                </c:pt>
                <c:pt idx="632">
                  <c:v>43.546860000000009</c:v>
                </c:pt>
                <c:pt idx="633">
                  <c:v>46.006660000000011</c:v>
                </c:pt>
                <c:pt idx="634">
                  <c:v>48.366060000000012</c:v>
                </c:pt>
                <c:pt idx="635">
                  <c:v>50.725460000000012</c:v>
                </c:pt>
                <c:pt idx="636">
                  <c:v>48.215460000000014</c:v>
                </c:pt>
                <c:pt idx="637">
                  <c:v>45.705460000000016</c:v>
                </c:pt>
                <c:pt idx="638">
                  <c:v>55.781460000000017</c:v>
                </c:pt>
                <c:pt idx="639">
                  <c:v>59.903460000000017</c:v>
                </c:pt>
                <c:pt idx="640">
                  <c:v>55.323460000000019</c:v>
                </c:pt>
                <c:pt idx="641">
                  <c:v>50.74346000000002</c:v>
                </c:pt>
                <c:pt idx="642">
                  <c:v>46.163460000000022</c:v>
                </c:pt>
                <c:pt idx="643">
                  <c:v>41.583460000000024</c:v>
                </c:pt>
                <c:pt idx="644">
                  <c:v>43.65826000000002</c:v>
                </c:pt>
                <c:pt idx="645">
                  <c:v>41.378260000000019</c:v>
                </c:pt>
                <c:pt idx="646">
                  <c:v>39.098260000000018</c:v>
                </c:pt>
                <c:pt idx="647">
                  <c:v>36.818260000000016</c:v>
                </c:pt>
                <c:pt idx="648">
                  <c:v>34.538260000000015</c:v>
                </c:pt>
                <c:pt idx="649">
                  <c:v>34.538260000000015</c:v>
                </c:pt>
                <c:pt idx="650">
                  <c:v>36.590260000000015</c:v>
                </c:pt>
                <c:pt idx="651">
                  <c:v>34.310260000000014</c:v>
                </c:pt>
                <c:pt idx="652">
                  <c:v>36.544660000000015</c:v>
                </c:pt>
                <c:pt idx="653">
                  <c:v>34.264660000000013</c:v>
                </c:pt>
                <c:pt idx="654">
                  <c:v>36.544660000000015</c:v>
                </c:pt>
                <c:pt idx="655">
                  <c:v>34.264660000000013</c:v>
                </c:pt>
                <c:pt idx="656">
                  <c:v>31.984660000000012</c:v>
                </c:pt>
                <c:pt idx="657">
                  <c:v>29.704660000000011</c:v>
                </c:pt>
                <c:pt idx="658">
                  <c:v>27.42466000000001</c:v>
                </c:pt>
                <c:pt idx="659">
                  <c:v>25.144660000000009</c:v>
                </c:pt>
                <c:pt idx="660">
                  <c:v>22.864660000000008</c:v>
                </c:pt>
                <c:pt idx="661">
                  <c:v>20.584660000000007</c:v>
                </c:pt>
                <c:pt idx="662">
                  <c:v>23.151460000000007</c:v>
                </c:pt>
                <c:pt idx="663">
                  <c:v>25.635460000000009</c:v>
                </c:pt>
                <c:pt idx="664">
                  <c:v>28.17466000000001</c:v>
                </c:pt>
                <c:pt idx="665">
                  <c:v>25.414660000000012</c:v>
                </c:pt>
                <c:pt idx="666">
                  <c:v>22.654660000000014</c:v>
                </c:pt>
                <c:pt idx="667">
                  <c:v>22.654660000000014</c:v>
                </c:pt>
                <c:pt idx="668">
                  <c:v>19.894660000000016</c:v>
                </c:pt>
                <c:pt idx="669">
                  <c:v>17.134660000000018</c:v>
                </c:pt>
                <c:pt idx="670">
                  <c:v>14.374660000000018</c:v>
                </c:pt>
                <c:pt idx="671">
                  <c:v>17.070721776061795</c:v>
                </c:pt>
                <c:pt idx="672">
                  <c:v>19.734121776061794</c:v>
                </c:pt>
                <c:pt idx="673">
                  <c:v>22.466521776061796</c:v>
                </c:pt>
                <c:pt idx="674">
                  <c:v>19.706521776061798</c:v>
                </c:pt>
                <c:pt idx="675">
                  <c:v>16.9465217760618</c:v>
                </c:pt>
                <c:pt idx="676">
                  <c:v>14.2065217760618</c:v>
                </c:pt>
                <c:pt idx="677">
                  <c:v>16.9465217760618</c:v>
                </c:pt>
                <c:pt idx="678">
                  <c:v>19.412521776061801</c:v>
                </c:pt>
                <c:pt idx="679">
                  <c:v>16.672521776061799</c:v>
                </c:pt>
                <c:pt idx="680">
                  <c:v>19.686521776061799</c:v>
                </c:pt>
                <c:pt idx="681">
                  <c:v>16.9465217760618</c:v>
                </c:pt>
                <c:pt idx="682">
                  <c:v>19.659121776061802</c:v>
                </c:pt>
                <c:pt idx="683">
                  <c:v>16.9191217760618</c:v>
                </c:pt>
                <c:pt idx="684">
                  <c:v>14.1791217760618</c:v>
                </c:pt>
                <c:pt idx="685">
                  <c:v>11.4391217760618</c:v>
                </c:pt>
                <c:pt idx="686">
                  <c:v>14.1517217760618</c:v>
                </c:pt>
                <c:pt idx="687">
                  <c:v>16.8369217760618</c:v>
                </c:pt>
                <c:pt idx="688">
                  <c:v>19.494721776061802</c:v>
                </c:pt>
                <c:pt idx="689">
                  <c:v>16.7547217760618</c:v>
                </c:pt>
                <c:pt idx="690">
                  <c:v>14.014721776061799</c:v>
                </c:pt>
                <c:pt idx="691">
                  <c:v>11.274721776061799</c:v>
                </c:pt>
                <c:pt idx="692">
                  <c:v>13.7407217760618</c:v>
                </c:pt>
                <c:pt idx="693">
                  <c:v>17.110921776061801</c:v>
                </c:pt>
                <c:pt idx="694">
                  <c:v>14.370921776061801</c:v>
                </c:pt>
                <c:pt idx="695">
                  <c:v>11.6309217760618</c:v>
                </c:pt>
                <c:pt idx="696">
                  <c:v>8.8909217760618002</c:v>
                </c:pt>
                <c:pt idx="697">
                  <c:v>6.1509217760618</c:v>
                </c:pt>
                <c:pt idx="698">
                  <c:v>8.8361217760618</c:v>
                </c:pt>
                <c:pt idx="699">
                  <c:v>6.0961217760617998</c:v>
                </c:pt>
                <c:pt idx="700">
                  <c:v>2.4961217760617997</c:v>
                </c:pt>
                <c:pt idx="701">
                  <c:v>11.3521217760618</c:v>
                </c:pt>
                <c:pt idx="702">
                  <c:v>17.958121776061802</c:v>
                </c:pt>
                <c:pt idx="703">
                  <c:v>14.358121776061802</c:v>
                </c:pt>
                <c:pt idx="704">
                  <c:v>10.758121776061802</c:v>
                </c:pt>
                <c:pt idx="705">
                  <c:v>7.1581217760618028</c:v>
                </c:pt>
                <c:pt idx="706">
                  <c:v>3.5581217760618027</c:v>
                </c:pt>
                <c:pt idx="707">
                  <c:v>1.7681217760618027</c:v>
                </c:pt>
                <c:pt idx="708">
                  <c:v>-2.1878223938197383E-2</c:v>
                </c:pt>
                <c:pt idx="709">
                  <c:v>1.7681217760618027</c:v>
                </c:pt>
                <c:pt idx="710">
                  <c:v>-2.1878223938197383E-2</c:v>
                </c:pt>
                <c:pt idx="711">
                  <c:v>4.3188717760618029</c:v>
                </c:pt>
                <c:pt idx="712">
                  <c:v>2.5288717760618029</c:v>
                </c:pt>
                <c:pt idx="713">
                  <c:v>0.73887177606180288</c:v>
                </c:pt>
                <c:pt idx="714">
                  <c:v>2.7078717760618032</c:v>
                </c:pt>
                <c:pt idx="715">
                  <c:v>4.4799717760618032</c:v>
                </c:pt>
                <c:pt idx="716">
                  <c:v>2.6899717760618032</c:v>
                </c:pt>
                <c:pt idx="717">
                  <c:v>0.89997177606180312</c:v>
                </c:pt>
                <c:pt idx="718">
                  <c:v>1.6070217760618033</c:v>
                </c:pt>
                <c:pt idx="719">
                  <c:v>-3.752978223938197</c:v>
                </c:pt>
                <c:pt idx="720">
                  <c:v>-9.1129782239381978</c:v>
                </c:pt>
                <c:pt idx="721">
                  <c:v>-0.6977782239381991</c:v>
                </c:pt>
                <c:pt idx="722">
                  <c:v>8.1998217760618015</c:v>
                </c:pt>
                <c:pt idx="723">
                  <c:v>10.914491776061801</c:v>
                </c:pt>
                <c:pt idx="724">
                  <c:v>13.114871776061801</c:v>
                </c:pt>
                <c:pt idx="725">
                  <c:v>15.662451776061801</c:v>
                </c:pt>
                <c:pt idx="726">
                  <c:v>13.492451776061801</c:v>
                </c:pt>
                <c:pt idx="727">
                  <c:v>11.322451776061801</c:v>
                </c:pt>
                <c:pt idx="728">
                  <c:v>9.1524517760618007</c:v>
                </c:pt>
                <c:pt idx="729">
                  <c:v>6.9824517760618008</c:v>
                </c:pt>
                <c:pt idx="730">
                  <c:v>4.8124517760618009</c:v>
                </c:pt>
                <c:pt idx="731">
                  <c:v>2.6424517760618009</c:v>
                </c:pt>
                <c:pt idx="732">
                  <c:v>0.472451776061801</c:v>
                </c:pt>
                <c:pt idx="733">
                  <c:v>-1.6975482239381989</c:v>
                </c:pt>
                <c:pt idx="734">
                  <c:v>0.45075177606180095</c:v>
                </c:pt>
                <c:pt idx="735">
                  <c:v>4.3777517760618014</c:v>
                </c:pt>
                <c:pt idx="736">
                  <c:v>0.8077517760618016</c:v>
                </c:pt>
                <c:pt idx="737">
                  <c:v>-2.7622482239381982</c:v>
                </c:pt>
                <c:pt idx="738">
                  <c:v>-6.3322482239381976</c:v>
                </c:pt>
                <c:pt idx="739">
                  <c:v>-9.9022482239381979</c:v>
                </c:pt>
                <c:pt idx="740">
                  <c:v>-13.472248223938198</c:v>
                </c:pt>
                <c:pt idx="741">
                  <c:v>-17.042248223938198</c:v>
                </c:pt>
                <c:pt idx="742">
                  <c:v>-20.612248223938199</c:v>
                </c:pt>
                <c:pt idx="743">
                  <c:v>-18.5629482239382</c:v>
                </c:pt>
                <c:pt idx="744">
                  <c:v>-20.6329482239382</c:v>
                </c:pt>
                <c:pt idx="745">
                  <c:v>-18.5318982239382</c:v>
                </c:pt>
                <c:pt idx="746">
                  <c:v>-14.5471482239382</c:v>
                </c:pt>
                <c:pt idx="747">
                  <c:v>-16.617148223938198</c:v>
                </c:pt>
                <c:pt idx="748">
                  <c:v>-18.687148223938198</c:v>
                </c:pt>
                <c:pt idx="749">
                  <c:v>-20.757148223938199</c:v>
                </c:pt>
                <c:pt idx="750">
                  <c:v>-17.7038982239382</c:v>
                </c:pt>
                <c:pt idx="751">
                  <c:v>-19.7738982239382</c:v>
                </c:pt>
                <c:pt idx="752">
                  <c:v>-17.538298223938199</c:v>
                </c:pt>
                <c:pt idx="753">
                  <c:v>-19.608298223938199</c:v>
                </c:pt>
                <c:pt idx="754">
                  <c:v>-10.2932982239382</c:v>
                </c:pt>
                <c:pt idx="755">
                  <c:v>-6.2743482239381994</c:v>
                </c:pt>
                <c:pt idx="756">
                  <c:v>-2.8345482239381994</c:v>
                </c:pt>
                <c:pt idx="757">
                  <c:v>12.960451776061801</c:v>
                </c:pt>
                <c:pt idx="758">
                  <c:v>20.050651776061798</c:v>
                </c:pt>
                <c:pt idx="759">
                  <c:v>16.5406517760618</c:v>
                </c:pt>
                <c:pt idx="760">
                  <c:v>26.930251776061802</c:v>
                </c:pt>
                <c:pt idx="761">
                  <c:v>23.420251776061804</c:v>
                </c:pt>
                <c:pt idx="762">
                  <c:v>20.250251776061802</c:v>
                </c:pt>
                <c:pt idx="763">
                  <c:v>24.149351776061803</c:v>
                </c:pt>
                <c:pt idx="764">
                  <c:v>27.034051776061801</c:v>
                </c:pt>
                <c:pt idx="765">
                  <c:v>23.8640517760618</c:v>
                </c:pt>
                <c:pt idx="766">
                  <c:v>26.6853517760618</c:v>
                </c:pt>
                <c:pt idx="767">
                  <c:v>23.515351776061799</c:v>
                </c:pt>
                <c:pt idx="768">
                  <c:v>20.345351776061797</c:v>
                </c:pt>
                <c:pt idx="769">
                  <c:v>17.175351776061795</c:v>
                </c:pt>
                <c:pt idx="770">
                  <c:v>20.598951776061796</c:v>
                </c:pt>
                <c:pt idx="771">
                  <c:v>23.673851776061795</c:v>
                </c:pt>
                <c:pt idx="772">
                  <c:v>35.783251776061796</c:v>
                </c:pt>
                <c:pt idx="773">
                  <c:v>33.273251776061798</c:v>
                </c:pt>
                <c:pt idx="774">
                  <c:v>35.582451776061795</c:v>
                </c:pt>
                <c:pt idx="775">
                  <c:v>33.072451776061797</c:v>
                </c:pt>
                <c:pt idx="776">
                  <c:v>30.562451776061799</c:v>
                </c:pt>
                <c:pt idx="777">
                  <c:v>32.796351776061798</c:v>
                </c:pt>
                <c:pt idx="778">
                  <c:v>35.030251776061796</c:v>
                </c:pt>
                <c:pt idx="779">
                  <c:v>32.520251776061798</c:v>
                </c:pt>
                <c:pt idx="780">
                  <c:v>30.0102517760618</c:v>
                </c:pt>
                <c:pt idx="781">
                  <c:v>27.500251776061802</c:v>
                </c:pt>
                <c:pt idx="782">
                  <c:v>24.990251776061804</c:v>
                </c:pt>
                <c:pt idx="783">
                  <c:v>28.320251776061802</c:v>
                </c:pt>
                <c:pt idx="784">
                  <c:v>24.620251776061803</c:v>
                </c:pt>
                <c:pt idx="785">
                  <c:v>27.950251776061805</c:v>
                </c:pt>
                <c:pt idx="786">
                  <c:v>24.250251776061805</c:v>
                </c:pt>
                <c:pt idx="787">
                  <c:v>20.550251776061806</c:v>
                </c:pt>
                <c:pt idx="788">
                  <c:v>16.870251776061806</c:v>
                </c:pt>
                <c:pt idx="789">
                  <c:v>20.182251776061808</c:v>
                </c:pt>
                <c:pt idx="790">
                  <c:v>24.682251776061808</c:v>
                </c:pt>
                <c:pt idx="791">
                  <c:v>28.303371776061809</c:v>
                </c:pt>
                <c:pt idx="792">
                  <c:v>30.460971776061808</c:v>
                </c:pt>
                <c:pt idx="793">
                  <c:v>32.789691776061808</c:v>
                </c:pt>
                <c:pt idx="794">
                  <c:v>35.021691776061807</c:v>
                </c:pt>
                <c:pt idx="795">
                  <c:v>32.541691776061811</c:v>
                </c:pt>
                <c:pt idx="796">
                  <c:v>34.77369177606181</c:v>
                </c:pt>
                <c:pt idx="797">
                  <c:v>37.650491776061813</c:v>
                </c:pt>
                <c:pt idx="798">
                  <c:v>35.170491776061816</c:v>
                </c:pt>
                <c:pt idx="799">
                  <c:v>32.690491776061819</c:v>
                </c:pt>
                <c:pt idx="800">
                  <c:v>33.72217177606182</c:v>
                </c:pt>
                <c:pt idx="801">
                  <c:v>36.620171776061824</c:v>
                </c:pt>
                <c:pt idx="802">
                  <c:v>33.400171776061825</c:v>
                </c:pt>
                <c:pt idx="803">
                  <c:v>48.534171776061825</c:v>
                </c:pt>
                <c:pt idx="804">
                  <c:v>45.314171776061826</c:v>
                </c:pt>
                <c:pt idx="805">
                  <c:v>42.094171776061827</c:v>
                </c:pt>
                <c:pt idx="806">
                  <c:v>44.962971776061828</c:v>
                </c:pt>
                <c:pt idx="807">
                  <c:v>41.70297177606183</c:v>
                </c:pt>
                <c:pt idx="808">
                  <c:v>44.636971776061827</c:v>
                </c:pt>
                <c:pt idx="809">
                  <c:v>41.376971776061829</c:v>
                </c:pt>
                <c:pt idx="810">
                  <c:v>38.116971776061831</c:v>
                </c:pt>
                <c:pt idx="811">
                  <c:v>40.579071776061831</c:v>
                </c:pt>
                <c:pt idx="812">
                  <c:v>37.749071776061832</c:v>
                </c:pt>
                <c:pt idx="813">
                  <c:v>40.18287177606183</c:v>
                </c:pt>
                <c:pt idx="814">
                  <c:v>42.64497177606183</c:v>
                </c:pt>
                <c:pt idx="815">
                  <c:v>48.055931776061826</c:v>
                </c:pt>
                <c:pt idx="816">
                  <c:v>50.970831776061829</c:v>
                </c:pt>
                <c:pt idx="817">
                  <c:v>48.14083177606183</c:v>
                </c:pt>
                <c:pt idx="818">
                  <c:v>53.291431776061827</c:v>
                </c:pt>
                <c:pt idx="819">
                  <c:v>50.461431776061829</c:v>
                </c:pt>
                <c:pt idx="820">
                  <c:v>47.581431776061827</c:v>
                </c:pt>
                <c:pt idx="821">
                  <c:v>44.701431776061824</c:v>
                </c:pt>
                <c:pt idx="822">
                  <c:v>41.821431776061821</c:v>
                </c:pt>
                <c:pt idx="823">
                  <c:v>44.355831776061819</c:v>
                </c:pt>
                <c:pt idx="824">
                  <c:v>48.733431776061821</c:v>
                </c:pt>
                <c:pt idx="825">
                  <c:v>52.563831776061818</c:v>
                </c:pt>
                <c:pt idx="826">
                  <c:v>49.683831776061815</c:v>
                </c:pt>
                <c:pt idx="827">
                  <c:v>52.644831776061814</c:v>
                </c:pt>
                <c:pt idx="828">
                  <c:v>55.474231776061814</c:v>
                </c:pt>
                <c:pt idx="829">
                  <c:v>58.23783177606181</c:v>
                </c:pt>
                <c:pt idx="830">
                  <c:v>61.07381177606181</c:v>
                </c:pt>
                <c:pt idx="831">
                  <c:v>63.936111776061807</c:v>
                </c:pt>
                <c:pt idx="832">
                  <c:v>60.646111776061808</c:v>
                </c:pt>
                <c:pt idx="833">
                  <c:v>63.508411776061806</c:v>
                </c:pt>
                <c:pt idx="834">
                  <c:v>66.324651776061813</c:v>
                </c:pt>
                <c:pt idx="835">
                  <c:v>69.285651776061812</c:v>
                </c:pt>
                <c:pt idx="836">
                  <c:v>72.24665177606181</c:v>
                </c:pt>
                <c:pt idx="837">
                  <c:v>68.956651776061804</c:v>
                </c:pt>
                <c:pt idx="838">
                  <c:v>65.666651776061798</c:v>
                </c:pt>
                <c:pt idx="839">
                  <c:v>62.376651776061799</c:v>
                </c:pt>
                <c:pt idx="840">
                  <c:v>59.0866517760618</c:v>
                </c:pt>
                <c:pt idx="841">
                  <c:v>56.166651776061798</c:v>
                </c:pt>
                <c:pt idx="842">
                  <c:v>59.127651776061796</c:v>
                </c:pt>
                <c:pt idx="843">
                  <c:v>61.755651776061796</c:v>
                </c:pt>
                <c:pt idx="844">
                  <c:v>64.383651776061797</c:v>
                </c:pt>
                <c:pt idx="845">
                  <c:v>66.924051776061802</c:v>
                </c:pt>
                <c:pt idx="846">
                  <c:v>69.400211776061809</c:v>
                </c:pt>
                <c:pt idx="847">
                  <c:v>72.028211776061809</c:v>
                </c:pt>
                <c:pt idx="848">
                  <c:v>74.527731776061813</c:v>
                </c:pt>
                <c:pt idx="849">
                  <c:v>71.127731776061808</c:v>
                </c:pt>
                <c:pt idx="850">
                  <c:v>67.727731776061802</c:v>
                </c:pt>
                <c:pt idx="851">
                  <c:v>70.502131776061802</c:v>
                </c:pt>
                <c:pt idx="852">
                  <c:v>73.562131776061804</c:v>
                </c:pt>
                <c:pt idx="853">
                  <c:v>76.336531776061804</c:v>
                </c:pt>
                <c:pt idx="854">
                  <c:v>72.936531776061798</c:v>
                </c:pt>
                <c:pt idx="855">
                  <c:v>75.775531776061797</c:v>
                </c:pt>
                <c:pt idx="856">
                  <c:v>72.375531776061791</c:v>
                </c:pt>
                <c:pt idx="857">
                  <c:v>75.258731776061794</c:v>
                </c:pt>
                <c:pt idx="858">
                  <c:v>71.858731776061788</c:v>
                </c:pt>
                <c:pt idx="859">
                  <c:v>68.458731776061782</c:v>
                </c:pt>
                <c:pt idx="860">
                  <c:v>71.651331776061781</c:v>
                </c:pt>
                <c:pt idx="861">
                  <c:v>74.745331776061775</c:v>
                </c:pt>
                <c:pt idx="862">
                  <c:v>77.805331776061777</c:v>
                </c:pt>
                <c:pt idx="863">
                  <c:v>80.610331776061784</c:v>
                </c:pt>
                <c:pt idx="864">
                  <c:v>83.670331776061786</c:v>
                </c:pt>
                <c:pt idx="865">
                  <c:v>87.00233177606178</c:v>
                </c:pt>
                <c:pt idx="866">
                  <c:v>89.892331776061781</c:v>
                </c:pt>
                <c:pt idx="867">
                  <c:v>92.697331776061787</c:v>
                </c:pt>
                <c:pt idx="868">
                  <c:v>89.297331776061782</c:v>
                </c:pt>
                <c:pt idx="869">
                  <c:v>86.587331776061788</c:v>
                </c:pt>
                <c:pt idx="870">
                  <c:v>88.798691776061787</c:v>
                </c:pt>
                <c:pt idx="871">
                  <c:v>91.075091776061782</c:v>
                </c:pt>
                <c:pt idx="872">
                  <c:v>93.514091776061775</c:v>
                </c:pt>
                <c:pt idx="873">
                  <c:v>90.804091776061782</c:v>
                </c:pt>
                <c:pt idx="874">
                  <c:v>93.039841776061778</c:v>
                </c:pt>
                <c:pt idx="875">
                  <c:v>95.251201776061777</c:v>
                </c:pt>
                <c:pt idx="876">
                  <c:v>97.514051776061777</c:v>
                </c:pt>
                <c:pt idx="877">
                  <c:v>94.804051776061783</c:v>
                </c:pt>
                <c:pt idx="878">
                  <c:v>97.243051776061776</c:v>
                </c:pt>
                <c:pt idx="879">
                  <c:v>99.478801776061772</c:v>
                </c:pt>
                <c:pt idx="880">
                  <c:v>96.768801776061778</c:v>
                </c:pt>
                <c:pt idx="881">
                  <c:v>99.993701776061783</c:v>
                </c:pt>
                <c:pt idx="882">
                  <c:v>102.92050177606178</c:v>
                </c:pt>
                <c:pt idx="883">
                  <c:v>100.21050177606179</c:v>
                </c:pt>
                <c:pt idx="884">
                  <c:v>102.76284177606179</c:v>
                </c:pt>
                <c:pt idx="885">
                  <c:v>105.31518177606179</c:v>
                </c:pt>
                <c:pt idx="886">
                  <c:v>108.0961817760618</c:v>
                </c:pt>
                <c:pt idx="887">
                  <c:v>110.6176217760618</c:v>
                </c:pt>
                <c:pt idx="888">
                  <c:v>113.12052177606179</c:v>
                </c:pt>
                <c:pt idx="889">
                  <c:v>110.03052177606179</c:v>
                </c:pt>
                <c:pt idx="890">
                  <c:v>106.94052177606179</c:v>
                </c:pt>
                <c:pt idx="891">
                  <c:v>103.85052177606178</c:v>
                </c:pt>
                <c:pt idx="892">
                  <c:v>100.76052177606178</c:v>
                </c:pt>
                <c:pt idx="893">
                  <c:v>98.010521776061779</c:v>
                </c:pt>
                <c:pt idx="894">
                  <c:v>100.16652177606178</c:v>
                </c:pt>
                <c:pt idx="895">
                  <c:v>102.36652177606179</c:v>
                </c:pt>
                <c:pt idx="896">
                  <c:v>104.58577177606179</c:v>
                </c:pt>
                <c:pt idx="897">
                  <c:v>106.78577177606179</c:v>
                </c:pt>
                <c:pt idx="898">
                  <c:v>109.02977177606179</c:v>
                </c:pt>
                <c:pt idx="899">
                  <c:v>111.66977177606179</c:v>
                </c:pt>
                <c:pt idx="900">
                  <c:v>113.93852177606179</c:v>
                </c:pt>
                <c:pt idx="901">
                  <c:v>111.18852177606179</c:v>
                </c:pt>
                <c:pt idx="902">
                  <c:v>113.80102177606179</c:v>
                </c:pt>
                <c:pt idx="903">
                  <c:v>118.95727177606179</c:v>
                </c:pt>
                <c:pt idx="904">
                  <c:v>116.20727177606179</c:v>
                </c:pt>
                <c:pt idx="905">
                  <c:v>111.99727177606179</c:v>
                </c:pt>
                <c:pt idx="906">
                  <c:v>115.53367177606179</c:v>
                </c:pt>
                <c:pt idx="907">
                  <c:v>119.3226717760618</c:v>
                </c:pt>
                <c:pt idx="908">
                  <c:v>115.1126717760618</c:v>
                </c:pt>
                <c:pt idx="909">
                  <c:v>110.90267177606181</c:v>
                </c:pt>
                <c:pt idx="910">
                  <c:v>115.04531177606181</c:v>
                </c:pt>
                <c:pt idx="911">
                  <c:v>117.41159177606181</c:v>
                </c:pt>
                <c:pt idx="912">
                  <c:v>114.89159177606182</c:v>
                </c:pt>
                <c:pt idx="913">
                  <c:v>112.37159177606182</c:v>
                </c:pt>
                <c:pt idx="914">
                  <c:v>114.38255177606182</c:v>
                </c:pt>
                <c:pt idx="915">
                  <c:v>116.65055177606182</c:v>
                </c:pt>
                <c:pt idx="916">
                  <c:v>118.91855177606182</c:v>
                </c:pt>
                <c:pt idx="917">
                  <c:v>121.21175177606182</c:v>
                </c:pt>
                <c:pt idx="918">
                  <c:v>118.69175177606182</c:v>
                </c:pt>
                <c:pt idx="919">
                  <c:v>120.72035177606182</c:v>
                </c:pt>
                <c:pt idx="920">
                  <c:v>122.77667177606182</c:v>
                </c:pt>
                <c:pt idx="921">
                  <c:v>124.85567177606181</c:v>
                </c:pt>
                <c:pt idx="922">
                  <c:v>126.9346717760618</c:v>
                </c:pt>
                <c:pt idx="923">
                  <c:v>124.41467177606181</c:v>
                </c:pt>
                <c:pt idx="924">
                  <c:v>121.89467177606181</c:v>
                </c:pt>
                <c:pt idx="925">
                  <c:v>119.37467177606182</c:v>
                </c:pt>
                <c:pt idx="926">
                  <c:v>122.47427177606181</c:v>
                </c:pt>
                <c:pt idx="927">
                  <c:v>119.95427177606182</c:v>
                </c:pt>
                <c:pt idx="928">
                  <c:v>125.07872177606181</c:v>
                </c:pt>
                <c:pt idx="929">
                  <c:v>131.1747217760618</c:v>
                </c:pt>
                <c:pt idx="930">
                  <c:v>137.39772177606181</c:v>
                </c:pt>
                <c:pt idx="931">
                  <c:v>134.79772177606182</c:v>
                </c:pt>
                <c:pt idx="932">
                  <c:v>132.19772177606183</c:v>
                </c:pt>
                <c:pt idx="933">
                  <c:v>134.23612177606182</c:v>
                </c:pt>
                <c:pt idx="934">
                  <c:v>131.63612177606183</c:v>
                </c:pt>
                <c:pt idx="935">
                  <c:v>129.03612177606183</c:v>
                </c:pt>
                <c:pt idx="936">
                  <c:v>129.03612177606183</c:v>
                </c:pt>
                <c:pt idx="937">
                  <c:v>131.18112177606184</c:v>
                </c:pt>
                <c:pt idx="938">
                  <c:v>133.72912177606185</c:v>
                </c:pt>
                <c:pt idx="939">
                  <c:v>131.12912177606185</c:v>
                </c:pt>
                <c:pt idx="940">
                  <c:v>134.61312177606186</c:v>
                </c:pt>
                <c:pt idx="941">
                  <c:v>137.89952177606185</c:v>
                </c:pt>
                <c:pt idx="942">
                  <c:v>135.29952177606185</c:v>
                </c:pt>
                <c:pt idx="943">
                  <c:v>131.59952177606186</c:v>
                </c:pt>
                <c:pt idx="944">
                  <c:v>134.96652177606185</c:v>
                </c:pt>
                <c:pt idx="945">
                  <c:v>131.26652177606186</c:v>
                </c:pt>
                <c:pt idx="946">
                  <c:v>127.56652177606186</c:v>
                </c:pt>
                <c:pt idx="947">
                  <c:v>123.86652177606186</c:v>
                </c:pt>
                <c:pt idx="948">
                  <c:v>120.16652177606186</c:v>
                </c:pt>
                <c:pt idx="949">
                  <c:v>126.66002177606185</c:v>
                </c:pt>
                <c:pt idx="950">
                  <c:v>132.28402177606185</c:v>
                </c:pt>
                <c:pt idx="951">
                  <c:v>135.91002177606185</c:v>
                </c:pt>
                <c:pt idx="952">
                  <c:v>132.21002177606186</c:v>
                </c:pt>
                <c:pt idx="953">
                  <c:v>135.14022177606188</c:v>
                </c:pt>
                <c:pt idx="954">
                  <c:v>131.92022177606188</c:v>
                </c:pt>
                <c:pt idx="955">
                  <c:v>134.81822177606188</c:v>
                </c:pt>
                <c:pt idx="956">
                  <c:v>131.59822177606188</c:v>
                </c:pt>
                <c:pt idx="957">
                  <c:v>128.37822177606188</c:v>
                </c:pt>
                <c:pt idx="958">
                  <c:v>125.15822177606188</c:v>
                </c:pt>
                <c:pt idx="959">
                  <c:v>127.81472177606187</c:v>
                </c:pt>
                <c:pt idx="960">
                  <c:v>124.59472177606187</c:v>
                </c:pt>
                <c:pt idx="961">
                  <c:v>121.37472177606188</c:v>
                </c:pt>
                <c:pt idx="962">
                  <c:v>124.04732177606188</c:v>
                </c:pt>
                <c:pt idx="963">
                  <c:v>120.82732177606188</c:v>
                </c:pt>
                <c:pt idx="964">
                  <c:v>123.98292177606189</c:v>
                </c:pt>
                <c:pt idx="965">
                  <c:v>127.85042177606189</c:v>
                </c:pt>
                <c:pt idx="966">
                  <c:v>131.3609217760619</c:v>
                </c:pt>
                <c:pt idx="967">
                  <c:v>127.1109217760619</c:v>
                </c:pt>
                <c:pt idx="968">
                  <c:v>130.72342177606191</c:v>
                </c:pt>
                <c:pt idx="969">
                  <c:v>134.27217177606192</c:v>
                </c:pt>
                <c:pt idx="970">
                  <c:v>138.09717177606191</c:v>
                </c:pt>
                <c:pt idx="971">
                  <c:v>142.43217177606192</c:v>
                </c:pt>
                <c:pt idx="972">
                  <c:v>146.87342177606192</c:v>
                </c:pt>
                <c:pt idx="973">
                  <c:v>142.62342177606192</c:v>
                </c:pt>
                <c:pt idx="974">
                  <c:v>140.0134217760619</c:v>
                </c:pt>
                <c:pt idx="975">
                  <c:v>137.40342177606189</c:v>
                </c:pt>
                <c:pt idx="976">
                  <c:v>139.6219217760619</c:v>
                </c:pt>
                <c:pt idx="977">
                  <c:v>141.97092177606189</c:v>
                </c:pt>
                <c:pt idx="978">
                  <c:v>141.97092177606189</c:v>
                </c:pt>
                <c:pt idx="979">
                  <c:v>144.52872177606187</c:v>
                </c:pt>
                <c:pt idx="980">
                  <c:v>147.08652177606186</c:v>
                </c:pt>
                <c:pt idx="981">
                  <c:v>144.47652177606184</c:v>
                </c:pt>
                <c:pt idx="982">
                  <c:v>146.62977177606183</c:v>
                </c:pt>
                <c:pt idx="983">
                  <c:v>144.01977177606182</c:v>
                </c:pt>
                <c:pt idx="984">
                  <c:v>141.4097717760618</c:v>
                </c:pt>
                <c:pt idx="985">
                  <c:v>143.56302177606179</c:v>
                </c:pt>
                <c:pt idx="986">
                  <c:v>140.95302177606177</c:v>
                </c:pt>
                <c:pt idx="987">
                  <c:v>138.34302177606176</c:v>
                </c:pt>
                <c:pt idx="988">
                  <c:v>135.73302177606175</c:v>
                </c:pt>
                <c:pt idx="989">
                  <c:v>141.02070177606174</c:v>
                </c:pt>
                <c:pt idx="990">
                  <c:v>134.54070177606175</c:v>
                </c:pt>
                <c:pt idx="991">
                  <c:v>139.95150177606175</c:v>
                </c:pt>
              </c:numCache>
            </c:numRef>
          </c:val>
          <c:smooth val="0"/>
          <c:extLst>
            <c:ext xmlns:c16="http://schemas.microsoft.com/office/drawing/2014/chart" uri="{C3380CC4-5D6E-409C-BE32-E72D297353CC}">
              <c16:uniqueId val="{00000000-3FEA-492D-A561-A1012201120E}"/>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7AF5-4594-9B19-E910B1379620}"/>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AF5-4594-9B19-E910B1379620}"/>
              </c:ext>
            </c:extLst>
          </c:dPt>
          <c:val>
            <c:numRef>
              <c:f>Dashboard!$C$10:$D$10</c:f>
              <c:numCache>
                <c:formatCode>0.00%</c:formatCode>
                <c:ptCount val="2"/>
                <c:pt idx="0">
                  <c:v>0.5357142857142857</c:v>
                </c:pt>
                <c:pt idx="1">
                  <c:v>0.4642857142857143</c:v>
                </c:pt>
              </c:numCache>
            </c:numRef>
          </c:val>
          <c:extLst>
            <c:ext xmlns:c16="http://schemas.microsoft.com/office/drawing/2014/chart" uri="{C3380CC4-5D6E-409C-BE32-E72D297353CC}">
              <c16:uniqueId val="{00000000-F61C-4137-AD84-E6160FA4E2B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8CDC-43A3-B671-87D048315E9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CDC-43A3-B671-87D048315E94}"/>
              </c:ext>
            </c:extLst>
          </c:dPt>
          <c:val>
            <c:numRef>
              <c:f>Dashboard!$C$9:$D$9</c:f>
              <c:numCache>
                <c:formatCode>0.00%</c:formatCode>
                <c:ptCount val="2"/>
                <c:pt idx="0">
                  <c:v>0.5357142857142857</c:v>
                </c:pt>
                <c:pt idx="1">
                  <c:v>0.4642857142857143</c:v>
                </c:pt>
              </c:numCache>
            </c:numRef>
          </c:val>
          <c:extLst>
            <c:ext xmlns:c16="http://schemas.microsoft.com/office/drawing/2014/chart" uri="{C3380CC4-5D6E-409C-BE32-E72D297353CC}">
              <c16:uniqueId val="{00000000-F403-4327-9225-097C089B20D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7EBF-406F-9B0C-A1D07AB2912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EBF-406F-9B0C-A1D07AB29121}"/>
              </c:ext>
            </c:extLst>
          </c:dPt>
          <c:val>
            <c:numRef>
              <c:f>Dashboard!$C$8:$D$8</c:f>
              <c:numCache>
                <c:formatCode>0.00%</c:formatCode>
                <c:ptCount val="2"/>
                <c:pt idx="0">
                  <c:v>0.42857142857142855</c:v>
                </c:pt>
                <c:pt idx="1">
                  <c:v>0.5714285714285714</c:v>
                </c:pt>
              </c:numCache>
            </c:numRef>
          </c:val>
          <c:extLst>
            <c:ext xmlns:c16="http://schemas.microsoft.com/office/drawing/2014/chart" uri="{C3380CC4-5D6E-409C-BE32-E72D297353CC}">
              <c16:uniqueId val="{00000000-EA2C-41B5-903A-F0CA045563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V</a:t>
            </a:r>
          </a:p>
        </c:rich>
      </c:tx>
      <c:layout>
        <c:manualLayout>
          <c:xMode val="edge"/>
          <c:yMode val="edge"/>
          <c:x val="0.23872322101692076"/>
          <c:y val="7.2745339912280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14B3-4BDF-B639-016B3745CEE7}"/>
              </c:ext>
            </c:extLst>
          </c:dPt>
          <c:dPt>
            <c:idx val="1"/>
            <c:bubble3D val="0"/>
            <c:spPr>
              <a:solidFill>
                <a:srgbClr val="FF0000"/>
              </a:solidFill>
              <a:ln w="19050">
                <a:solidFill>
                  <a:srgbClr val="FFFFFF"/>
                </a:solidFill>
                <a:prstDash val="solid"/>
              </a:ln>
              <a:effectLst/>
            </c:spPr>
            <c:extLst>
              <c:ext xmlns:c16="http://schemas.microsoft.com/office/drawing/2014/chart" uri="{C3380CC4-5D6E-409C-BE32-E72D297353CC}">
                <c16:uniqueId val="{00000003-14B3-4BDF-B639-016B3745CEE7}"/>
              </c:ext>
            </c:extLst>
          </c:dPt>
          <c:val>
            <c:numRef>
              <c:f>Dashboard!$C$7:$D$7</c:f>
              <c:numCache>
                <c:formatCode>0.00%</c:formatCode>
                <c:ptCount val="2"/>
                <c:pt idx="0">
                  <c:v>0.5714285714285714</c:v>
                </c:pt>
                <c:pt idx="1">
                  <c:v>0.4285714285714286</c:v>
                </c:pt>
              </c:numCache>
            </c:numRef>
          </c:val>
          <c:extLst>
            <c:ext xmlns:c16="http://schemas.microsoft.com/office/drawing/2014/chart" uri="{C3380CC4-5D6E-409C-BE32-E72D297353CC}">
              <c16:uniqueId val="{00000000-6722-4361-9C2D-D92450F7298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V</a:t>
            </a:r>
          </a:p>
        </c:rich>
      </c:tx>
      <c:layout>
        <c:manualLayout>
          <c:xMode val="edge"/>
          <c:yMode val="edge"/>
          <c:x val="0.23872322101692076"/>
          <c:y val="7.2745339912280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rgbClr val="92D050"/>
                </a:solidFill>
                <a:prstDash val="solid"/>
              </a:ln>
              <a:effectLst/>
            </c:spPr>
            <c:extLst>
              <c:ext xmlns:c16="http://schemas.microsoft.com/office/drawing/2014/chart" uri="{C3380CC4-5D6E-409C-BE32-E72D297353CC}">
                <c16:uniqueId val="{00000001-A3B0-4FB0-897E-AE881431040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3B0-4FB0-897E-AE8814310404}"/>
              </c:ext>
            </c:extLst>
          </c:dPt>
          <c:val>
            <c:numRef>
              <c:f>Dashboard!$C$15:$D$15</c:f>
              <c:numCache>
                <c:formatCode>0.00%</c:formatCode>
                <c:ptCount val="2"/>
                <c:pt idx="0">
                  <c:v>0.57471264367816088</c:v>
                </c:pt>
                <c:pt idx="1">
                  <c:v>0.42528735632183912</c:v>
                </c:pt>
              </c:numCache>
            </c:numRef>
          </c:val>
          <c:extLst>
            <c:ext xmlns:c16="http://schemas.microsoft.com/office/drawing/2014/chart" uri="{C3380CC4-5D6E-409C-BE32-E72D297353CC}">
              <c16:uniqueId val="{00000004-A3B0-4FB0-897E-AE8814310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3CBA-49AC-AE38-CF1DBC6A8C5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CBA-49AC-AE38-CF1DBC6A8C55}"/>
              </c:ext>
            </c:extLst>
          </c:dPt>
          <c:val>
            <c:numRef>
              <c:f>Dashboard!$C$16:$D$16</c:f>
              <c:numCache>
                <c:formatCode>0.00%</c:formatCode>
                <c:ptCount val="2"/>
                <c:pt idx="0">
                  <c:v>0.45977011494252873</c:v>
                </c:pt>
                <c:pt idx="1">
                  <c:v>0.54022988505747127</c:v>
                </c:pt>
              </c:numCache>
            </c:numRef>
          </c:val>
          <c:extLst>
            <c:ext xmlns:c16="http://schemas.microsoft.com/office/drawing/2014/chart" uri="{C3380CC4-5D6E-409C-BE32-E72D297353CC}">
              <c16:uniqueId val="{00000004-3CBA-49AC-AE38-CF1DBC6A8C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8A7F-48E9-B420-7F3B29A0EFF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A7F-48E9-B420-7F3B29A0EFFE}"/>
              </c:ext>
            </c:extLst>
          </c:dPt>
          <c:val>
            <c:numRef>
              <c:f>Dashboard!$C$17:$D$17</c:f>
              <c:numCache>
                <c:formatCode>0.00%</c:formatCode>
                <c:ptCount val="2"/>
                <c:pt idx="0">
                  <c:v>0.52873563218390807</c:v>
                </c:pt>
                <c:pt idx="1">
                  <c:v>0.47126436781609193</c:v>
                </c:pt>
              </c:numCache>
            </c:numRef>
          </c:val>
          <c:extLst>
            <c:ext xmlns:c16="http://schemas.microsoft.com/office/drawing/2014/chart" uri="{C3380CC4-5D6E-409C-BE32-E72D297353CC}">
              <c16:uniqueId val="{00000004-8A7F-48E9-B420-7F3B29A0EFF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9060-4B6D-B981-A4ACBC3A593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060-4B6D-B981-A4ACBC3A5932}"/>
              </c:ext>
            </c:extLst>
          </c:dPt>
          <c:val>
            <c:numRef>
              <c:f>Dashboard!$C$18:$D$18</c:f>
              <c:numCache>
                <c:formatCode>0.00%</c:formatCode>
                <c:ptCount val="2"/>
                <c:pt idx="0">
                  <c:v>0.58620689655172409</c:v>
                </c:pt>
                <c:pt idx="1">
                  <c:v>0.41379310344827591</c:v>
                </c:pt>
              </c:numCache>
            </c:numRef>
          </c:val>
          <c:extLst>
            <c:ext xmlns:c16="http://schemas.microsoft.com/office/drawing/2014/chart" uri="{C3380CC4-5D6E-409C-BE32-E72D297353CC}">
              <c16:uniqueId val="{00000004-9060-4B6D-B981-A4ACBC3A593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Over'!$F$2:$F$157</c:f>
              <c:numCache>
                <c:formatCode>#,##0.00;[Red]#,##0.00</c:formatCode>
                <c:ptCount val="156"/>
                <c:pt idx="0">
                  <c:v>2.04</c:v>
                </c:pt>
                <c:pt idx="1">
                  <c:v>2.9699999999999998</c:v>
                </c:pt>
                <c:pt idx="2">
                  <c:v>3.83</c:v>
                </c:pt>
                <c:pt idx="3">
                  <c:v>4.84</c:v>
                </c:pt>
                <c:pt idx="4">
                  <c:v>3.84</c:v>
                </c:pt>
                <c:pt idx="5">
                  <c:v>2.84</c:v>
                </c:pt>
                <c:pt idx="6">
                  <c:v>1.8399999999999999</c:v>
                </c:pt>
                <c:pt idx="7">
                  <c:v>0.83999999999999986</c:v>
                </c:pt>
                <c:pt idx="8">
                  <c:v>-0.16000000000000014</c:v>
                </c:pt>
                <c:pt idx="9">
                  <c:v>-1.1600000000000001</c:v>
                </c:pt>
                <c:pt idx="10">
                  <c:v>-2.16</c:v>
                </c:pt>
                <c:pt idx="11">
                  <c:v>-1.1900000000000002</c:v>
                </c:pt>
                <c:pt idx="12">
                  <c:v>-2.1900000000000004</c:v>
                </c:pt>
                <c:pt idx="13">
                  <c:v>-3.1900000000000004</c:v>
                </c:pt>
                <c:pt idx="14">
                  <c:v>-4.1900000000000004</c:v>
                </c:pt>
                <c:pt idx="15">
                  <c:v>-3.2900000000000005</c:v>
                </c:pt>
                <c:pt idx="16">
                  <c:v>-2.4100000000000006</c:v>
                </c:pt>
                <c:pt idx="17">
                  <c:v>-3.4100000000000006</c:v>
                </c:pt>
                <c:pt idx="18">
                  <c:v>-4.41</c:v>
                </c:pt>
                <c:pt idx="19">
                  <c:v>-5.41</c:v>
                </c:pt>
                <c:pt idx="20">
                  <c:v>-4.5010000000000003</c:v>
                </c:pt>
                <c:pt idx="21">
                  <c:v>-5.5010000000000003</c:v>
                </c:pt>
                <c:pt idx="22">
                  <c:v>-4.7610000000000001</c:v>
                </c:pt>
                <c:pt idx="23">
                  <c:v>-3.8710000000000004</c:v>
                </c:pt>
                <c:pt idx="24">
                  <c:v>-4.8710000000000004</c:v>
                </c:pt>
                <c:pt idx="25">
                  <c:v>-3.0210000000000004</c:v>
                </c:pt>
                <c:pt idx="26">
                  <c:v>-2.2940000000000005</c:v>
                </c:pt>
                <c:pt idx="27">
                  <c:v>-3.2940000000000005</c:v>
                </c:pt>
                <c:pt idx="28">
                  <c:v>-4.2940000000000005</c:v>
                </c:pt>
                <c:pt idx="29">
                  <c:v>-2.3040000000000003</c:v>
                </c:pt>
                <c:pt idx="30">
                  <c:v>-1.3840000000000003</c:v>
                </c:pt>
                <c:pt idx="31">
                  <c:v>-0.40400000000000036</c:v>
                </c:pt>
                <c:pt idx="32">
                  <c:v>0.35599999999999965</c:v>
                </c:pt>
                <c:pt idx="33">
                  <c:v>-0.64400000000000035</c:v>
                </c:pt>
                <c:pt idx="34">
                  <c:v>0.28599999999999959</c:v>
                </c:pt>
                <c:pt idx="35">
                  <c:v>-0.71400000000000041</c:v>
                </c:pt>
                <c:pt idx="36">
                  <c:v>0.17599999999999949</c:v>
                </c:pt>
                <c:pt idx="37">
                  <c:v>1.0659999999999994</c:v>
                </c:pt>
                <c:pt idx="38">
                  <c:v>2.0859999999999994</c:v>
                </c:pt>
                <c:pt idx="39">
                  <c:v>3.0059999999999993</c:v>
                </c:pt>
                <c:pt idx="40">
                  <c:v>2.0059999999999993</c:v>
                </c:pt>
                <c:pt idx="41">
                  <c:v>1.0059999999999993</c:v>
                </c:pt>
                <c:pt idx="42">
                  <c:v>1.9859999999999993</c:v>
                </c:pt>
                <c:pt idx="43">
                  <c:v>2.8859999999999992</c:v>
                </c:pt>
                <c:pt idx="44">
                  <c:v>1.8859999999999992</c:v>
                </c:pt>
                <c:pt idx="45">
                  <c:v>2.7659999999999991</c:v>
                </c:pt>
                <c:pt idx="46">
                  <c:v>3.7659999999999991</c:v>
                </c:pt>
                <c:pt idx="47">
                  <c:v>4.5759999999999987</c:v>
                </c:pt>
                <c:pt idx="48">
                  <c:v>3.5759999999999987</c:v>
                </c:pt>
                <c:pt idx="49">
                  <c:v>2.5759999999999987</c:v>
                </c:pt>
                <c:pt idx="50">
                  <c:v>3.4159999999999986</c:v>
                </c:pt>
                <c:pt idx="51">
                  <c:v>4.3859999999999983</c:v>
                </c:pt>
                <c:pt idx="52">
                  <c:v>5.2949999999999982</c:v>
                </c:pt>
                <c:pt idx="53">
                  <c:v>6.1549999999999985</c:v>
                </c:pt>
                <c:pt idx="54">
                  <c:v>5.1549999999999985</c:v>
                </c:pt>
                <c:pt idx="55">
                  <c:v>6.1049999999999986</c:v>
                </c:pt>
                <c:pt idx="56">
                  <c:v>7.0849999999999991</c:v>
                </c:pt>
                <c:pt idx="57">
                  <c:v>7.9549999999999992</c:v>
                </c:pt>
                <c:pt idx="58">
                  <c:v>6.9549999999999992</c:v>
                </c:pt>
                <c:pt idx="59">
                  <c:v>9.0949999999999989</c:v>
                </c:pt>
                <c:pt idx="60">
                  <c:v>10.904999999999999</c:v>
                </c:pt>
                <c:pt idx="61">
                  <c:v>11.914999999999999</c:v>
                </c:pt>
                <c:pt idx="62">
                  <c:v>12.785</c:v>
                </c:pt>
                <c:pt idx="63">
                  <c:v>11.785</c:v>
                </c:pt>
                <c:pt idx="64">
                  <c:v>12.715</c:v>
                </c:pt>
                <c:pt idx="65">
                  <c:v>11.715</c:v>
                </c:pt>
                <c:pt idx="66">
                  <c:v>12.585000000000001</c:v>
                </c:pt>
                <c:pt idx="67">
                  <c:v>11.585000000000001</c:v>
                </c:pt>
                <c:pt idx="68">
                  <c:v>12.455000000000002</c:v>
                </c:pt>
                <c:pt idx="69">
                  <c:v>13.355000000000002</c:v>
                </c:pt>
                <c:pt idx="70">
                  <c:v>12.355000000000002</c:v>
                </c:pt>
                <c:pt idx="71">
                  <c:v>11.355000000000002</c:v>
                </c:pt>
                <c:pt idx="72">
                  <c:v>10.355000000000002</c:v>
                </c:pt>
                <c:pt idx="73">
                  <c:v>11.365000000000002</c:v>
                </c:pt>
                <c:pt idx="74">
                  <c:v>11.980000000000002</c:v>
                </c:pt>
                <c:pt idx="75">
                  <c:v>12.900000000000002</c:v>
                </c:pt>
                <c:pt idx="76">
                  <c:v>13.740000000000002</c:v>
                </c:pt>
                <c:pt idx="77">
                  <c:v>14.649000000000003</c:v>
                </c:pt>
                <c:pt idx="78">
                  <c:v>15.629000000000003</c:v>
                </c:pt>
                <c:pt idx="79">
                  <c:v>16.538000000000004</c:v>
                </c:pt>
                <c:pt idx="80">
                  <c:v>17.598000000000003</c:v>
                </c:pt>
                <c:pt idx="81">
                  <c:v>16.598000000000003</c:v>
                </c:pt>
                <c:pt idx="82">
                  <c:v>17.728000000000002</c:v>
                </c:pt>
                <c:pt idx="83">
                  <c:v>18.658000000000001</c:v>
                </c:pt>
                <c:pt idx="84">
                  <c:v>19.538</c:v>
                </c:pt>
                <c:pt idx="85">
                  <c:v>20.408000000000001</c:v>
                </c:pt>
                <c:pt idx="86">
                  <c:v>21.278000000000002</c:v>
                </c:pt>
                <c:pt idx="87">
                  <c:v>20.278000000000002</c:v>
                </c:pt>
                <c:pt idx="88">
                  <c:v>19.278000000000002</c:v>
                </c:pt>
                <c:pt idx="89">
                  <c:v>18.278000000000002</c:v>
                </c:pt>
                <c:pt idx="90">
                  <c:v>19.278000000000002</c:v>
                </c:pt>
                <c:pt idx="91">
                  <c:v>18.278000000000002</c:v>
                </c:pt>
                <c:pt idx="92">
                  <c:v>17.278000000000002</c:v>
                </c:pt>
                <c:pt idx="93">
                  <c:v>16.278000000000002</c:v>
                </c:pt>
                <c:pt idx="94">
                  <c:v>15.278000000000002</c:v>
                </c:pt>
                <c:pt idx="95">
                  <c:v>14.278000000000002</c:v>
                </c:pt>
                <c:pt idx="96">
                  <c:v>15.148000000000003</c:v>
                </c:pt>
                <c:pt idx="97">
                  <c:v>15.788000000000004</c:v>
                </c:pt>
                <c:pt idx="98">
                  <c:v>16.768000000000004</c:v>
                </c:pt>
                <c:pt idx="99">
                  <c:v>18.578000000000003</c:v>
                </c:pt>
                <c:pt idx="100">
                  <c:v>20.428000000000004</c:v>
                </c:pt>
                <c:pt idx="101">
                  <c:v>21.178000000000004</c:v>
                </c:pt>
                <c:pt idx="102">
                  <c:v>20.178000000000004</c:v>
                </c:pt>
                <c:pt idx="103">
                  <c:v>21.128000000000004</c:v>
                </c:pt>
                <c:pt idx="104">
                  <c:v>20.128000000000004</c:v>
                </c:pt>
                <c:pt idx="105">
                  <c:v>19.128000000000004</c:v>
                </c:pt>
                <c:pt idx="106">
                  <c:v>18.128000000000004</c:v>
                </c:pt>
                <c:pt idx="107">
                  <c:v>17.128000000000004</c:v>
                </c:pt>
                <c:pt idx="108">
                  <c:v>17.961000000000002</c:v>
                </c:pt>
                <c:pt idx="109">
                  <c:v>18.961000000000002</c:v>
                </c:pt>
                <c:pt idx="110">
                  <c:v>20.021000000000001</c:v>
                </c:pt>
                <c:pt idx="111">
                  <c:v>19.021000000000001</c:v>
                </c:pt>
                <c:pt idx="112">
                  <c:v>19.901</c:v>
                </c:pt>
                <c:pt idx="113">
                  <c:v>20.701000000000001</c:v>
                </c:pt>
                <c:pt idx="114">
                  <c:v>19.701000000000001</c:v>
                </c:pt>
                <c:pt idx="115">
                  <c:v>20.681000000000001</c:v>
                </c:pt>
                <c:pt idx="116">
                  <c:v>19.681000000000001</c:v>
                </c:pt>
                <c:pt idx="117">
                  <c:v>20.711000000000002</c:v>
                </c:pt>
                <c:pt idx="118">
                  <c:v>19.711000000000002</c:v>
                </c:pt>
                <c:pt idx="119">
                  <c:v>18.711000000000002</c:v>
                </c:pt>
                <c:pt idx="120">
                  <c:v>19.641000000000002</c:v>
                </c:pt>
                <c:pt idx="121">
                  <c:v>20.701000000000001</c:v>
                </c:pt>
                <c:pt idx="122">
                  <c:v>21.571000000000002</c:v>
                </c:pt>
                <c:pt idx="123">
                  <c:v>22.581000000000003</c:v>
                </c:pt>
                <c:pt idx="124">
                  <c:v>23.551000000000002</c:v>
                </c:pt>
                <c:pt idx="125">
                  <c:v>22.551000000000002</c:v>
                </c:pt>
                <c:pt idx="126">
                  <c:v>23.431000000000001</c:v>
                </c:pt>
                <c:pt idx="127">
                  <c:v>24.201000000000001</c:v>
                </c:pt>
                <c:pt idx="128">
                  <c:v>25.201000000000001</c:v>
                </c:pt>
                <c:pt idx="129">
                  <c:v>24.201000000000001</c:v>
                </c:pt>
                <c:pt idx="130">
                  <c:v>25.030999999999999</c:v>
                </c:pt>
                <c:pt idx="131">
                  <c:v>25.991</c:v>
                </c:pt>
                <c:pt idx="132">
                  <c:v>27.050999999999998</c:v>
                </c:pt>
                <c:pt idx="133">
                  <c:v>28.901</c:v>
                </c:pt>
                <c:pt idx="134">
                  <c:v>29.771000000000001</c:v>
                </c:pt>
                <c:pt idx="135">
                  <c:v>28.771000000000001</c:v>
                </c:pt>
                <c:pt idx="136">
                  <c:v>29.581</c:v>
                </c:pt>
                <c:pt idx="137">
                  <c:v>30.451000000000001</c:v>
                </c:pt>
                <c:pt idx="138">
                  <c:v>31.431000000000001</c:v>
                </c:pt>
                <c:pt idx="139">
                  <c:v>32.451000000000001</c:v>
                </c:pt>
                <c:pt idx="140">
                  <c:v>33.451000000000001</c:v>
                </c:pt>
                <c:pt idx="141">
                  <c:v>32.451000000000001</c:v>
                </c:pt>
                <c:pt idx="142">
                  <c:v>31.451000000000001</c:v>
                </c:pt>
                <c:pt idx="143">
                  <c:v>32.521000000000001</c:v>
                </c:pt>
                <c:pt idx="144">
                  <c:v>33.741</c:v>
                </c:pt>
                <c:pt idx="145">
                  <c:v>32.741</c:v>
                </c:pt>
                <c:pt idx="146">
                  <c:v>31.741</c:v>
                </c:pt>
                <c:pt idx="147">
                  <c:v>32.710999999999999</c:v>
                </c:pt>
                <c:pt idx="148">
                  <c:v>31.710999999999999</c:v>
                </c:pt>
                <c:pt idx="149">
                  <c:v>30.710999999999999</c:v>
                </c:pt>
                <c:pt idx="150">
                  <c:v>29.710999999999999</c:v>
                </c:pt>
                <c:pt idx="151">
                  <c:v>30.631</c:v>
                </c:pt>
                <c:pt idx="152">
                  <c:v>29.631</c:v>
                </c:pt>
                <c:pt idx="153">
                  <c:v>30.600999999999999</c:v>
                </c:pt>
                <c:pt idx="154">
                  <c:v>29.600999999999999</c:v>
                </c:pt>
              </c:numCache>
            </c:numRef>
          </c:val>
          <c:smooth val="0"/>
          <c:extLst>
            <c:ext xmlns:c16="http://schemas.microsoft.com/office/drawing/2014/chart" uri="{C3380CC4-5D6E-409C-BE32-E72D297353CC}">
              <c16:uniqueId val="{00000000-CF5B-436F-8FB8-3768E011AF4F}"/>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 Individual'!$F$2:$F$14</c:f>
              <c:numCache>
                <c:formatCode>#,##0.00;[Red]#,##0.00</c:formatCode>
                <c:ptCount val="13"/>
                <c:pt idx="0">
                  <c:v>2.04</c:v>
                </c:pt>
                <c:pt idx="1">
                  <c:v>1.04</c:v>
                </c:pt>
                <c:pt idx="2">
                  <c:v>4.0000000000000036E-2</c:v>
                </c:pt>
                <c:pt idx="3">
                  <c:v>1.8900000000000001</c:v>
                </c:pt>
                <c:pt idx="4">
                  <c:v>3.8800000000000003</c:v>
                </c:pt>
                <c:pt idx="5">
                  <c:v>6.0200000000000005</c:v>
                </c:pt>
                <c:pt idx="6">
                  <c:v>7.83</c:v>
                </c:pt>
                <c:pt idx="7">
                  <c:v>6.83</c:v>
                </c:pt>
                <c:pt idx="8">
                  <c:v>5.83</c:v>
                </c:pt>
                <c:pt idx="9">
                  <c:v>7.6400000000000006</c:v>
                </c:pt>
                <c:pt idx="10">
                  <c:v>9.49</c:v>
                </c:pt>
                <c:pt idx="11">
                  <c:v>11.34</c:v>
                </c:pt>
              </c:numCache>
            </c:numRef>
          </c:val>
          <c:smooth val="0"/>
          <c:extLst>
            <c:ext xmlns:c16="http://schemas.microsoft.com/office/drawing/2014/chart" uri="{C3380CC4-5D6E-409C-BE32-E72D297353CC}">
              <c16:uniqueId val="{00000000-6D90-4C39-B52B-778D273205EF}"/>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VeneCash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v/>
          </c:tx>
          <c:spPr>
            <a:ln w="25400" cap="rnd">
              <a:solidFill>
                <a:srgbClr val="70AD47"/>
              </a:solidFill>
              <a:prstDash val="solid"/>
              <a:round/>
            </a:ln>
            <a:effectLst/>
          </c:spPr>
          <c:marker>
            <c:symbol val="none"/>
          </c:marker>
          <c:val>
            <c:numRef>
              <c:f>'MLB ML Over Partidos'!$F$2:$F$145</c:f>
              <c:numCache>
                <c:formatCode>#,##0.00;[Red]#,##0.00</c:formatCode>
                <c:ptCount val="144"/>
                <c:pt idx="0">
                  <c:v>0.92999999999999994</c:v>
                </c:pt>
                <c:pt idx="1">
                  <c:v>1.79</c:v>
                </c:pt>
                <c:pt idx="2">
                  <c:v>2.8</c:v>
                </c:pt>
                <c:pt idx="3">
                  <c:v>1.7999999999999998</c:v>
                </c:pt>
                <c:pt idx="4">
                  <c:v>0.79999999999999982</c:v>
                </c:pt>
                <c:pt idx="5">
                  <c:v>-0.20000000000000018</c:v>
                </c:pt>
                <c:pt idx="6">
                  <c:v>-1.2000000000000002</c:v>
                </c:pt>
                <c:pt idx="7">
                  <c:v>-2.2000000000000002</c:v>
                </c:pt>
                <c:pt idx="8">
                  <c:v>-3.2</c:v>
                </c:pt>
                <c:pt idx="9">
                  <c:v>-2.2300000000000004</c:v>
                </c:pt>
                <c:pt idx="10">
                  <c:v>-3.2300000000000004</c:v>
                </c:pt>
                <c:pt idx="11">
                  <c:v>-4.2300000000000004</c:v>
                </c:pt>
                <c:pt idx="12">
                  <c:v>-3.3300000000000005</c:v>
                </c:pt>
                <c:pt idx="13">
                  <c:v>-2.4500000000000006</c:v>
                </c:pt>
                <c:pt idx="14">
                  <c:v>-3.4500000000000006</c:v>
                </c:pt>
                <c:pt idx="15">
                  <c:v>-4.4500000000000011</c:v>
                </c:pt>
                <c:pt idx="16">
                  <c:v>-5.4500000000000011</c:v>
                </c:pt>
                <c:pt idx="17">
                  <c:v>-4.5410000000000013</c:v>
                </c:pt>
                <c:pt idx="18">
                  <c:v>-5.5410000000000013</c:v>
                </c:pt>
                <c:pt idx="19">
                  <c:v>-4.801000000000001</c:v>
                </c:pt>
                <c:pt idx="20">
                  <c:v>-3.9110000000000014</c:v>
                </c:pt>
                <c:pt idx="21">
                  <c:v>-4.9110000000000014</c:v>
                </c:pt>
                <c:pt idx="22">
                  <c:v>-4.1840000000000011</c:v>
                </c:pt>
                <c:pt idx="23">
                  <c:v>-5.1840000000000011</c:v>
                </c:pt>
                <c:pt idx="24">
                  <c:v>-6.1840000000000011</c:v>
                </c:pt>
                <c:pt idx="25">
                  <c:v>-5.2640000000000011</c:v>
                </c:pt>
                <c:pt idx="26">
                  <c:v>-4.2840000000000007</c:v>
                </c:pt>
                <c:pt idx="27">
                  <c:v>-3.5240000000000009</c:v>
                </c:pt>
                <c:pt idx="28">
                  <c:v>-4.5240000000000009</c:v>
                </c:pt>
                <c:pt idx="29">
                  <c:v>-3.5940000000000012</c:v>
                </c:pt>
                <c:pt idx="30">
                  <c:v>-4.5940000000000012</c:v>
                </c:pt>
                <c:pt idx="31">
                  <c:v>-3.7040000000000015</c:v>
                </c:pt>
                <c:pt idx="32">
                  <c:v>-2.8140000000000018</c:v>
                </c:pt>
                <c:pt idx="33">
                  <c:v>-1.7940000000000018</c:v>
                </c:pt>
                <c:pt idx="34">
                  <c:v>-0.87400000000000189</c:v>
                </c:pt>
                <c:pt idx="35">
                  <c:v>-1.8740000000000019</c:v>
                </c:pt>
                <c:pt idx="36">
                  <c:v>-2.8740000000000019</c:v>
                </c:pt>
                <c:pt idx="37">
                  <c:v>-1.8940000000000019</c:v>
                </c:pt>
                <c:pt idx="38">
                  <c:v>-0.99400000000000199</c:v>
                </c:pt>
                <c:pt idx="39">
                  <c:v>-1.994000000000002</c:v>
                </c:pt>
                <c:pt idx="40">
                  <c:v>-1.1140000000000021</c:v>
                </c:pt>
                <c:pt idx="41">
                  <c:v>-0.1140000000000021</c:v>
                </c:pt>
                <c:pt idx="42">
                  <c:v>0.69599999999999795</c:v>
                </c:pt>
                <c:pt idx="43">
                  <c:v>-0.30400000000000205</c:v>
                </c:pt>
                <c:pt idx="44">
                  <c:v>-1.304000000000002</c:v>
                </c:pt>
                <c:pt idx="45">
                  <c:v>-0.46400000000000197</c:v>
                </c:pt>
                <c:pt idx="46">
                  <c:v>0.50599999999999801</c:v>
                </c:pt>
                <c:pt idx="47">
                  <c:v>1.414999999999998</c:v>
                </c:pt>
                <c:pt idx="48">
                  <c:v>2.2749999999999981</c:v>
                </c:pt>
                <c:pt idx="49">
                  <c:v>1.2749999999999981</c:v>
                </c:pt>
                <c:pt idx="50">
                  <c:v>2.2249999999999979</c:v>
                </c:pt>
                <c:pt idx="51">
                  <c:v>3.2049999999999979</c:v>
                </c:pt>
                <c:pt idx="52">
                  <c:v>4.0749999999999975</c:v>
                </c:pt>
                <c:pt idx="53">
                  <c:v>3.0749999999999975</c:v>
                </c:pt>
                <c:pt idx="54">
                  <c:v>4.0849999999999973</c:v>
                </c:pt>
                <c:pt idx="55">
                  <c:v>4.9549999999999974</c:v>
                </c:pt>
                <c:pt idx="56">
                  <c:v>3.9549999999999974</c:v>
                </c:pt>
                <c:pt idx="57">
                  <c:v>4.8849999999999971</c:v>
                </c:pt>
                <c:pt idx="58">
                  <c:v>3.8849999999999971</c:v>
                </c:pt>
                <c:pt idx="59">
                  <c:v>4.7549999999999972</c:v>
                </c:pt>
                <c:pt idx="60">
                  <c:v>3.7549999999999972</c:v>
                </c:pt>
                <c:pt idx="61">
                  <c:v>4.6249999999999973</c:v>
                </c:pt>
                <c:pt idx="62">
                  <c:v>5.5249999999999968</c:v>
                </c:pt>
                <c:pt idx="63">
                  <c:v>4.5249999999999968</c:v>
                </c:pt>
                <c:pt idx="64">
                  <c:v>3.5249999999999968</c:v>
                </c:pt>
                <c:pt idx="65">
                  <c:v>2.5249999999999968</c:v>
                </c:pt>
                <c:pt idx="66">
                  <c:v>3.5349999999999966</c:v>
                </c:pt>
                <c:pt idx="67">
                  <c:v>4.1499999999999968</c:v>
                </c:pt>
                <c:pt idx="68">
                  <c:v>5.0699999999999967</c:v>
                </c:pt>
                <c:pt idx="69">
                  <c:v>5.9099999999999966</c:v>
                </c:pt>
                <c:pt idx="70">
                  <c:v>6.8189999999999964</c:v>
                </c:pt>
                <c:pt idx="71">
                  <c:v>7.7989999999999959</c:v>
                </c:pt>
                <c:pt idx="72">
                  <c:v>8.7079999999999966</c:v>
                </c:pt>
                <c:pt idx="73">
                  <c:v>9.7679999999999971</c:v>
                </c:pt>
                <c:pt idx="74">
                  <c:v>8.7679999999999971</c:v>
                </c:pt>
                <c:pt idx="75">
                  <c:v>9.8979999999999961</c:v>
                </c:pt>
                <c:pt idx="76">
                  <c:v>10.827999999999996</c:v>
                </c:pt>
                <c:pt idx="77">
                  <c:v>11.707999999999995</c:v>
                </c:pt>
                <c:pt idx="78">
                  <c:v>12.577999999999996</c:v>
                </c:pt>
                <c:pt idx="79">
                  <c:v>13.447999999999997</c:v>
                </c:pt>
                <c:pt idx="80">
                  <c:v>12.447999999999997</c:v>
                </c:pt>
                <c:pt idx="81">
                  <c:v>11.447999999999997</c:v>
                </c:pt>
                <c:pt idx="82">
                  <c:v>10.447999999999997</c:v>
                </c:pt>
                <c:pt idx="83">
                  <c:v>11.447999999999997</c:v>
                </c:pt>
                <c:pt idx="84">
                  <c:v>10.447999999999997</c:v>
                </c:pt>
                <c:pt idx="85">
                  <c:v>9.4479999999999968</c:v>
                </c:pt>
                <c:pt idx="86">
                  <c:v>8.4479999999999968</c:v>
                </c:pt>
                <c:pt idx="87">
                  <c:v>9.3179999999999978</c:v>
                </c:pt>
                <c:pt idx="88">
                  <c:v>9.9579999999999984</c:v>
                </c:pt>
                <c:pt idx="89">
                  <c:v>10.937999999999999</c:v>
                </c:pt>
                <c:pt idx="90">
                  <c:v>11.687999999999999</c:v>
                </c:pt>
                <c:pt idx="91">
                  <c:v>10.687999999999999</c:v>
                </c:pt>
                <c:pt idx="92">
                  <c:v>11.637999999999998</c:v>
                </c:pt>
                <c:pt idx="93">
                  <c:v>10.637999999999998</c:v>
                </c:pt>
                <c:pt idx="94">
                  <c:v>9.6379999999999981</c:v>
                </c:pt>
                <c:pt idx="95">
                  <c:v>8.6379999999999981</c:v>
                </c:pt>
                <c:pt idx="96">
                  <c:v>7.6379999999999981</c:v>
                </c:pt>
                <c:pt idx="97">
                  <c:v>8.4709999999999983</c:v>
                </c:pt>
                <c:pt idx="98">
                  <c:v>9.4709999999999983</c:v>
                </c:pt>
                <c:pt idx="99">
                  <c:v>10.530999999999999</c:v>
                </c:pt>
                <c:pt idx="100">
                  <c:v>9.5309999999999988</c:v>
                </c:pt>
                <c:pt idx="101">
                  <c:v>10.410999999999998</c:v>
                </c:pt>
                <c:pt idx="102">
                  <c:v>11.210999999999999</c:v>
                </c:pt>
                <c:pt idx="103">
                  <c:v>10.210999999999999</c:v>
                </c:pt>
                <c:pt idx="104">
                  <c:v>11.190999999999999</c:v>
                </c:pt>
                <c:pt idx="105">
                  <c:v>10.190999999999999</c:v>
                </c:pt>
                <c:pt idx="106">
                  <c:v>11.220999999999998</c:v>
                </c:pt>
                <c:pt idx="107">
                  <c:v>10.220999999999998</c:v>
                </c:pt>
                <c:pt idx="108">
                  <c:v>9.2209999999999983</c:v>
                </c:pt>
                <c:pt idx="109">
                  <c:v>10.150999999999998</c:v>
                </c:pt>
                <c:pt idx="110">
                  <c:v>11.210999999999999</c:v>
                </c:pt>
                <c:pt idx="111">
                  <c:v>12.081</c:v>
                </c:pt>
                <c:pt idx="112">
                  <c:v>13.090999999999999</c:v>
                </c:pt>
                <c:pt idx="113">
                  <c:v>14.061</c:v>
                </c:pt>
                <c:pt idx="114">
                  <c:v>13.061</c:v>
                </c:pt>
                <c:pt idx="115">
                  <c:v>13.940999999999999</c:v>
                </c:pt>
                <c:pt idx="116">
                  <c:v>14.710999999999999</c:v>
                </c:pt>
                <c:pt idx="117">
                  <c:v>15.710999999999999</c:v>
                </c:pt>
                <c:pt idx="118">
                  <c:v>14.710999999999999</c:v>
                </c:pt>
                <c:pt idx="119">
                  <c:v>15.540999999999999</c:v>
                </c:pt>
                <c:pt idx="120">
                  <c:v>16.500999999999998</c:v>
                </c:pt>
                <c:pt idx="121">
                  <c:v>17.560999999999996</c:v>
                </c:pt>
                <c:pt idx="122">
                  <c:v>18.430999999999997</c:v>
                </c:pt>
                <c:pt idx="123">
                  <c:v>17.430999999999997</c:v>
                </c:pt>
                <c:pt idx="124">
                  <c:v>18.240999999999996</c:v>
                </c:pt>
                <c:pt idx="125">
                  <c:v>19.110999999999997</c:v>
                </c:pt>
                <c:pt idx="126">
                  <c:v>20.090999999999998</c:v>
                </c:pt>
                <c:pt idx="127">
                  <c:v>21.110999999999997</c:v>
                </c:pt>
                <c:pt idx="128">
                  <c:v>22.110999999999997</c:v>
                </c:pt>
                <c:pt idx="129">
                  <c:v>21.110999999999997</c:v>
                </c:pt>
                <c:pt idx="130">
                  <c:v>20.110999999999997</c:v>
                </c:pt>
                <c:pt idx="131">
                  <c:v>21.180999999999997</c:v>
                </c:pt>
                <c:pt idx="132">
                  <c:v>22.400999999999996</c:v>
                </c:pt>
                <c:pt idx="133">
                  <c:v>21.400999999999996</c:v>
                </c:pt>
                <c:pt idx="134">
                  <c:v>20.400999999999996</c:v>
                </c:pt>
                <c:pt idx="135">
                  <c:v>21.370999999999995</c:v>
                </c:pt>
                <c:pt idx="136">
                  <c:v>20.370999999999995</c:v>
                </c:pt>
                <c:pt idx="137">
                  <c:v>19.370999999999995</c:v>
                </c:pt>
                <c:pt idx="138">
                  <c:v>18.370999999999995</c:v>
                </c:pt>
                <c:pt idx="139">
                  <c:v>19.290999999999997</c:v>
                </c:pt>
                <c:pt idx="140">
                  <c:v>18.290999999999997</c:v>
                </c:pt>
                <c:pt idx="141">
                  <c:v>19.260999999999996</c:v>
                </c:pt>
                <c:pt idx="142">
                  <c:v>18.260999999999996</c:v>
                </c:pt>
              </c:numCache>
            </c:numRef>
          </c:val>
          <c:smooth val="0"/>
          <c:extLst>
            <c:ext xmlns:c16="http://schemas.microsoft.com/office/drawing/2014/chart" uri="{C3380CC4-5D6E-409C-BE32-E72D297353CC}">
              <c16:uniqueId val="{00000000-EFFA-412A-9DD3-25D57BB57538}"/>
            </c:ext>
          </c:extLst>
        </c:ser>
        <c:dLbls>
          <c:showLegendKey val="0"/>
          <c:showVal val="0"/>
          <c:showCatName val="0"/>
          <c:showSerName val="0"/>
          <c:showPercent val="0"/>
          <c:showBubbleSize val="0"/>
        </c:dLbls>
        <c:smooth val="0"/>
        <c:axId val="249311536"/>
        <c:axId val="249313888"/>
      </c:lineChart>
      <c:catAx>
        <c:axId val="249311536"/>
        <c:scaling>
          <c:orientation val="minMax"/>
        </c:scaling>
        <c:delete val="1"/>
        <c:axPos val="b"/>
        <c:majorTickMark val="none"/>
        <c:minorTickMark val="none"/>
        <c:tickLblPos val="nextTo"/>
        <c:crossAx val="249313888"/>
        <c:crosses val="autoZero"/>
        <c:auto val="1"/>
        <c:lblAlgn val="ctr"/>
        <c:lblOffset val="100"/>
        <c:noMultiLvlLbl val="0"/>
      </c:catAx>
      <c:valAx>
        <c:axId val="24931388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4931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Torta!$D$4:$D$7</c:f>
              <c:numCache>
                <c:formatCode>"$"#,##0.00</c:formatCode>
                <c:ptCount val="4"/>
                <c:pt idx="0">
                  <c:v>0</c:v>
                </c:pt>
                <c:pt idx="1">
                  <c:v>0</c:v>
                </c:pt>
                <c:pt idx="2">
                  <c:v>0</c:v>
                </c:pt>
                <c:pt idx="3">
                  <c:v>0</c:v>
                </c:pt>
              </c:numCache>
            </c:numRef>
          </c:val>
          <c:extLst>
            <c:ext xmlns:c16="http://schemas.microsoft.com/office/drawing/2014/chart" uri="{C3380CC4-5D6E-409C-BE32-E72D297353CC}">
              <c16:uniqueId val="{00000000-462A-4C61-ACF6-C4DCEDC7D07C}"/>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Torta!$C$4:$C$7</c:f>
              <c:numCache>
                <c:formatCode>0.00%</c:formatCode>
                <c:ptCount val="4"/>
                <c:pt idx="0">
                  <c:v>1.8454449838109805E-2</c:v>
                </c:pt>
                <c:pt idx="1">
                  <c:v>1.9223923382567093E-2</c:v>
                </c:pt>
                <c:pt idx="2">
                  <c:v>0.10067923074015588</c:v>
                </c:pt>
                <c:pt idx="3">
                  <c:v>0.86164239603916715</c:v>
                </c:pt>
              </c:numCache>
            </c:numRef>
          </c:val>
          <c:extLst>
            <c:ext xmlns:c16="http://schemas.microsoft.com/office/drawing/2014/chart" uri="{C3380CC4-5D6E-409C-BE32-E72D297353CC}">
              <c16:uniqueId val="{00000001-462A-4C61-ACF6-C4DCEDC7D07C}"/>
            </c:ext>
          </c:extLst>
        </c:ser>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727-496E-A024-A2531953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727-496E-A024-A2531953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3E40-49B8-9DBF-D6364D8794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3E40-49B8-9DBF-D6364D879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Torta!$A$4:$A$7</c:f>
              <c:strCache>
                <c:ptCount val="4"/>
                <c:pt idx="0">
                  <c:v>Ysi</c:v>
                </c:pt>
                <c:pt idx="1">
                  <c:v>Roso</c:v>
                </c:pt>
                <c:pt idx="2">
                  <c:v>Sarahi</c:v>
                </c:pt>
                <c:pt idx="3">
                  <c:v>Franklin</c:v>
                </c:pt>
              </c:strCache>
            </c:strRef>
          </c:cat>
          <c:val>
            <c:numRef>
              <c:f>Torta!$D$4:$D$7</c:f>
              <c:numCache>
                <c:formatCode>"$"#,##0.00</c:formatCode>
                <c:ptCount val="4"/>
                <c:pt idx="0">
                  <c:v>0</c:v>
                </c:pt>
                <c:pt idx="1">
                  <c:v>0</c:v>
                </c:pt>
                <c:pt idx="2">
                  <c:v>0</c:v>
                </c:pt>
                <c:pt idx="3">
                  <c:v>0</c:v>
                </c:pt>
              </c:numCache>
            </c:numRef>
          </c:val>
          <c:extLst>
            <c:ext xmlns:c16="http://schemas.microsoft.com/office/drawing/2014/chart" uri="{C3380CC4-5D6E-409C-BE32-E72D297353CC}">
              <c16:uniqueId val="{00000002-462A-4C61-ACF6-C4DCEDC7D07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266700</xdr:colOff>
      <xdr:row>1047</xdr:row>
      <xdr:rowOff>9525</xdr:rowOff>
    </xdr:from>
    <xdr:to>
      <xdr:col>12</xdr:col>
      <xdr:colOff>200025</xdr:colOff>
      <xdr:row>1061</xdr:row>
      <xdr:rowOff>28575</xdr:rowOff>
    </xdr:to>
    <xdr:graphicFrame macro="">
      <xdr:nvGraphicFramePr>
        <xdr:cNvPr id="5" name="Gráfico 3">
          <a:extLst>
            <a:ext uri="{FF2B5EF4-FFF2-40B4-BE49-F238E27FC236}">
              <a16:creationId xmlns:a16="http://schemas.microsoft.com/office/drawing/2014/main" id="{78A5DCFA-FC1D-4B6D-A39D-6FC42831F828}"/>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3</xdr:row>
      <xdr:rowOff>9525</xdr:rowOff>
    </xdr:from>
    <xdr:to>
      <xdr:col>12</xdr:col>
      <xdr:colOff>361950</xdr:colOff>
      <xdr:row>17</xdr:row>
      <xdr:rowOff>171450</xdr:rowOff>
    </xdr:to>
    <xdr:sp macro="" textlink="">
      <xdr:nvSpPr>
        <xdr:cNvPr id="3" name="Rectángulo redondeado 2">
          <a:extLst>
            <a:ext uri="{FF2B5EF4-FFF2-40B4-BE49-F238E27FC236}">
              <a16:creationId xmlns:a16="http://schemas.microsoft.com/office/drawing/2014/main" id="{39C3CD27-0F9C-22BF-DA92-F7106DD27558}"/>
            </a:ext>
            <a:ext uri="{147F2762-F138-4A5C-976F-8EAC2B608ADB}">
              <a16:predDERef xmlns:a16="http://schemas.microsoft.com/office/drawing/2014/main" pred="{C665FA97-8A96-03D2-07BD-98D5D7C2A894}"/>
            </a:ext>
          </a:extLst>
        </xdr:cNvPr>
        <xdr:cNvSpPr/>
      </xdr:nvSpPr>
      <xdr:spPr>
        <a:xfrm>
          <a:off x="4057650" y="666750"/>
          <a:ext cx="6505575" cy="283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9</xdr:col>
      <xdr:colOff>381000</xdr:colOff>
      <xdr:row>4</xdr:row>
      <xdr:rowOff>76200</xdr:rowOff>
    </xdr:from>
    <xdr:to>
      <xdr:col>11</xdr:col>
      <xdr:colOff>581025</xdr:colOff>
      <xdr:row>10</xdr:row>
      <xdr:rowOff>47625</xdr:rowOff>
    </xdr:to>
    <xdr:graphicFrame macro="">
      <xdr:nvGraphicFramePr>
        <xdr:cNvPr id="2" name="Gráfico 1">
          <a:extLst>
            <a:ext uri="{FF2B5EF4-FFF2-40B4-BE49-F238E27FC236}">
              <a16:creationId xmlns:a16="http://schemas.microsoft.com/office/drawing/2014/main" id="{038804EB-E89A-B3CD-E9C3-30FF9DBD38AE}"/>
            </a:ext>
            <a:ext uri="{147F2762-F138-4A5C-976F-8EAC2B608ADB}">
              <a16:predDERef xmlns:a16="http://schemas.microsoft.com/office/drawing/2014/main" pred="{39C3CD27-0F9C-22BF-DA92-F7106DD27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733425</xdr:colOff>
      <xdr:row>4</xdr:row>
      <xdr:rowOff>66675</xdr:rowOff>
    </xdr:from>
    <xdr:to>
      <xdr:col>9</xdr:col>
      <xdr:colOff>304800</xdr:colOff>
      <xdr:row>10</xdr:row>
      <xdr:rowOff>38100</xdr:rowOff>
    </xdr:to>
    <xdr:graphicFrame macro="">
      <xdr:nvGraphicFramePr>
        <xdr:cNvPr id="7" name="Gráfico 6">
          <a:extLst>
            <a:ext uri="{FF2B5EF4-FFF2-40B4-BE49-F238E27FC236}">
              <a16:creationId xmlns:a16="http://schemas.microsoft.com/office/drawing/2014/main" id="{C665FA97-8A96-03D2-07BD-98D5D7C2A894}"/>
            </a:ext>
            <a:ext uri="{147F2762-F138-4A5C-976F-8EAC2B608ADB}">
              <a16:predDERef xmlns:a16="http://schemas.microsoft.com/office/drawing/2014/main" pred="{038804EB-E89A-B3CD-E9C3-30FF9DBD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371475</xdr:colOff>
      <xdr:row>4</xdr:row>
      <xdr:rowOff>76200</xdr:rowOff>
    </xdr:from>
    <xdr:to>
      <xdr:col>7</xdr:col>
      <xdr:colOff>657225</xdr:colOff>
      <xdr:row>10</xdr:row>
      <xdr:rowOff>38100</xdr:rowOff>
    </xdr:to>
    <xdr:graphicFrame macro="">
      <xdr:nvGraphicFramePr>
        <xdr:cNvPr id="6" name="Gráfico 5">
          <a:extLst>
            <a:ext uri="{FF2B5EF4-FFF2-40B4-BE49-F238E27FC236}">
              <a16:creationId xmlns:a16="http://schemas.microsoft.com/office/drawing/2014/main" id="{A4CDC236-F550-F6E9-4A1B-6102C1F3FBBB}"/>
            </a:ext>
            <a:ext uri="{147F2762-F138-4A5C-976F-8EAC2B608ADB}">
              <a16:predDERef xmlns:a16="http://schemas.microsoft.com/office/drawing/2014/main" pred="{C665FA97-8A96-03D2-07BD-98D5D7C2A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4</xdr:row>
      <xdr:rowOff>76200</xdr:rowOff>
    </xdr:from>
    <xdr:to>
      <xdr:col>6</xdr:col>
      <xdr:colOff>295275</xdr:colOff>
      <xdr:row>10</xdr:row>
      <xdr:rowOff>38100</xdr:rowOff>
    </xdr:to>
    <xdr:graphicFrame macro="">
      <xdr:nvGraphicFramePr>
        <xdr:cNvPr id="5" name="Gráfico 4">
          <a:extLst>
            <a:ext uri="{FF2B5EF4-FFF2-40B4-BE49-F238E27FC236}">
              <a16:creationId xmlns:a16="http://schemas.microsoft.com/office/drawing/2014/main" id="{042ED03C-573C-C065-196E-96AD1DAD93B2}"/>
            </a:ext>
            <a:ext uri="{147F2762-F138-4A5C-976F-8EAC2B608ADB}">
              <a16:predDERef xmlns:a16="http://schemas.microsoft.com/office/drawing/2014/main" pred="{A4CDC236-F550-F6E9-4A1B-6102C1F3F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10</xdr:row>
      <xdr:rowOff>114300</xdr:rowOff>
    </xdr:from>
    <xdr:to>
      <xdr:col>6</xdr:col>
      <xdr:colOff>295275</xdr:colOff>
      <xdr:row>16</xdr:row>
      <xdr:rowOff>76200</xdr:rowOff>
    </xdr:to>
    <xdr:graphicFrame macro="">
      <xdr:nvGraphicFramePr>
        <xdr:cNvPr id="9" name="Gráfico 8">
          <a:extLst>
            <a:ext uri="{FF2B5EF4-FFF2-40B4-BE49-F238E27FC236}">
              <a16:creationId xmlns:a16="http://schemas.microsoft.com/office/drawing/2014/main" id="{3AFC1801-9F1A-4D4D-99C7-C4E89AE81400}"/>
            </a:ext>
            <a:ext uri="{147F2762-F138-4A5C-976F-8EAC2B608ADB}">
              <a16:predDERef xmlns:a16="http://schemas.microsoft.com/office/drawing/2014/main" pred="{042ED03C-573C-C065-196E-96AD1DAD9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361950</xdr:colOff>
      <xdr:row>10</xdr:row>
      <xdr:rowOff>104775</xdr:rowOff>
    </xdr:from>
    <xdr:to>
      <xdr:col>7</xdr:col>
      <xdr:colOff>647700</xdr:colOff>
      <xdr:row>16</xdr:row>
      <xdr:rowOff>66675</xdr:rowOff>
    </xdr:to>
    <xdr:graphicFrame macro="">
      <xdr:nvGraphicFramePr>
        <xdr:cNvPr id="10" name="Gráfico 9">
          <a:extLst>
            <a:ext uri="{FF2B5EF4-FFF2-40B4-BE49-F238E27FC236}">
              <a16:creationId xmlns:a16="http://schemas.microsoft.com/office/drawing/2014/main" id="{3774213A-001E-4A39-8D87-A5EE5956D23D}"/>
            </a:ext>
            <a:ext uri="{147F2762-F138-4A5C-976F-8EAC2B608ADB}">
              <a16:predDERef xmlns:a16="http://schemas.microsoft.com/office/drawing/2014/main" pred="{3AFC1801-9F1A-4D4D-99C7-C4E89AE81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723900</xdr:colOff>
      <xdr:row>10</xdr:row>
      <xdr:rowOff>85725</xdr:rowOff>
    </xdr:from>
    <xdr:to>
      <xdr:col>9</xdr:col>
      <xdr:colOff>295275</xdr:colOff>
      <xdr:row>16</xdr:row>
      <xdr:rowOff>57150</xdr:rowOff>
    </xdr:to>
    <xdr:graphicFrame macro="">
      <xdr:nvGraphicFramePr>
        <xdr:cNvPr id="11" name="Gráfico 10">
          <a:extLst>
            <a:ext uri="{FF2B5EF4-FFF2-40B4-BE49-F238E27FC236}">
              <a16:creationId xmlns:a16="http://schemas.microsoft.com/office/drawing/2014/main" id="{F2678310-1463-49F3-A4A8-2A87E9B08138}"/>
            </a:ext>
            <a:ext uri="{147F2762-F138-4A5C-976F-8EAC2B608ADB}">
              <a16:predDERef xmlns:a16="http://schemas.microsoft.com/office/drawing/2014/main" pred="{3774213A-001E-4A39-8D87-A5EE5956D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371475</xdr:colOff>
      <xdr:row>10</xdr:row>
      <xdr:rowOff>85725</xdr:rowOff>
    </xdr:from>
    <xdr:to>
      <xdr:col>11</xdr:col>
      <xdr:colOff>571500</xdr:colOff>
      <xdr:row>16</xdr:row>
      <xdr:rowOff>57150</xdr:rowOff>
    </xdr:to>
    <xdr:graphicFrame macro="">
      <xdr:nvGraphicFramePr>
        <xdr:cNvPr id="12" name="Gráfico 11">
          <a:extLst>
            <a:ext uri="{FF2B5EF4-FFF2-40B4-BE49-F238E27FC236}">
              <a16:creationId xmlns:a16="http://schemas.microsoft.com/office/drawing/2014/main" id="{98B83C59-FCF5-4862-9DE4-D57A65559E90}"/>
            </a:ext>
            <a:ext uri="{147F2762-F138-4A5C-976F-8EAC2B608ADB}">
              <a16:predDERef xmlns:a16="http://schemas.microsoft.com/office/drawing/2014/main" pred="{F2678310-1463-49F3-A4A8-2A87E9B08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166</xdr:row>
      <xdr:rowOff>34637</xdr:rowOff>
    </xdr:from>
    <xdr:to>
      <xdr:col>13</xdr:col>
      <xdr:colOff>19050</xdr:colOff>
      <xdr:row>207</xdr:row>
      <xdr:rowOff>15587</xdr:rowOff>
    </xdr:to>
    <xdr:graphicFrame macro="">
      <xdr:nvGraphicFramePr>
        <xdr:cNvPr id="2" name="Gráfico 3">
          <a:extLst>
            <a:ext uri="{FF2B5EF4-FFF2-40B4-BE49-F238E27FC236}">
              <a16:creationId xmlns:a16="http://schemas.microsoft.com/office/drawing/2014/main" id="{8D67A392-59AF-4C02-B954-0B0649BBACFD}"/>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187037</xdr:rowOff>
    </xdr:from>
    <xdr:to>
      <xdr:col>13</xdr:col>
      <xdr:colOff>9525</xdr:colOff>
      <xdr:row>63</xdr:row>
      <xdr:rowOff>167987</xdr:rowOff>
    </xdr:to>
    <xdr:graphicFrame macro="">
      <xdr:nvGraphicFramePr>
        <xdr:cNvPr id="2" name="Gráfico 3">
          <a:extLst>
            <a:ext uri="{FF2B5EF4-FFF2-40B4-BE49-F238E27FC236}">
              <a16:creationId xmlns:a16="http://schemas.microsoft.com/office/drawing/2014/main" id="{DEAC7BE4-FB38-4819-8A9B-682663F60DA7}"/>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153</xdr:row>
      <xdr:rowOff>187037</xdr:rowOff>
    </xdr:from>
    <xdr:to>
      <xdr:col>13</xdr:col>
      <xdr:colOff>9525</xdr:colOff>
      <xdr:row>194</xdr:row>
      <xdr:rowOff>167987</xdr:rowOff>
    </xdr:to>
    <xdr:graphicFrame macro="">
      <xdr:nvGraphicFramePr>
        <xdr:cNvPr id="2" name="Gráfico 3">
          <a:extLst>
            <a:ext uri="{FF2B5EF4-FFF2-40B4-BE49-F238E27FC236}">
              <a16:creationId xmlns:a16="http://schemas.microsoft.com/office/drawing/2014/main" id="{473692CE-911A-4345-A376-E4EB62C89C4C}"/>
            </a:ext>
            <a:ext uri="{147F2762-F138-4A5C-976F-8EAC2B608ADB}">
              <a16:predDERef xmlns:a16="http://schemas.microsoft.com/office/drawing/2014/main" pred="{2C1EBFFE-F941-4D44-AD0F-864FB4D4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9525</xdr:colOff>
      <xdr:row>0</xdr:row>
      <xdr:rowOff>9525</xdr:rowOff>
    </xdr:from>
    <xdr:to>
      <xdr:col>13</xdr:col>
      <xdr:colOff>9525</xdr:colOff>
      <xdr:row>15</xdr:row>
      <xdr:rowOff>85725</xdr:rowOff>
    </xdr:to>
    <xdr:graphicFrame macro="">
      <xdr:nvGraphicFramePr>
        <xdr:cNvPr id="4" name="Chart 1">
          <a:extLst>
            <a:ext uri="{FF2B5EF4-FFF2-40B4-BE49-F238E27FC236}">
              <a16:creationId xmlns:a16="http://schemas.microsoft.com/office/drawing/2014/main" id="{A2CE3538-7E9C-4426-B83F-46F3A6AB4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5.39051099537" createdVersion="8" refreshedVersion="8" minRefreshableVersion="3" recordCount="817" xr:uid="{541011C8-9659-47AB-AD39-8BBE2CBA75E3}">
  <cacheSource type="worksheet">
    <worksheetSource name="tblResultadosNBA"/>
  </cacheSource>
  <cacheFields count="18">
    <cacheField name="Fecha" numFmtId="175">
      <sharedItems containsSemiMixedTypes="0" containsNonDate="0" containsDate="1" containsString="0" minDate="2025-10-21T00:00:00" maxDate="2026-02-12T00:00:00" count="112">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sharedItems>
    </cacheField>
    <cacheField name="Partido" numFmtId="0">
      <sharedItems/>
    </cacheField>
    <cacheField name="Visitante" numFmtId="0">
      <sharedItems/>
    </cacheField>
    <cacheField name="Pro" numFmtId="0">
      <sharedItems containsSemiMixedTypes="0" containsString="0" containsNumber="1" containsInteger="1" minValue="90" maxValue="137"/>
    </cacheField>
    <cacheField name="Real" numFmtId="0">
      <sharedItems containsSemiMixedTypes="0" containsString="0" containsNumber="1" containsInteger="1" minValue="66" maxValue="152"/>
    </cacheField>
    <cacheField name="OU_V" numFmtId="0">
      <sharedItems containsSemiMixedTypes="0" containsString="0" containsNumber="1" containsInteger="1" minValue="0" maxValue="1"/>
    </cacheField>
    <cacheField name="Home" numFmtId="0">
      <sharedItems/>
    </cacheField>
    <cacheField name="Pro2" numFmtId="0">
      <sharedItems containsSemiMixedTypes="0" containsString="0" containsNumber="1" containsInteger="1" minValue="93" maxValue="140"/>
    </cacheField>
    <cacheField name="Real3" numFmtId="0">
      <sharedItems containsSemiMixedTypes="0" containsString="0" containsNumber="1" containsInteger="1" minValue="85" maxValue="152"/>
    </cacheField>
    <cacheField name="O/U_H" numFmtId="0">
      <sharedItems containsSemiMixedTypes="0" containsString="0" containsNumber="1" containsInteger="1" minValue="0" maxValue="1"/>
    </cacheField>
    <cacheField name="Tot" numFmtId="0">
      <sharedItems containsSemiMixedTypes="0" containsString="0" containsNumber="1" containsInteger="1" minValue="191" maxValue="273"/>
    </cacheField>
    <cacheField name="Tot R" numFmtId="0">
      <sharedItems containsSemiMixedTypes="0" containsString="0" containsNumber="1" containsInteger="1" minValue="177" maxValue="302"/>
    </cacheField>
    <cacheField name="O/U_T" numFmtId="0">
      <sharedItems containsSemiMixedTypes="0" containsString="0" containsNumber="1" containsInteger="1" minValue="0" maxValue="1"/>
    </cacheField>
    <cacheField name="Dif" numFmtId="176">
      <sharedItems containsSemiMixedTypes="0" containsString="0" containsNumber="1" containsInteger="1" minValue="-25" maxValue="30"/>
    </cacheField>
    <cacheField name="Real4" numFmtId="176">
      <sharedItems containsSemiMixedTypes="0" containsString="0" containsNumber="1" containsInteger="1" minValue="-55" maxValue="54"/>
    </cacheField>
    <cacheField name="W/L" numFmtId="0">
      <sharedItems containsSemiMixedTypes="0" containsString="0" containsNumber="1" containsInteger="1" minValue="0" maxValue="1"/>
    </cacheField>
    <cacheField name="Semana" numFmtId="0">
      <sharedItems containsSemiMixedTypes="0" containsString="0" containsNumber="1" containsInteger="1" minValue="1" maxValue="53"/>
    </cacheField>
    <cacheField name="M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7">
  <r>
    <x v="0"/>
    <s v="Houston Rockets @ Oklahoma City Thunder"/>
    <s v="Houston Rockets"/>
    <n v="101"/>
    <n v="124"/>
    <n v="1"/>
    <s v="Oklahoma City Thunder"/>
    <n v="114"/>
    <n v="125"/>
    <n v="1"/>
    <n v="215"/>
    <n v="249"/>
    <n v="1"/>
    <n v="13"/>
    <n v="1"/>
    <n v="1"/>
    <n v="43"/>
    <s v="oct"/>
  </r>
  <r>
    <x v="0"/>
    <s v="Golden State Warriors @ Los Angeles Lakers"/>
    <s v="Golden State Warriors"/>
    <n v="99"/>
    <n v="119"/>
    <n v="1"/>
    <s v="Los Angeles Lakers"/>
    <n v="119"/>
    <n v="109"/>
    <n v="0"/>
    <n v="218"/>
    <n v="228"/>
    <n v="1"/>
    <n v="20"/>
    <n v="-10"/>
    <n v="0"/>
    <n v="43"/>
    <s v="oct"/>
  </r>
  <r>
    <x v="1"/>
    <s v="Cleveland Cavaliers @ New York Knicks"/>
    <s v="Cleveland Cavaliers"/>
    <n v="94"/>
    <n v="111"/>
    <n v="1"/>
    <s v="New York Knicks"/>
    <n v="117"/>
    <n v="119"/>
    <n v="1"/>
    <n v="211"/>
    <n v="230"/>
    <n v="1"/>
    <n v="23"/>
    <n v="8"/>
    <n v="1"/>
    <n v="43"/>
    <s v="oct"/>
  </r>
  <r>
    <x v="1"/>
    <s v="Brooklyn Nets @ Charlotte Hornets"/>
    <s v="Brooklyn Nets"/>
    <n v="109"/>
    <n v="117"/>
    <n v="1"/>
    <s v="Charlotte Hornets"/>
    <n v="117"/>
    <n v="136"/>
    <n v="1"/>
    <n v="226"/>
    <n v="253"/>
    <n v="1"/>
    <n v="8"/>
    <n v="19"/>
    <n v="1"/>
    <n v="43"/>
    <s v="oct"/>
  </r>
  <r>
    <x v="1"/>
    <s v="Miami Heat @ Orlando Magic"/>
    <s v="Miami Heat"/>
    <n v="108"/>
    <n v="121"/>
    <n v="1"/>
    <s v="Orlando Magic"/>
    <n v="120"/>
    <n v="125"/>
    <n v="1"/>
    <n v="228"/>
    <n v="246"/>
    <n v="1"/>
    <n v="12"/>
    <n v="4"/>
    <n v="1"/>
    <n v="43"/>
    <s v="oct"/>
  </r>
  <r>
    <x v="1"/>
    <s v="Toronto Raptors @ Atlanta Hawks"/>
    <s v="Toronto Raptors"/>
    <n v="104"/>
    <n v="138"/>
    <n v="1"/>
    <s v="Atlanta Hawks"/>
    <n v="119"/>
    <n v="118"/>
    <n v="0"/>
    <n v="223"/>
    <n v="256"/>
    <n v="1"/>
    <n v="15"/>
    <n v="-20"/>
    <n v="0"/>
    <n v="43"/>
    <s v="oct"/>
  </r>
  <r>
    <x v="1"/>
    <s v="Philadelphia 76ers @ Boston Celtics"/>
    <s v="Philadelphia 76ers"/>
    <n v="107"/>
    <n v="117"/>
    <n v="1"/>
    <s v="Boston Celtics"/>
    <n v="128"/>
    <n v="116"/>
    <n v="0"/>
    <n v="235"/>
    <n v="233"/>
    <n v="0"/>
    <n v="21"/>
    <n v="-1"/>
    <n v="0"/>
    <n v="43"/>
    <s v="oct"/>
  </r>
  <r>
    <x v="1"/>
    <s v="Detroit Pistons @ Chicago Bulls"/>
    <s v="Detroit Pistons"/>
    <n v="99"/>
    <n v="111"/>
    <n v="1"/>
    <s v="Chicago Bulls"/>
    <n v="116"/>
    <n v="105"/>
    <n v="0"/>
    <n v="215"/>
    <n v="216"/>
    <n v="1"/>
    <n v="17"/>
    <n v="-6"/>
    <n v="0"/>
    <n v="43"/>
    <s v="oct"/>
  </r>
  <r>
    <x v="1"/>
    <s v="New Orleans Pelicans @ Memphis Grizzlies"/>
    <s v="New Orleans Pelicans"/>
    <n v="109"/>
    <n v="122"/>
    <n v="1"/>
    <s v="Memphis Grizzlies"/>
    <n v="118"/>
    <n v="128"/>
    <n v="1"/>
    <n v="227"/>
    <n v="250"/>
    <n v="1"/>
    <n v="9"/>
    <n v="6"/>
    <n v="1"/>
    <n v="43"/>
    <s v="oct"/>
  </r>
  <r>
    <x v="1"/>
    <s v="Washington Wizards @ Milwaukee Bucks"/>
    <s v="Washington Wizards"/>
    <n v="109"/>
    <n v="120"/>
    <n v="1"/>
    <s v="Milwaukee Bucks"/>
    <n v="114"/>
    <n v="133"/>
    <n v="1"/>
    <n v="223"/>
    <n v="253"/>
    <n v="1"/>
    <n v="5"/>
    <n v="13"/>
    <n v="1"/>
    <n v="43"/>
    <s v="oct"/>
  </r>
  <r>
    <x v="1"/>
    <s v="LA Clippers @ Utah Jazz"/>
    <s v="LA Clippers"/>
    <n v="115"/>
    <n v="108"/>
    <n v="0"/>
    <s v="Utah Jazz"/>
    <n v="118"/>
    <n v="129"/>
    <n v="1"/>
    <n v="233"/>
    <n v="237"/>
    <n v="1"/>
    <n v="3"/>
    <n v="21"/>
    <n v="1"/>
    <n v="43"/>
    <s v="oct"/>
  </r>
  <r>
    <x v="1"/>
    <s v="San Antonio Spurs @ Dallas Mavericks"/>
    <s v="San Antonio Spurs"/>
    <n v="103"/>
    <n v="125"/>
    <n v="1"/>
    <s v="Dallas Mavericks"/>
    <n v="114"/>
    <n v="92"/>
    <n v="0"/>
    <n v="217"/>
    <n v="217"/>
    <n v="0"/>
    <n v="11"/>
    <n v="-33"/>
    <n v="0"/>
    <n v="43"/>
    <s v="oct"/>
  </r>
  <r>
    <x v="1"/>
    <s v="Sacramento Kings @ Phoenix Suns"/>
    <s v="Sacramento Kings"/>
    <n v="106"/>
    <n v="116"/>
    <n v="1"/>
    <s v="Phoenix Suns"/>
    <n v="119"/>
    <n v="120"/>
    <n v="1"/>
    <n v="225"/>
    <n v="236"/>
    <n v="1"/>
    <n v="13"/>
    <n v="4"/>
    <n v="1"/>
    <n v="43"/>
    <s v="oct"/>
  </r>
  <r>
    <x v="1"/>
    <s v="Minnesota Timberwolves @ Portland Trail Blazers"/>
    <s v="Minnesota Timberwolves"/>
    <n v="104"/>
    <n v="118"/>
    <n v="1"/>
    <s v="Portland Trail Blazers"/>
    <n v="115"/>
    <n v="114"/>
    <n v="0"/>
    <n v="219"/>
    <n v="232"/>
    <n v="1"/>
    <n v="11"/>
    <n v="-4"/>
    <n v="0"/>
    <n v="43"/>
    <s v="oct"/>
  </r>
  <r>
    <x v="2"/>
    <s v="Oklahoma City Thunder @ Indiana Pacers"/>
    <s v="Oklahoma City Thunder"/>
    <n v="118"/>
    <n v="141"/>
    <n v="1"/>
    <s v="Indiana Pacers"/>
    <n v="93"/>
    <n v="135"/>
    <n v="1"/>
    <n v="211"/>
    <n v="276"/>
    <n v="1"/>
    <n v="-25"/>
    <n v="-6"/>
    <n v="1"/>
    <n v="43"/>
    <s v="oct"/>
  </r>
  <r>
    <x v="2"/>
    <s v="Denver Nuggets @ Golden State Warriors"/>
    <s v="Denver Nuggets"/>
    <n v="118"/>
    <n v="131"/>
    <n v="1"/>
    <s v="Golden State Warriors"/>
    <n v="121"/>
    <n v="137"/>
    <n v="1"/>
    <n v="239"/>
    <n v="268"/>
    <n v="1"/>
    <n v="3"/>
    <n v="6"/>
    <n v="1"/>
    <n v="43"/>
    <s v="oct"/>
  </r>
  <r>
    <x v="3"/>
    <s v="Milwaukee Bucks @ Toronto Raptors"/>
    <s v="Milwaukee Bucks"/>
    <n v="116"/>
    <n v="122"/>
    <n v="1"/>
    <s v="Toronto Raptors"/>
    <n v="111"/>
    <n v="116"/>
    <n v="1"/>
    <n v="227"/>
    <n v="238"/>
    <n v="1"/>
    <n v="-5"/>
    <n v="-6"/>
    <n v="1"/>
    <n v="43"/>
    <s v="oct"/>
  </r>
  <r>
    <x v="3"/>
    <s v="Atlanta Hawks @ Orlando Magic"/>
    <s v="Atlanta Hawks"/>
    <n v="105"/>
    <n v="111"/>
    <n v="1"/>
    <s v="Orlando Magic"/>
    <n v="116"/>
    <n v="107"/>
    <n v="0"/>
    <n v="221"/>
    <n v="218"/>
    <n v="0"/>
    <n v="11"/>
    <n v="-4"/>
    <n v="0"/>
    <n v="43"/>
    <s v="oct"/>
  </r>
  <r>
    <x v="3"/>
    <s v="Cleveland Cavaliers @ Brooklyn Nets"/>
    <s v="Cleveland Cavaliers"/>
    <n v="107"/>
    <n v="131"/>
    <n v="1"/>
    <s v="Brooklyn Nets"/>
    <n v="117"/>
    <n v="124"/>
    <n v="1"/>
    <n v="224"/>
    <n v="255"/>
    <n v="1"/>
    <n v="10"/>
    <n v="-7"/>
    <n v="0"/>
    <n v="43"/>
    <s v="oct"/>
  </r>
  <r>
    <x v="3"/>
    <s v="Boston Celtics @ New York Knicks"/>
    <s v="Boston Celtics"/>
    <n v="106"/>
    <n v="95"/>
    <n v="0"/>
    <s v="New York Knicks"/>
    <n v="109"/>
    <n v="105"/>
    <n v="0"/>
    <n v="215"/>
    <n v="200"/>
    <n v="0"/>
    <n v="3"/>
    <n v="10"/>
    <n v="1"/>
    <n v="43"/>
    <s v="oct"/>
  </r>
  <r>
    <x v="3"/>
    <s v="Detroit Pistons @ Houston Rockets"/>
    <s v="Detroit Pistons"/>
    <n v="114"/>
    <n v="115"/>
    <n v="1"/>
    <s v="Houston Rockets"/>
    <n v="118"/>
    <n v="111"/>
    <n v="0"/>
    <n v="232"/>
    <n v="226"/>
    <n v="0"/>
    <n v="4"/>
    <n v="-4"/>
    <n v="0"/>
    <n v="43"/>
    <s v="oct"/>
  </r>
  <r>
    <x v="3"/>
    <s v="Miami Heat @ Memphis Grizzlies"/>
    <s v="Miami Heat"/>
    <n v="111"/>
    <n v="146"/>
    <n v="1"/>
    <s v="Memphis Grizzlies"/>
    <n v="120"/>
    <n v="114"/>
    <n v="0"/>
    <n v="231"/>
    <n v="260"/>
    <n v="1"/>
    <n v="9"/>
    <n v="-32"/>
    <n v="0"/>
    <n v="43"/>
    <s v="oct"/>
  </r>
  <r>
    <x v="3"/>
    <s v="San Antonio Spurs @ New Orleans Pelicans"/>
    <s v="San Antonio Spurs"/>
    <n v="114"/>
    <n v="120"/>
    <n v="1"/>
    <s v="New Orleans Pelicans"/>
    <n v="108"/>
    <n v="116"/>
    <n v="1"/>
    <n v="222"/>
    <n v="236"/>
    <n v="1"/>
    <n v="-6"/>
    <n v="-4"/>
    <n v="1"/>
    <n v="43"/>
    <s v="oct"/>
  </r>
  <r>
    <x v="3"/>
    <s v="Washington Wizards @ Dallas Mavericks"/>
    <s v="Washington Wizards"/>
    <n v="109"/>
    <n v="117"/>
    <n v="1"/>
    <s v="Dallas Mavericks"/>
    <n v="105"/>
    <n v="107"/>
    <n v="1"/>
    <n v="214"/>
    <n v="224"/>
    <n v="1"/>
    <n v="-4"/>
    <n v="-10"/>
    <n v="1"/>
    <n v="43"/>
    <s v="oct"/>
  </r>
  <r>
    <x v="3"/>
    <s v="Minnesota Timberwolves @ Los Angeles Lakers"/>
    <s v="Minnesota Timberwolves"/>
    <n v="115"/>
    <n v="110"/>
    <n v="0"/>
    <s v="Los Angeles Lakers"/>
    <n v="119"/>
    <n v="128"/>
    <n v="1"/>
    <n v="234"/>
    <n v="238"/>
    <n v="1"/>
    <n v="4"/>
    <n v="18"/>
    <n v="1"/>
    <n v="43"/>
    <s v="oct"/>
  </r>
  <r>
    <x v="3"/>
    <s v="Golden State Warriors @ Portland Trail Blazers"/>
    <s v="Golden State Warriors"/>
    <n v="108"/>
    <n v="119"/>
    <n v="1"/>
    <s v="Portland Trail Blazers"/>
    <n v="121"/>
    <n v="129"/>
    <n v="1"/>
    <n v="229"/>
    <n v="248"/>
    <n v="1"/>
    <n v="13"/>
    <n v="10"/>
    <n v="1"/>
    <n v="43"/>
    <s v="oct"/>
  </r>
  <r>
    <x v="3"/>
    <s v="Utah Jazz @ Sacramento Kings"/>
    <s v="Utah Jazz"/>
    <n v="109"/>
    <n v="104"/>
    <n v="0"/>
    <s v="Sacramento Kings"/>
    <n v="104"/>
    <n v="105"/>
    <n v="1"/>
    <n v="213"/>
    <n v="209"/>
    <n v="0"/>
    <n v="-5"/>
    <n v="1"/>
    <n v="0"/>
    <n v="43"/>
    <s v="oct"/>
  </r>
  <r>
    <x v="3"/>
    <s v="Phoenix Suns @ LA Clippers'"/>
    <s v="Phoenix Suns"/>
    <n v="111"/>
    <n v="102"/>
    <n v="0"/>
    <s v="LA Clippers'"/>
    <n v="105"/>
    <n v="129"/>
    <n v="1"/>
    <n v="216"/>
    <n v="231"/>
    <n v="1"/>
    <n v="-6"/>
    <n v="27"/>
    <n v="0"/>
    <n v="43"/>
    <s v="oct"/>
  </r>
  <r>
    <x v="4"/>
    <s v="Chicago Bulls @ Orlando Magic"/>
    <s v="Chicago Bulls"/>
    <n v="106"/>
    <n v="110"/>
    <n v="1"/>
    <s v="Orlando Magic"/>
    <n v="119"/>
    <n v="98"/>
    <n v="0"/>
    <n v="225"/>
    <n v="208"/>
    <n v="0"/>
    <n v="13"/>
    <n v="-12"/>
    <n v="0"/>
    <n v="43"/>
    <s v="oct"/>
  </r>
  <r>
    <x v="4"/>
    <s v="Oklahoma City Thunder @ Atlanta Hawks"/>
    <s v="Oklahoma City Thunder"/>
    <n v="110"/>
    <n v="117"/>
    <n v="1"/>
    <s v="Atlanta Hawks"/>
    <n v="119"/>
    <n v="100"/>
    <n v="0"/>
    <n v="229"/>
    <n v="217"/>
    <n v="0"/>
    <n v="9"/>
    <n v="-17"/>
    <n v="0"/>
    <n v="43"/>
    <s v="oct"/>
  </r>
  <r>
    <x v="4"/>
    <s v="Charlotte Hornets @ Philadelphia 76ers"/>
    <s v="Charlotte Hornets"/>
    <n v="116"/>
    <n v="121"/>
    <n v="1"/>
    <s v="Philadelphia 76ers"/>
    <n v="121"/>
    <n v="125"/>
    <n v="1"/>
    <n v="237"/>
    <n v="246"/>
    <n v="1"/>
    <n v="5"/>
    <n v="4"/>
    <n v="1"/>
    <n v="43"/>
    <s v="oct"/>
  </r>
  <r>
    <x v="4"/>
    <s v="Indiana Pacers @ Memphis Grizzlies"/>
    <s v="Indiana Pacers"/>
    <n v="120"/>
    <n v="103"/>
    <n v="0"/>
    <s v="Memphis Grizzlies"/>
    <n v="110"/>
    <n v="128"/>
    <n v="1"/>
    <n v="230"/>
    <n v="231"/>
    <n v="1"/>
    <n v="-10"/>
    <n v="25"/>
    <n v="0"/>
    <n v="43"/>
    <s v="oct"/>
  </r>
  <r>
    <x v="4"/>
    <s v="Phoenix Suns @ Denver Nuggets"/>
    <s v="Phoenix Suns"/>
    <n v="111"/>
    <n v="111"/>
    <n v="0"/>
    <s v="Denver Nuggets"/>
    <n v="120"/>
    <n v="133"/>
    <n v="1"/>
    <n v="231"/>
    <n v="244"/>
    <n v="1"/>
    <n v="9"/>
    <n v="22"/>
    <n v="1"/>
    <n v="43"/>
    <s v="oct"/>
  </r>
  <r>
    <x v="5"/>
    <s v="Brooklyn Nets @ San Antonio Spurs"/>
    <s v="Brooklyn Nets"/>
    <n v="114"/>
    <n v="107"/>
    <n v="0"/>
    <s v="San Antonio Spurs"/>
    <n v="108"/>
    <n v="118"/>
    <n v="1"/>
    <n v="222"/>
    <n v="225"/>
    <n v="1"/>
    <n v="-6"/>
    <n v="11"/>
    <n v="0"/>
    <n v="43"/>
    <s v="oct"/>
  </r>
  <r>
    <x v="5"/>
    <s v="Boston Celtics @ Detroit Pistons"/>
    <s v="Boston Celtics"/>
    <n v="108"/>
    <n v="113"/>
    <n v="1"/>
    <s v="Detroit Pistons"/>
    <n v="102"/>
    <n v="119"/>
    <n v="1"/>
    <n v="210"/>
    <n v="232"/>
    <n v="1"/>
    <n v="-6"/>
    <n v="6"/>
    <n v="0"/>
    <n v="43"/>
    <s v="oct"/>
  </r>
  <r>
    <x v="5"/>
    <s v="Milwaukee Bucks @ Cleveland Cavaliers"/>
    <s v="Milwaukee Bucks"/>
    <n v="103"/>
    <n v="113"/>
    <n v="1"/>
    <s v="Cleveland Cavaliers"/>
    <n v="115"/>
    <n v="118"/>
    <n v="1"/>
    <n v="218"/>
    <n v="231"/>
    <n v="1"/>
    <n v="12"/>
    <n v="5"/>
    <n v="1"/>
    <n v="43"/>
    <s v="oct"/>
  </r>
  <r>
    <x v="5"/>
    <s v="New York Knicks @ Miami Heat"/>
    <s v="New York Knicks"/>
    <n v="119"/>
    <n v="107"/>
    <n v="0"/>
    <s v="Miami Heat"/>
    <n v="104"/>
    <n v="115"/>
    <n v="1"/>
    <n v="223"/>
    <n v="222"/>
    <n v="0"/>
    <n v="-15"/>
    <n v="8"/>
    <n v="0"/>
    <n v="43"/>
    <s v="oct"/>
  </r>
  <r>
    <x v="5"/>
    <s v="Charlotte Hornets @ Washington Wizards"/>
    <s v="Charlotte Hornets"/>
    <n v="106"/>
    <n v="139"/>
    <n v="1"/>
    <s v="Washington Wizards"/>
    <n v="110"/>
    <n v="113"/>
    <n v="1"/>
    <n v="216"/>
    <n v="252"/>
    <n v="1"/>
    <n v="4"/>
    <n v="-26"/>
    <n v="0"/>
    <n v="43"/>
    <s v="oct"/>
  </r>
  <r>
    <x v="5"/>
    <s v="Indiana Pacers @ Minnesota Timberwolves"/>
    <s v="Indiana Pacers"/>
    <n v="112"/>
    <n v="110"/>
    <n v="0"/>
    <s v="Minnesota Timberwolves"/>
    <n v="110"/>
    <n v="114"/>
    <n v="1"/>
    <n v="222"/>
    <n v="224"/>
    <n v="1"/>
    <n v="-2"/>
    <n v="4"/>
    <n v="0"/>
    <n v="43"/>
    <s v="oct"/>
  </r>
  <r>
    <x v="5"/>
    <s v="Toronto Raptors @ Dallas Mavericks"/>
    <s v="Toronto Raptors"/>
    <n v="98"/>
    <n v="129"/>
    <n v="1"/>
    <s v="Dallas Mavericks"/>
    <n v="108"/>
    <n v="139"/>
    <n v="1"/>
    <n v="206"/>
    <n v="268"/>
    <n v="1"/>
    <n v="10"/>
    <n v="10"/>
    <n v="1"/>
    <n v="43"/>
    <s v="oct"/>
  </r>
  <r>
    <x v="5"/>
    <s v="Portland Trail Blazers @ LA Clippers"/>
    <s v="Portland Trail Blazers"/>
    <n v="122"/>
    <n v="107"/>
    <n v="0"/>
    <s v="LA Clippers"/>
    <n v="112"/>
    <n v="114"/>
    <n v="1"/>
    <n v="234"/>
    <n v="221"/>
    <n v="0"/>
    <n v="-10"/>
    <n v="7"/>
    <n v="0"/>
    <n v="43"/>
    <s v="oct"/>
  </r>
  <r>
    <x v="5"/>
    <s v="Los Angeles Lakers @ Sacramento Kings"/>
    <s v="Los Angeles Lakers"/>
    <n v="100"/>
    <n v="127"/>
    <n v="1"/>
    <s v="Sacramento Kings"/>
    <n v="103"/>
    <n v="120"/>
    <n v="1"/>
    <n v="203"/>
    <n v="247"/>
    <n v="1"/>
    <n v="3"/>
    <n v="-7"/>
    <n v="0"/>
    <n v="43"/>
    <s v="oct"/>
  </r>
  <r>
    <x v="6"/>
    <s v="Cleveland Cavaliers @ Detroit Pistons"/>
    <s v="Cleveland Cavaliers"/>
    <n v="101"/>
    <n v="116"/>
    <n v="1"/>
    <s v="Detroit Pistons"/>
    <n v="115"/>
    <n v="95"/>
    <n v="0"/>
    <n v="216"/>
    <n v="211"/>
    <n v="0"/>
    <n v="14"/>
    <n v="-21"/>
    <n v="0"/>
    <n v="44"/>
    <s v="oct"/>
  </r>
  <r>
    <x v="6"/>
    <s v="Orlando Magic @ Philadelphia 76ers"/>
    <s v="Orlando Magic"/>
    <n v="100"/>
    <n v="124"/>
    <n v="1"/>
    <s v="Philadelphia 76ers"/>
    <n v="110"/>
    <n v="136"/>
    <n v="1"/>
    <n v="210"/>
    <n v="260"/>
    <n v="1"/>
    <n v="10"/>
    <n v="12"/>
    <n v="1"/>
    <n v="44"/>
    <s v="oct"/>
  </r>
  <r>
    <x v="6"/>
    <s v="Atlanta Hawks @ Chicago Bulls"/>
    <s v="Atlanta Hawks"/>
    <n v="123"/>
    <n v="123"/>
    <n v="0"/>
    <s v="Chicago Bulls"/>
    <n v="118"/>
    <n v="128"/>
    <n v="1"/>
    <n v="241"/>
    <n v="251"/>
    <n v="1"/>
    <n v="-5"/>
    <n v="5"/>
    <n v="0"/>
    <n v="44"/>
    <s v="oct"/>
  </r>
  <r>
    <x v="6"/>
    <s v="Brooklyn Nets @ Houston Rockets"/>
    <s v="Brooklyn Nets"/>
    <n v="115"/>
    <n v="109"/>
    <n v="0"/>
    <s v="Houston Rockets"/>
    <n v="113"/>
    <n v="137"/>
    <n v="1"/>
    <n v="228"/>
    <n v="246"/>
    <n v="1"/>
    <n v="-2"/>
    <n v="28"/>
    <n v="0"/>
    <n v="44"/>
    <s v="oct"/>
  </r>
  <r>
    <x v="6"/>
    <s v="Boston Celtics @ New Orleans Pelicans"/>
    <s v="Boston Celtics"/>
    <n v="109"/>
    <n v="122"/>
    <n v="1"/>
    <s v="New Orleans Pelicans"/>
    <n v="112"/>
    <n v="90"/>
    <n v="0"/>
    <n v="221"/>
    <n v="212"/>
    <n v="0"/>
    <n v="3"/>
    <n v="-32"/>
    <n v="0"/>
    <n v="44"/>
    <s v="oct"/>
  </r>
  <r>
    <x v="6"/>
    <s v="Toronto Raptors @ San Antonio Spurs"/>
    <s v="Toronto Raptors"/>
    <n v="118"/>
    <n v="103"/>
    <n v="0"/>
    <s v="San Antonio Spurs"/>
    <n v="121"/>
    <n v="121"/>
    <n v="0"/>
    <n v="239"/>
    <n v="224"/>
    <n v="0"/>
    <n v="3"/>
    <n v="18"/>
    <n v="1"/>
    <n v="44"/>
    <s v="oct"/>
  </r>
  <r>
    <x v="6"/>
    <s v="Oklahoma City Thunder @ Dallas Mavericks"/>
    <s v="Oklahoma City Thunder"/>
    <n v="112"/>
    <n v="101"/>
    <n v="0"/>
    <s v="Dallas Mavericks"/>
    <n v="105"/>
    <n v="94"/>
    <n v="0"/>
    <n v="217"/>
    <n v="195"/>
    <n v="0"/>
    <n v="-7"/>
    <n v="-7"/>
    <n v="1"/>
    <n v="44"/>
    <s v="oct"/>
  </r>
  <r>
    <x v="6"/>
    <s v="Phoenix Suns @ Utah Jazz"/>
    <s v="Phoenix Suns"/>
    <n v="111"/>
    <n v="134"/>
    <n v="1"/>
    <s v="Utah Jazz"/>
    <n v="108"/>
    <n v="138"/>
    <n v="1"/>
    <n v="219"/>
    <n v="272"/>
    <n v="1"/>
    <n v="-3"/>
    <n v="4"/>
    <n v="0"/>
    <n v="44"/>
    <s v="oct"/>
  </r>
  <r>
    <x v="6"/>
    <s v="Denver Nuggets @ Minnesota Timberwolves"/>
    <s v="Denver Nuggets"/>
    <n v="117"/>
    <n v="127"/>
    <n v="1"/>
    <s v="Minnesota Timberwolves"/>
    <n v="105"/>
    <n v="114"/>
    <n v="1"/>
    <n v="222"/>
    <n v="241"/>
    <n v="1"/>
    <n v="-12"/>
    <n v="-13"/>
    <n v="1"/>
    <n v="44"/>
    <s v="oct"/>
  </r>
  <r>
    <x v="6"/>
    <s v="Memphis Grizzlies @ Golden State Warriors"/>
    <s v="Memphis Grizzlies"/>
    <n v="110"/>
    <n v="118"/>
    <n v="1"/>
    <s v="Golden State Warriors"/>
    <n v="113"/>
    <n v="131"/>
    <n v="1"/>
    <n v="223"/>
    <n v="249"/>
    <n v="1"/>
    <n v="3"/>
    <n v="13"/>
    <n v="1"/>
    <n v="44"/>
    <s v="oct"/>
  </r>
  <r>
    <x v="6"/>
    <s v="Portland Trail Blazers @ Los Angeles Lakers"/>
    <s v="Portland Trail Blazers"/>
    <n v="97"/>
    <n v="122"/>
    <n v="1"/>
    <s v="Los Angeles Lakers"/>
    <n v="120"/>
    <n v="108"/>
    <n v="0"/>
    <n v="217"/>
    <n v="230"/>
    <n v="1"/>
    <n v="23"/>
    <n v="-14"/>
    <n v="0"/>
    <n v="44"/>
    <s v="oct"/>
  </r>
  <r>
    <x v="7"/>
    <s v="Philadelphia 76ers @ Washington Wizards"/>
    <s v="Philadelphia 76ers"/>
    <n v="108"/>
    <n v="139"/>
    <n v="1"/>
    <s v="Washington Wizards"/>
    <n v="118"/>
    <n v="134"/>
    <n v="1"/>
    <n v="226"/>
    <n v="273"/>
    <n v="1"/>
    <n v="10"/>
    <n v="-5"/>
    <n v="0"/>
    <n v="44"/>
    <s v="oct"/>
  </r>
  <r>
    <x v="7"/>
    <s v="Charlotte Hornets @ Miami Heat"/>
    <s v="Charlotte Hornets"/>
    <n v="111"/>
    <n v="117"/>
    <n v="1"/>
    <s v="Miami Heat"/>
    <n v="114"/>
    <n v="144"/>
    <n v="1"/>
    <n v="225"/>
    <n v="261"/>
    <n v="1"/>
    <n v="3"/>
    <n v="27"/>
    <n v="1"/>
    <n v="44"/>
    <s v="oct"/>
  </r>
  <r>
    <x v="7"/>
    <s v="New York Knicks @ Milwaukee Bucks"/>
    <s v="New York Knicks"/>
    <n v="120"/>
    <n v="111"/>
    <n v="0"/>
    <s v="Milwaukee Bucks"/>
    <n v="110"/>
    <n v="121"/>
    <n v="1"/>
    <n v="230"/>
    <n v="232"/>
    <n v="1"/>
    <n v="-10"/>
    <n v="10"/>
    <n v="0"/>
    <n v="44"/>
    <s v="oct"/>
  </r>
  <r>
    <x v="7"/>
    <s v="Sacramento Kings @ Oklahoma City Thunder"/>
    <s v="Sacramento Kings"/>
    <n v="104"/>
    <n v="101"/>
    <n v="0"/>
    <s v="Oklahoma City Thunder"/>
    <n v="110"/>
    <n v="107"/>
    <n v="0"/>
    <n v="214"/>
    <n v="208"/>
    <n v="0"/>
    <n v="6"/>
    <n v="6"/>
    <n v="1"/>
    <n v="44"/>
    <s v="oct"/>
  </r>
  <r>
    <x v="7"/>
    <s v="LA Clippers @ Golden State Warriors"/>
    <s v="LA Clippers"/>
    <n v="113"/>
    <n v="79"/>
    <n v="0"/>
    <s v="Golden State Warriors"/>
    <n v="117"/>
    <n v="98"/>
    <n v="0"/>
    <n v="230"/>
    <n v="177"/>
    <n v="0"/>
    <n v="4"/>
    <n v="19"/>
    <n v="1"/>
    <n v="44"/>
    <s v="oct"/>
  </r>
  <r>
    <x v="8"/>
    <s v="Houston Rockets @ Toronto Raptors"/>
    <s v="Houston Rockets"/>
    <n v="108"/>
    <n v="139"/>
    <n v="1"/>
    <s v="Toronto Raptors"/>
    <n v="110"/>
    <n v="121"/>
    <n v="1"/>
    <n v="218"/>
    <n v="260"/>
    <n v="1"/>
    <n v="2"/>
    <n v="-18"/>
    <n v="0"/>
    <n v="44"/>
    <s v="oct"/>
  </r>
  <r>
    <x v="8"/>
    <s v="Cleveland Cavaliers @ Boston Celtics"/>
    <s v="Cleveland Cavaliers"/>
    <n v="111"/>
    <n v="105"/>
    <n v="0"/>
    <s v="Boston Celtics"/>
    <n v="108"/>
    <n v="125"/>
    <n v="1"/>
    <n v="219"/>
    <n v="230"/>
    <n v="1"/>
    <n v="-3"/>
    <n v="20"/>
    <n v="0"/>
    <n v="44"/>
    <s v="oct"/>
  </r>
  <r>
    <x v="8"/>
    <s v="Orlando Magic @ Detroit Pistons"/>
    <s v="Orlando Magic"/>
    <n v="112"/>
    <n v="116"/>
    <n v="1"/>
    <s v="Detroit Pistons"/>
    <n v="109"/>
    <n v="135"/>
    <n v="1"/>
    <n v="221"/>
    <n v="251"/>
    <n v="1"/>
    <n v="-3"/>
    <n v="19"/>
    <n v="0"/>
    <n v="44"/>
    <s v="oct"/>
  </r>
  <r>
    <x v="8"/>
    <s v="Atlanta Hawks @ Brooklyn Nets"/>
    <s v="Atlanta Hawks"/>
    <n v="114"/>
    <n v="117"/>
    <n v="1"/>
    <s v="Brooklyn Nets"/>
    <n v="119"/>
    <n v="112"/>
    <n v="0"/>
    <n v="233"/>
    <n v="229"/>
    <n v="0"/>
    <n v="5"/>
    <n v="-5"/>
    <n v="0"/>
    <n v="44"/>
    <s v="oct"/>
  </r>
  <r>
    <x v="8"/>
    <s v="Sacramento Kings @ Chicago Bulls"/>
    <s v="Sacramento Kings"/>
    <n v="125"/>
    <n v="113"/>
    <n v="0"/>
    <s v="Chicago Bulls"/>
    <n v="121"/>
    <n v="126"/>
    <n v="1"/>
    <n v="246"/>
    <n v="239"/>
    <n v="0"/>
    <n v="-4"/>
    <n v="13"/>
    <n v="0"/>
    <n v="44"/>
    <s v="oct"/>
  </r>
  <r>
    <x v="8"/>
    <s v="Indiana Pacers @ Dallas Mavericks"/>
    <s v="Indiana Pacers"/>
    <n v="114"/>
    <n v="105"/>
    <n v="0"/>
    <s v="Dallas Mavericks"/>
    <n v="118"/>
    <n v="107"/>
    <n v="0"/>
    <n v="232"/>
    <n v="212"/>
    <n v="0"/>
    <n v="4"/>
    <n v="2"/>
    <n v="1"/>
    <n v="44"/>
    <s v="oct"/>
  </r>
  <r>
    <x v="8"/>
    <s v="New Orleans Pelicans @ Denver Nuggets"/>
    <s v="New Orleans Pelicans"/>
    <n v="108"/>
    <n v="88"/>
    <n v="0"/>
    <s v="Denver Nuggets"/>
    <n v="111"/>
    <n v="122"/>
    <n v="1"/>
    <n v="219"/>
    <n v="210"/>
    <n v="0"/>
    <n v="3"/>
    <n v="34"/>
    <n v="1"/>
    <n v="44"/>
    <s v="oct"/>
  </r>
  <r>
    <x v="8"/>
    <s v="Portland Trail Blazers @ Utah Jazz"/>
    <s v="Portland Trail Blazers"/>
    <n v="113"/>
    <n v="136"/>
    <n v="1"/>
    <s v="Utah Jazz"/>
    <n v="121"/>
    <n v="134"/>
    <n v="1"/>
    <n v="234"/>
    <n v="270"/>
    <n v="1"/>
    <n v="8"/>
    <n v="-2"/>
    <n v="0"/>
    <n v="44"/>
    <s v="oct"/>
  </r>
  <r>
    <x v="8"/>
    <s v="Los Angeles Lakers @ Minnesota Timberwolves"/>
    <s v="Los Angeles Lakers"/>
    <n v="116"/>
    <n v="116"/>
    <n v="0"/>
    <s v="Minnesota Timberwolves"/>
    <n v="119"/>
    <n v="115"/>
    <n v="0"/>
    <n v="235"/>
    <n v="231"/>
    <n v="0"/>
    <n v="3"/>
    <n v="-1"/>
    <n v="0"/>
    <n v="44"/>
    <s v="oct"/>
  </r>
  <r>
    <x v="8"/>
    <s v="Memphis Grizzlies @ Phoenix Suns"/>
    <s v="Memphis Grizzlies"/>
    <n v="115"/>
    <n v="114"/>
    <n v="0"/>
    <s v="Phoenix Suns"/>
    <n v="112"/>
    <n v="113"/>
    <n v="1"/>
    <n v="227"/>
    <n v="227"/>
    <n v="0"/>
    <n v="-3"/>
    <n v="-1"/>
    <n v="1"/>
    <n v="44"/>
    <s v="oct"/>
  </r>
  <r>
    <x v="9"/>
    <s v="Orlando Magic @ Charlotte Hornets"/>
    <s v="Orlando Magic"/>
    <n v="112"/>
    <n v="123"/>
    <n v="1"/>
    <s v="Charlotte Hornets"/>
    <n v="103"/>
    <n v="107"/>
    <n v="1"/>
    <n v="215"/>
    <n v="230"/>
    <n v="1"/>
    <n v="-9"/>
    <n v="-16"/>
    <n v="1"/>
    <n v="44"/>
    <s v="oct"/>
  </r>
  <r>
    <x v="9"/>
    <s v="Golden State Warriors @ Milwaukee Bucks"/>
    <s v="Golden State Warriors"/>
    <n v="108"/>
    <n v="110"/>
    <n v="1"/>
    <s v="Milwaukee Bucks"/>
    <n v="114"/>
    <n v="120"/>
    <n v="1"/>
    <n v="222"/>
    <n v="230"/>
    <n v="1"/>
    <n v="6"/>
    <n v="10"/>
    <n v="1"/>
    <n v="44"/>
    <s v="oct"/>
  </r>
  <r>
    <x v="9"/>
    <s v="Washington Wizards @ Oklahoma City Thunder"/>
    <s v="Washington Wizards"/>
    <n v="115"/>
    <n v="108"/>
    <n v="0"/>
    <s v="Oklahoma City Thunder"/>
    <n v="121"/>
    <n v="127"/>
    <n v="1"/>
    <n v="236"/>
    <n v="235"/>
    <n v="0"/>
    <n v="6"/>
    <n v="19"/>
    <n v="1"/>
    <n v="44"/>
    <s v="oct"/>
  </r>
  <r>
    <x v="9"/>
    <s v="Miami Heat @ San Antonio Spurs"/>
    <s v="Miami Heat"/>
    <n v="112"/>
    <n v="101"/>
    <n v="0"/>
    <s v="San Antonio Spurs"/>
    <n v="108"/>
    <n v="107"/>
    <n v="0"/>
    <n v="220"/>
    <n v="208"/>
    <n v="0"/>
    <n v="-4"/>
    <n v="6"/>
    <n v="0"/>
    <n v="44"/>
    <s v="oct"/>
  </r>
  <r>
    <x v="10"/>
    <s v="Atlanta Hawks @ Indiana Pacers"/>
    <s v="Atlanta Hawks"/>
    <n v="112"/>
    <n v="128"/>
    <n v="1"/>
    <s v="Indiana Pacers"/>
    <n v="115"/>
    <n v="108"/>
    <n v="0"/>
    <n v="227"/>
    <n v="236"/>
    <n v="1"/>
    <n v="3"/>
    <n v="-20"/>
    <n v="0"/>
    <n v="44"/>
    <s v="oct"/>
  </r>
  <r>
    <x v="10"/>
    <s v="Boston Celtics @ Philadelphia 76ers"/>
    <s v="Boston Celtics"/>
    <n v="105"/>
    <n v="109"/>
    <n v="1"/>
    <s v="Philadelphia 76ers"/>
    <n v="118"/>
    <n v="108"/>
    <n v="0"/>
    <n v="223"/>
    <n v="217"/>
    <n v="0"/>
    <n v="13"/>
    <n v="-1"/>
    <n v="0"/>
    <n v="44"/>
    <s v="oct"/>
  </r>
  <r>
    <x v="10"/>
    <s v="Toronto Raptors @ Cleveland Cavaliers"/>
    <s v="Toronto Raptors"/>
    <n v="115"/>
    <n v="112"/>
    <n v="0"/>
    <s v="Cleveland Cavaliers"/>
    <n v="117"/>
    <n v="101"/>
    <n v="0"/>
    <n v="232"/>
    <n v="213"/>
    <n v="0"/>
    <n v="2"/>
    <n v="-11"/>
    <n v="0"/>
    <n v="44"/>
    <s v="oct"/>
  </r>
  <r>
    <x v="10"/>
    <s v="New York Knicks @ Chicago Bulls"/>
    <s v="New York Knicks"/>
    <n v="117"/>
    <n v="125"/>
    <n v="1"/>
    <s v="Chicago Bulls"/>
    <n v="114"/>
    <n v="135"/>
    <n v="1"/>
    <n v="231"/>
    <n v="260"/>
    <n v="1"/>
    <n v="-3"/>
    <n v="10"/>
    <n v="0"/>
    <n v="44"/>
    <s v="oct"/>
  </r>
  <r>
    <x v="10"/>
    <s v="Los Angeles Lakers @ Memphis Grizzlies"/>
    <s v="Los Angeles Lakers"/>
    <n v="112"/>
    <n v="117"/>
    <n v="1"/>
    <s v="Memphis Grizzlies"/>
    <n v="121"/>
    <n v="112"/>
    <n v="0"/>
    <n v="233"/>
    <n v="229"/>
    <n v="0"/>
    <n v="9"/>
    <n v="-5"/>
    <n v="0"/>
    <n v="44"/>
    <s v="oct"/>
  </r>
  <r>
    <x v="10"/>
    <s v="Utah Jazz @ Phoenix Suns"/>
    <s v="Utah Jazz"/>
    <n v="115"/>
    <n v="96"/>
    <n v="0"/>
    <s v="Phoenix Suns"/>
    <n v="111"/>
    <n v="118"/>
    <n v="1"/>
    <n v="226"/>
    <n v="214"/>
    <n v="0"/>
    <n v="-4"/>
    <n v="22"/>
    <n v="0"/>
    <n v="44"/>
    <s v="oct"/>
  </r>
  <r>
    <x v="10"/>
    <s v="Denver Nuggets @ Portland Trail Blazers"/>
    <s v="Denver Nuggets"/>
    <n v="110"/>
    <n v="107"/>
    <n v="0"/>
    <s v="Portland Trail Blazers"/>
    <n v="117"/>
    <n v="109"/>
    <n v="0"/>
    <n v="227"/>
    <n v="216"/>
    <n v="0"/>
    <n v="7"/>
    <n v="2"/>
    <n v="1"/>
    <n v="44"/>
    <s v="oct"/>
  </r>
  <r>
    <x v="10"/>
    <s v="New Orleans Pelicans @ LA Clippers"/>
    <s v="New Orleans Pelicans"/>
    <n v="108"/>
    <n v="124"/>
    <n v="1"/>
    <s v="LA Clippers"/>
    <n v="115"/>
    <n v="126"/>
    <n v="1"/>
    <n v="223"/>
    <n v="250"/>
    <n v="1"/>
    <n v="7"/>
    <n v="2"/>
    <n v="1"/>
    <n v="44"/>
    <s v="oct"/>
  </r>
  <r>
    <x v="11"/>
    <s v="Sacramento Kings @ Milwaukee Bucks"/>
    <s v="Sacramento Kings"/>
    <n v="112"/>
    <n v="135"/>
    <n v="1"/>
    <s v="Milwaukee Bucks"/>
    <n v="125"/>
    <n v="133"/>
    <n v="1"/>
    <n v="237"/>
    <n v="268"/>
    <n v="1"/>
    <n v="13"/>
    <n v="-2"/>
    <n v="0"/>
    <n v="44"/>
    <s v="nov"/>
  </r>
  <r>
    <x v="11"/>
    <s v="Minnesota Timberwolves @ Charlotte Hornets"/>
    <s v="Minnesota Timberwolves"/>
    <n v="114"/>
    <n v="122"/>
    <n v="1"/>
    <s v="Charlotte Hornets"/>
    <n v="115"/>
    <n v="105"/>
    <n v="0"/>
    <n v="229"/>
    <n v="227"/>
    <n v="0"/>
    <n v="1"/>
    <n v="-17"/>
    <n v="0"/>
    <n v="44"/>
    <s v="nov"/>
  </r>
  <r>
    <x v="11"/>
    <s v="Golden State Warriors @ Indiana Pacers"/>
    <s v="Golden State Warriors"/>
    <n v="116"/>
    <n v="109"/>
    <n v="0"/>
    <s v="Indiana Pacers"/>
    <n v="118"/>
    <n v="114"/>
    <n v="0"/>
    <n v="234"/>
    <n v="223"/>
    <n v="0"/>
    <n v="2"/>
    <n v="5"/>
    <n v="1"/>
    <n v="44"/>
    <s v="nov"/>
  </r>
  <r>
    <x v="11"/>
    <s v="Orlando Magic @ Washington Wizards"/>
    <s v="Orlando Magic"/>
    <n v="107"/>
    <n v="125"/>
    <n v="1"/>
    <s v="Washington Wizards"/>
    <n v="114"/>
    <n v="94"/>
    <n v="0"/>
    <n v="221"/>
    <n v="219"/>
    <n v="0"/>
    <n v="7"/>
    <n v="-31"/>
    <n v="0"/>
    <n v="44"/>
    <s v="nov"/>
  </r>
  <r>
    <x v="11"/>
    <s v="Houston Rockets @ Boston Celtics"/>
    <s v="Houston Rockets"/>
    <n v="105"/>
    <n v="128"/>
    <n v="1"/>
    <s v="Boston Celtics"/>
    <n v="114"/>
    <n v="101"/>
    <n v="0"/>
    <n v="219"/>
    <n v="229"/>
    <n v="1"/>
    <n v="9"/>
    <n v="-27"/>
    <n v="0"/>
    <n v="44"/>
    <s v="nov"/>
  </r>
  <r>
    <x v="11"/>
    <s v="Dallas Mavericks @ Detroit Pistons"/>
    <s v="Dallas Mavericks"/>
    <n v="104"/>
    <n v="110"/>
    <n v="1"/>
    <s v="Detroit Pistons"/>
    <n v="117"/>
    <n v="122"/>
    <n v="1"/>
    <n v="221"/>
    <n v="232"/>
    <n v="1"/>
    <n v="13"/>
    <n v="12"/>
    <n v="1"/>
    <n v="44"/>
    <s v="nov"/>
  </r>
  <r>
    <x v="12"/>
    <s v="New Orleans Pelicans @ Oklahoma City Thunder"/>
    <s v="New Orleans Pelicans"/>
    <n v="121"/>
    <n v="106"/>
    <n v="0"/>
    <s v="Oklahoma City Thunder"/>
    <n v="118"/>
    <n v="137"/>
    <n v="1"/>
    <n v="239"/>
    <n v="243"/>
    <n v="1"/>
    <n v="-3"/>
    <n v="31"/>
    <n v="0"/>
    <n v="44"/>
    <s v="nov"/>
  </r>
  <r>
    <x v="12"/>
    <s v="Philadelphia 76ers @ Brooklyn Nets"/>
    <s v="Philadelphia 76ers"/>
    <n v="113"/>
    <n v="129"/>
    <n v="1"/>
    <s v="Brooklyn Nets"/>
    <n v="108"/>
    <n v="105"/>
    <n v="0"/>
    <n v="221"/>
    <n v="234"/>
    <n v="1"/>
    <n v="-5"/>
    <n v="-24"/>
    <n v="1"/>
    <n v="44"/>
    <s v="nov"/>
  </r>
  <r>
    <x v="12"/>
    <s v="Utah Jazz @ Charlotte Hornets"/>
    <s v="Utah Jazz"/>
    <n v="104"/>
    <n v="103"/>
    <n v="0"/>
    <s v="Charlotte Hornets"/>
    <n v="107"/>
    <n v="126"/>
    <n v="1"/>
    <n v="211"/>
    <n v="229"/>
    <n v="1"/>
    <n v="3"/>
    <n v="23"/>
    <n v="1"/>
    <n v="44"/>
    <s v="nov"/>
  </r>
  <r>
    <x v="12"/>
    <s v="Atlanta Hawks @ Cleveland Cavaliers"/>
    <s v="Atlanta Hawks"/>
    <n v="117"/>
    <n v="109"/>
    <n v="0"/>
    <s v="Cleveland Cavaliers"/>
    <n v="127"/>
    <n v="117"/>
    <n v="0"/>
    <n v="244"/>
    <n v="226"/>
    <n v="0"/>
    <n v="10"/>
    <n v="8"/>
    <n v="1"/>
    <n v="44"/>
    <s v="nov"/>
  </r>
  <r>
    <x v="12"/>
    <s v="Memphis Grizzlies @ Toronto Raptors"/>
    <s v="Memphis Grizzlies"/>
    <n v="116"/>
    <n v="104"/>
    <n v="0"/>
    <s v="Toronto Raptors"/>
    <n v="111"/>
    <n v="117"/>
    <n v="1"/>
    <n v="227"/>
    <n v="221"/>
    <n v="0"/>
    <n v="-5"/>
    <n v="13"/>
    <n v="0"/>
    <n v="44"/>
    <s v="nov"/>
  </r>
  <r>
    <x v="12"/>
    <s v="Chicago Bulls @ New York Knicks"/>
    <s v="Chicago Bulls"/>
    <n v="112"/>
    <n v="116"/>
    <n v="1"/>
    <s v="New York Knicks"/>
    <n v="120"/>
    <n v="128"/>
    <n v="1"/>
    <n v="232"/>
    <n v="244"/>
    <n v="1"/>
    <n v="8"/>
    <n v="12"/>
    <n v="1"/>
    <n v="44"/>
    <s v="nov"/>
  </r>
  <r>
    <x v="12"/>
    <s v="San Antonio Spurs @ Phoenix Suns"/>
    <s v="San Antonio Spurs"/>
    <n v="116"/>
    <n v="118"/>
    <n v="1"/>
    <s v="Phoenix Suns"/>
    <n v="107"/>
    <n v="130"/>
    <n v="1"/>
    <n v="223"/>
    <n v="248"/>
    <n v="1"/>
    <n v="-9"/>
    <n v="12"/>
    <n v="0"/>
    <n v="44"/>
    <s v="nov"/>
  </r>
  <r>
    <x v="12"/>
    <s v="Miami Heat @ Los Angeles Lakers"/>
    <s v="Miami Heat"/>
    <n v="103"/>
    <n v="120"/>
    <n v="1"/>
    <s v="Los Angeles Lakers"/>
    <n v="111"/>
    <n v="130"/>
    <n v="1"/>
    <n v="214"/>
    <n v="250"/>
    <n v="1"/>
    <n v="8"/>
    <n v="10"/>
    <n v="1"/>
    <n v="44"/>
    <s v="nov"/>
  </r>
  <r>
    <x v="13"/>
    <s v="Minnesota Timberwolves @ Brooklyn Nets"/>
    <s v="Minnesota Timberwolves"/>
    <n v="123"/>
    <n v="125"/>
    <n v="1"/>
    <s v="Brooklyn Nets"/>
    <n v="115"/>
    <n v="109"/>
    <n v="0"/>
    <n v="238"/>
    <n v="234"/>
    <n v="0"/>
    <n v="-8"/>
    <n v="-16"/>
    <n v="1"/>
    <n v="45"/>
    <s v="nov"/>
  </r>
  <r>
    <x v="13"/>
    <s v="Milwaukee Bucks @ Indiana Pacers"/>
    <s v="Milwaukee Bucks"/>
    <n v="116"/>
    <n v="117"/>
    <n v="1"/>
    <s v="Indiana Pacers"/>
    <n v="114"/>
    <n v="115"/>
    <n v="1"/>
    <n v="230"/>
    <n v="232"/>
    <n v="1"/>
    <n v="-2"/>
    <n v="-2"/>
    <n v="1"/>
    <n v="45"/>
    <s v="nov"/>
  </r>
  <r>
    <x v="13"/>
    <s v="Utah Jazz @ Boston Celtics"/>
    <s v="Utah Jazz"/>
    <n v="95"/>
    <n v="105"/>
    <n v="1"/>
    <s v="Boston Celtics"/>
    <n v="108"/>
    <n v="103"/>
    <n v="0"/>
    <n v="203"/>
    <n v="208"/>
    <n v="1"/>
    <n v="13"/>
    <n v="-2"/>
    <n v="0"/>
    <n v="45"/>
    <s v="nov"/>
  </r>
  <r>
    <x v="13"/>
    <s v="Washington Wizards @ New York Knicks"/>
    <s v="Washington Wizards"/>
    <n v="115"/>
    <n v="102"/>
    <n v="0"/>
    <s v="New York Knicks"/>
    <n v="119"/>
    <n v="119"/>
    <n v="0"/>
    <n v="234"/>
    <n v="221"/>
    <n v="0"/>
    <n v="4"/>
    <n v="17"/>
    <n v="1"/>
    <n v="45"/>
    <s v="nov"/>
  </r>
  <r>
    <x v="13"/>
    <s v="Dallas Mavericks @ Houston Rockets"/>
    <s v="Dallas Mavericks"/>
    <n v="119"/>
    <n v="102"/>
    <n v="0"/>
    <s v="Houston Rockets"/>
    <n v="109"/>
    <n v="110"/>
    <n v="1"/>
    <n v="228"/>
    <n v="212"/>
    <n v="0"/>
    <n v="-10"/>
    <n v="8"/>
    <n v="0"/>
    <n v="45"/>
    <s v="nov"/>
  </r>
  <r>
    <x v="13"/>
    <s v="Detroit Pistons @ Memphis Grizzlies"/>
    <s v="Detroit Pistons"/>
    <n v="108"/>
    <n v="114"/>
    <n v="1"/>
    <s v="Memphis Grizzlies"/>
    <n v="120"/>
    <n v="106"/>
    <n v="0"/>
    <n v="228"/>
    <n v="220"/>
    <n v="0"/>
    <n v="12"/>
    <n v="-8"/>
    <n v="0"/>
    <n v="45"/>
    <s v="nov"/>
  </r>
  <r>
    <x v="13"/>
    <s v="Sacramento Kings @ Denver Nuggets"/>
    <s v="Sacramento Kings"/>
    <n v="115"/>
    <n v="124"/>
    <n v="1"/>
    <s v="Denver Nuggets"/>
    <n v="110"/>
    <n v="130"/>
    <n v="1"/>
    <n v="225"/>
    <n v="254"/>
    <n v="1"/>
    <n v="-5"/>
    <n v="6"/>
    <n v="0"/>
    <n v="45"/>
    <s v="nov"/>
  </r>
  <r>
    <x v="13"/>
    <s v="Los Angeles Lakers @ Portland Trail Blazers"/>
    <s v="Los Angeles Lakers"/>
    <n v="109"/>
    <n v="123"/>
    <n v="1"/>
    <s v="Portland Trail Blazers"/>
    <n v="114"/>
    <n v="115"/>
    <n v="1"/>
    <n v="223"/>
    <n v="238"/>
    <n v="1"/>
    <n v="5"/>
    <n v="-8"/>
    <n v="0"/>
    <n v="45"/>
    <s v="nov"/>
  </r>
  <r>
    <x v="13"/>
    <s v="Miami Heat @ LA Clippers"/>
    <s v="Miami Heat"/>
    <n v="114"/>
    <n v="120"/>
    <n v="1"/>
    <s v="LA Clippers"/>
    <n v="118"/>
    <n v="119"/>
    <n v="1"/>
    <n v="232"/>
    <n v="239"/>
    <n v="1"/>
    <n v="4"/>
    <n v="-1"/>
    <n v="0"/>
    <n v="45"/>
    <s v="nov"/>
  </r>
  <r>
    <x v="14"/>
    <s v="Milwaukee Bucks @ Toronto Raptors"/>
    <s v="Milwaukee Bucks"/>
    <n v="125"/>
    <n v="100"/>
    <n v="0"/>
    <s v="Toronto Raptors"/>
    <n v="118"/>
    <n v="128"/>
    <n v="1"/>
    <n v="243"/>
    <n v="228"/>
    <n v="0"/>
    <n v="-7"/>
    <n v="28"/>
    <n v="0"/>
    <n v="45"/>
    <s v="nov"/>
  </r>
  <r>
    <x v="14"/>
    <s v="Orlando Magic @ Atlanta Hawks"/>
    <s v="Orlando Magic"/>
    <n v="113"/>
    <n v="112"/>
    <n v="0"/>
    <s v="Atlanta Hawks"/>
    <n v="116"/>
    <n v="127"/>
    <n v="1"/>
    <n v="229"/>
    <n v="239"/>
    <n v="1"/>
    <n v="3"/>
    <n v="15"/>
    <n v="1"/>
    <n v="45"/>
    <s v="nov"/>
  </r>
  <r>
    <x v="14"/>
    <s v="Philadelphia 76ers @ Chicago Bulls"/>
    <s v="Philadelphia 76ers"/>
    <n v="112"/>
    <n v="111"/>
    <n v="0"/>
    <s v="Chicago Bulls"/>
    <n v="109"/>
    <n v="113"/>
    <n v="1"/>
    <n v="221"/>
    <n v="224"/>
    <n v="1"/>
    <n v="-3"/>
    <n v="2"/>
    <n v="0"/>
    <n v="45"/>
    <s v="nov"/>
  </r>
  <r>
    <x v="14"/>
    <s v="Charlotte Hornets @ New Orleans Pelicans"/>
    <s v="Charlotte Hornets"/>
    <n v="113"/>
    <n v="112"/>
    <n v="0"/>
    <s v="New Orleans Pelicans"/>
    <n v="120"/>
    <n v="116"/>
    <n v="0"/>
    <n v="233"/>
    <n v="228"/>
    <n v="0"/>
    <n v="7"/>
    <n v="4"/>
    <n v="1"/>
    <n v="45"/>
    <s v="nov"/>
  </r>
  <r>
    <x v="14"/>
    <s v="Phoenix Suns @ Golden State Warriors"/>
    <s v="Phoenix Suns"/>
    <n v="116"/>
    <n v="107"/>
    <n v="0"/>
    <s v="Golden State Warriors"/>
    <n v="108"/>
    <n v="118"/>
    <n v="1"/>
    <n v="224"/>
    <n v="225"/>
    <n v="1"/>
    <n v="-8"/>
    <n v="11"/>
    <n v="0"/>
    <n v="45"/>
    <s v="nov"/>
  </r>
  <r>
    <x v="14"/>
    <s v="Oklahoma City Thunder @ LA Clippers"/>
    <s v="Oklahoma City Thunder"/>
    <n v="108"/>
    <n v="126"/>
    <n v="1"/>
    <s v="LA Clippers"/>
    <n v="115"/>
    <n v="107"/>
    <n v="0"/>
    <n v="223"/>
    <n v="233"/>
    <n v="1"/>
    <n v="7"/>
    <n v="-19"/>
    <n v="0"/>
    <n v="45"/>
    <s v="nov"/>
  </r>
  <r>
    <x v="15"/>
    <s v="Philadelphia 76ers @ Cleveland Cavaliers"/>
    <s v="Philadelphia 76ers"/>
    <n v="124"/>
    <n v="121"/>
    <n v="0"/>
    <s v="Cleveland Cavaliers"/>
    <n v="118"/>
    <n v="132"/>
    <n v="1"/>
    <n v="242"/>
    <n v="253"/>
    <n v="1"/>
    <n v="-6"/>
    <n v="11"/>
    <n v="0"/>
    <n v="45"/>
    <s v="nov"/>
  </r>
  <r>
    <x v="15"/>
    <s v="Utah Jazz @ Detroit Pistons"/>
    <s v="Utah Jazz"/>
    <n v="115"/>
    <n v="103"/>
    <n v="0"/>
    <s v="Detroit Pistons"/>
    <n v="111"/>
    <n v="114"/>
    <n v="1"/>
    <n v="226"/>
    <n v="217"/>
    <n v="0"/>
    <n v="-4"/>
    <n v="11"/>
    <n v="0"/>
    <n v="45"/>
    <s v="nov"/>
  </r>
  <r>
    <x v="15"/>
    <s v="Brooklyn Nets @ Indiana Pacers"/>
    <s v="Brooklyn Nets"/>
    <n v="100"/>
    <n v="112"/>
    <n v="1"/>
    <s v="Indiana Pacers"/>
    <n v="112"/>
    <n v="103"/>
    <n v="0"/>
    <n v="212"/>
    <n v="215"/>
    <n v="1"/>
    <n v="12"/>
    <n v="-9"/>
    <n v="0"/>
    <n v="45"/>
    <s v="nov"/>
  </r>
  <r>
    <x v="15"/>
    <s v="Washington Wizards @ Boston Celtics"/>
    <s v="Washington Wizards"/>
    <n v="108"/>
    <n v="107"/>
    <n v="0"/>
    <s v="Boston Celtics"/>
    <n v="115"/>
    <n v="136"/>
    <n v="1"/>
    <n v="223"/>
    <n v="243"/>
    <n v="1"/>
    <n v="7"/>
    <n v="29"/>
    <n v="1"/>
    <n v="45"/>
    <s v="nov"/>
  </r>
  <r>
    <x v="15"/>
    <s v="Minnesota Timberwolves @ New York Knicks"/>
    <s v="Minnesota Timberwolves"/>
    <n v="117"/>
    <n v="114"/>
    <n v="0"/>
    <s v="New York Knicks"/>
    <n v="109"/>
    <n v="137"/>
    <n v="1"/>
    <n v="226"/>
    <n v="251"/>
    <n v="1"/>
    <n v="-8"/>
    <n v="23"/>
    <n v="0"/>
    <n v="45"/>
    <s v="nov"/>
  </r>
  <r>
    <x v="15"/>
    <s v="Houston Rockets @ Memphis Grizzlies"/>
    <s v="Houston Rockets"/>
    <n v="109"/>
    <n v="124"/>
    <n v="1"/>
    <s v="Memphis Grizzlies"/>
    <n v="120"/>
    <n v="109"/>
    <n v="0"/>
    <n v="229"/>
    <n v="233"/>
    <n v="1"/>
    <n v="11"/>
    <n v="-15"/>
    <n v="0"/>
    <n v="45"/>
    <s v="nov"/>
  </r>
  <r>
    <x v="15"/>
    <s v="New Orleans Pelicans @ Dallas Mavericks"/>
    <s v="New Orleans Pelicans"/>
    <n v="117"/>
    <n v="101"/>
    <n v="0"/>
    <s v="Dallas Mavericks"/>
    <n v="106"/>
    <n v="99"/>
    <n v="0"/>
    <n v="223"/>
    <n v="200"/>
    <n v="0"/>
    <n v="-11"/>
    <n v="-2"/>
    <n v="1"/>
    <n v="45"/>
    <s v="nov"/>
  </r>
  <r>
    <x v="15"/>
    <s v="Miami Heat @ Denver Nuggets"/>
    <s v="Miami Heat"/>
    <n v="104"/>
    <n v="112"/>
    <n v="1"/>
    <s v="Denver Nuggets"/>
    <n v="112"/>
    <n v="122"/>
    <n v="1"/>
    <n v="216"/>
    <n v="234"/>
    <n v="1"/>
    <n v="8"/>
    <n v="10"/>
    <n v="1"/>
    <n v="45"/>
    <s v="nov"/>
  </r>
  <r>
    <x v="15"/>
    <s v="San Antonio Spurs @ Los Angeles Lakers"/>
    <s v="San Antonio Spurs"/>
    <n v="107"/>
    <n v="116"/>
    <n v="1"/>
    <s v="Los Angeles Lakers"/>
    <n v="113"/>
    <n v="118"/>
    <n v="1"/>
    <n v="220"/>
    <n v="234"/>
    <n v="1"/>
    <n v="6"/>
    <n v="2"/>
    <n v="1"/>
    <n v="45"/>
    <s v="nov"/>
  </r>
  <r>
    <x v="15"/>
    <s v="Oklahoma City Thunder @ Portland Trail Blazers"/>
    <s v="Oklahoma City Thunder"/>
    <n v="114"/>
    <n v="119"/>
    <n v="1"/>
    <s v="Portland Trail Blazers"/>
    <n v="117"/>
    <n v="121"/>
    <n v="1"/>
    <n v="231"/>
    <n v="240"/>
    <n v="1"/>
    <n v="3"/>
    <n v="2"/>
    <n v="1"/>
    <n v="45"/>
    <s v="nov"/>
  </r>
  <r>
    <x v="15"/>
    <s v="Golden State Warriors @ Sacramento Kings"/>
    <s v="Golden State Warriors"/>
    <n v="117"/>
    <n v="116"/>
    <n v="0"/>
    <s v="Sacramento Kings"/>
    <n v="122"/>
    <n v="121"/>
    <n v="0"/>
    <n v="239"/>
    <n v="237"/>
    <n v="0"/>
    <n v="5"/>
    <n v="5"/>
    <n v="1"/>
    <n v="45"/>
    <s v="nov"/>
  </r>
  <r>
    <x v="16"/>
    <s v="LA Clippers @ Phoenix Suns"/>
    <s v="LA Clippers"/>
    <n v="126"/>
    <n v="102"/>
    <n v="0"/>
    <s v="Phoenix Suns"/>
    <n v="114"/>
    <n v="115"/>
    <n v="1"/>
    <n v="240"/>
    <n v="217"/>
    <n v="0"/>
    <n v="-12"/>
    <n v="13"/>
    <n v="0"/>
    <n v="45"/>
    <s v="nov"/>
  </r>
  <r>
    <x v="17"/>
    <s v="Boston Celtics @ Orlando Magic"/>
    <s v="Boston Celtics"/>
    <n v="119"/>
    <n v="110"/>
    <n v="0"/>
    <s v="Orlando Magic"/>
    <n v="107"/>
    <n v="123"/>
    <n v="1"/>
    <n v="226"/>
    <n v="233"/>
    <n v="1"/>
    <n v="-12"/>
    <n v="13"/>
    <n v="0"/>
    <n v="45"/>
    <s v="nov"/>
  </r>
  <r>
    <x v="17"/>
    <s v="Cleveland Cavaliers @ Washington Wizards"/>
    <s v="Cleveland Cavaliers"/>
    <n v="114"/>
    <n v="148"/>
    <n v="1"/>
    <s v="Washington Wizards"/>
    <n v="112"/>
    <n v="114"/>
    <n v="1"/>
    <n v="226"/>
    <n v="262"/>
    <n v="1"/>
    <n v="-2"/>
    <n v="-34"/>
    <n v="1"/>
    <n v="45"/>
    <s v="nov"/>
  </r>
  <r>
    <x v="17"/>
    <s v="Toronto Raptors @ Atlanta Hawks"/>
    <s v="Toronto Raptors"/>
    <n v="109"/>
    <n v="109"/>
    <n v="0"/>
    <s v="Atlanta Hawks"/>
    <n v="117"/>
    <n v="97"/>
    <n v="0"/>
    <n v="226"/>
    <n v="206"/>
    <n v="0"/>
    <n v="8"/>
    <n v="-12"/>
    <n v="0"/>
    <n v="45"/>
    <s v="nov"/>
  </r>
  <r>
    <x v="17"/>
    <s v="Detroit Pistons @ Brooklyn Nets"/>
    <s v="Detroit Pistons"/>
    <n v="116"/>
    <n v="125"/>
    <n v="1"/>
    <s v="Brooklyn Nets"/>
    <n v="121"/>
    <n v="107"/>
    <n v="0"/>
    <n v="237"/>
    <n v="232"/>
    <n v="0"/>
    <n v="5"/>
    <n v="-18"/>
    <n v="0"/>
    <n v="45"/>
    <s v="nov"/>
  </r>
  <r>
    <x v="17"/>
    <s v="Houston Rockets @ San Antonio Spurs"/>
    <s v="Houston Rockets"/>
    <n v="117"/>
    <n v="110"/>
    <n v="0"/>
    <s v="San Antonio Spurs"/>
    <n v="108"/>
    <n v="121"/>
    <n v="1"/>
    <n v="225"/>
    <n v="231"/>
    <n v="1"/>
    <n v="-9"/>
    <n v="11"/>
    <n v="0"/>
    <n v="45"/>
    <s v="nov"/>
  </r>
  <r>
    <x v="17"/>
    <s v="Charlotte Hornets @ Miami Heat"/>
    <s v="Charlotte Hornets"/>
    <n v="107"/>
    <n v="108"/>
    <n v="1"/>
    <s v="Miami Heat"/>
    <n v="113"/>
    <n v="126"/>
    <n v="1"/>
    <n v="220"/>
    <n v="234"/>
    <n v="1"/>
    <n v="6"/>
    <n v="18"/>
    <n v="1"/>
    <n v="45"/>
    <s v="nov"/>
  </r>
  <r>
    <x v="17"/>
    <s v="Dallas Mavericks @ Memphis Grizzlies"/>
    <s v="Dallas Mavericks"/>
    <n v="102"/>
    <n v="104"/>
    <n v="1"/>
    <s v="Memphis Grizzlies"/>
    <n v="106"/>
    <n v="118"/>
    <n v="1"/>
    <n v="208"/>
    <n v="222"/>
    <n v="1"/>
    <n v="4"/>
    <n v="14"/>
    <n v="1"/>
    <n v="45"/>
    <s v="nov"/>
  </r>
  <r>
    <x v="17"/>
    <s v="Chicago Bulls @ Milwaukee Bucks"/>
    <s v="Chicago Bulls"/>
    <n v="113"/>
    <n v="110"/>
    <n v="0"/>
    <s v="Milwaukee Bucks"/>
    <n v="117"/>
    <n v="126"/>
    <n v="1"/>
    <n v="230"/>
    <n v="236"/>
    <n v="1"/>
    <n v="4"/>
    <n v="16"/>
    <n v="1"/>
    <n v="45"/>
    <s v="nov"/>
  </r>
  <r>
    <x v="17"/>
    <s v="Utah Jazz @ Minnesota Timberwolves"/>
    <s v="Utah Jazz"/>
    <n v="116"/>
    <n v="97"/>
    <n v="0"/>
    <s v="Minnesota Timberwolves"/>
    <n v="118"/>
    <n v="137"/>
    <n v="1"/>
    <n v="234"/>
    <n v="234"/>
    <n v="0"/>
    <n v="2"/>
    <n v="40"/>
    <n v="1"/>
    <n v="45"/>
    <s v="nov"/>
  </r>
  <r>
    <x v="17"/>
    <s v="Golden State Warriors @ Denver Nuggets"/>
    <s v="Golden State Warriors"/>
    <n v="107"/>
    <n v="104"/>
    <n v="0"/>
    <s v="Denver Nuggets"/>
    <n v="105"/>
    <n v="129"/>
    <n v="1"/>
    <n v="212"/>
    <n v="233"/>
    <n v="1"/>
    <n v="-2"/>
    <n v="25"/>
    <n v="0"/>
    <n v="45"/>
    <s v="nov"/>
  </r>
  <r>
    <x v="17"/>
    <s v="Oklahoma City Thunder @ Sacramento Kings"/>
    <s v="Oklahoma City Thunder"/>
    <n v="121"/>
    <n v="132"/>
    <n v="1"/>
    <s v="Sacramento Kings"/>
    <n v="106"/>
    <n v="101"/>
    <n v="0"/>
    <n v="227"/>
    <n v="233"/>
    <n v="1"/>
    <n v="-15"/>
    <n v="-31"/>
    <n v="1"/>
    <n v="45"/>
    <s v="nov"/>
  </r>
  <r>
    <x v="18"/>
    <s v="Dallas Mavericks @ Washington Wizards"/>
    <s v="Dallas Mavericks"/>
    <n v="123"/>
    <n v="111"/>
    <n v="0"/>
    <s v="Washington Wizards"/>
    <n v="118"/>
    <n v="105"/>
    <n v="0"/>
    <n v="241"/>
    <n v="216"/>
    <n v="0"/>
    <n v="-5"/>
    <n v="-6"/>
    <n v="1"/>
    <n v="45"/>
    <s v="nov"/>
  </r>
  <r>
    <x v="18"/>
    <s v="Toronto Raptors @ Philadelphia 76ers"/>
    <s v="Toronto Raptors"/>
    <n v="112"/>
    <n v="120"/>
    <n v="1"/>
    <s v="Philadelphia 76ers"/>
    <n v="118"/>
    <n v="130"/>
    <n v="1"/>
    <n v="230"/>
    <n v="250"/>
    <n v="1"/>
    <n v="6"/>
    <n v="10"/>
    <n v="1"/>
    <n v="45"/>
    <s v="nov"/>
  </r>
  <r>
    <x v="18"/>
    <s v="Los Angeles Lakers @ Atlanta Hawks"/>
    <s v="Los Angeles Lakers"/>
    <n v="114"/>
    <n v="102"/>
    <n v="0"/>
    <s v="Atlanta Hawks"/>
    <n v="112"/>
    <n v="122"/>
    <n v="1"/>
    <n v="226"/>
    <n v="224"/>
    <n v="0"/>
    <n v="-2"/>
    <n v="20"/>
    <n v="0"/>
    <n v="45"/>
    <s v="nov"/>
  </r>
  <r>
    <x v="18"/>
    <s v="Chicago Bulls @ Cleveland Cavaliers"/>
    <s v="Chicago Bulls"/>
    <n v="118"/>
    <n v="122"/>
    <n v="1"/>
    <s v="Cleveland Cavaliers"/>
    <n v="125"/>
    <n v="128"/>
    <n v="1"/>
    <n v="243"/>
    <n v="250"/>
    <n v="1"/>
    <n v="7"/>
    <n v="6"/>
    <n v="1"/>
    <n v="45"/>
    <s v="nov"/>
  </r>
  <r>
    <x v="18"/>
    <s v="Portland Trail Blazers @ Miami Heat"/>
    <s v="Portland Trail Blazers"/>
    <n v="114"/>
    <n v="131"/>
    <n v="1"/>
    <s v="Miami Heat"/>
    <n v="110"/>
    <n v="136"/>
    <n v="1"/>
    <n v="224"/>
    <n v="267"/>
    <n v="1"/>
    <n v="-4"/>
    <n v="5"/>
    <n v="0"/>
    <n v="45"/>
    <s v="nov"/>
  </r>
  <r>
    <x v="18"/>
    <s v="New Orleans Pelicans @ San Antonio Spurs"/>
    <s v="New Orleans Pelicans"/>
    <n v="110"/>
    <n v="119"/>
    <n v="1"/>
    <s v="San Antonio Spurs"/>
    <n v="115"/>
    <n v="126"/>
    <n v="1"/>
    <n v="225"/>
    <n v="245"/>
    <n v="1"/>
    <n v="5"/>
    <n v="7"/>
    <n v="1"/>
    <n v="45"/>
    <s v="nov"/>
  </r>
  <r>
    <x v="18"/>
    <s v="Indiana Pacers @ Denver Nuggets"/>
    <s v="Indiana Pacers"/>
    <n v="112"/>
    <n v="100"/>
    <n v="0"/>
    <s v="Denver Nuggets"/>
    <n v="115"/>
    <n v="117"/>
    <n v="1"/>
    <n v="227"/>
    <n v="217"/>
    <n v="0"/>
    <n v="3"/>
    <n v="17"/>
    <n v="1"/>
    <n v="45"/>
    <s v="nov"/>
  </r>
  <r>
    <x v="18"/>
    <s v="Phoenix Suns @ LA Clippers"/>
    <s v="Phoenix Suns"/>
    <n v="103"/>
    <n v="114"/>
    <n v="1"/>
    <s v="LA Clippers"/>
    <n v="112"/>
    <n v="103"/>
    <n v="0"/>
    <n v="215"/>
    <n v="217"/>
    <n v="1"/>
    <n v="9"/>
    <n v="-11"/>
    <n v="0"/>
    <n v="45"/>
    <s v="nov"/>
  </r>
  <r>
    <x v="19"/>
    <s v="Houston Rockets @ Milwaukee Bucks"/>
    <s v="Houston Rockets"/>
    <n v="123"/>
    <n v="122"/>
    <n v="0"/>
    <s v="Milwaukee Bucks"/>
    <n v="117"/>
    <n v="115"/>
    <n v="0"/>
    <n v="240"/>
    <n v="237"/>
    <n v="0"/>
    <n v="-6"/>
    <n v="-7"/>
    <n v="1"/>
    <n v="45"/>
    <s v="nov"/>
  </r>
  <r>
    <x v="19"/>
    <s v="Brooklyn Nets @ New York Knicks"/>
    <s v="Brooklyn Nets"/>
    <n v="105"/>
    <n v="98"/>
    <n v="0"/>
    <s v="New York Knicks"/>
    <n v="115"/>
    <n v="134"/>
    <n v="1"/>
    <n v="220"/>
    <n v="232"/>
    <n v="1"/>
    <n v="10"/>
    <n v="36"/>
    <n v="1"/>
    <n v="45"/>
    <s v="nov"/>
  </r>
  <r>
    <x v="19"/>
    <s v="Boston Celtics @ Orlando Magic"/>
    <s v="Boston Celtics"/>
    <n v="96"/>
    <n v="111"/>
    <n v="1"/>
    <s v="Orlando Magic"/>
    <n v="114"/>
    <n v="107"/>
    <n v="0"/>
    <n v="210"/>
    <n v="218"/>
    <n v="1"/>
    <n v="18"/>
    <n v="-4"/>
    <n v="0"/>
    <n v="45"/>
    <s v="nov"/>
  </r>
  <r>
    <x v="19"/>
    <s v="Oklahoma City Thunder @ Memphis Grizzlies"/>
    <s v="Oklahoma City Thunder"/>
    <n v="117"/>
    <n v="114"/>
    <n v="0"/>
    <s v="Memphis Grizzlies"/>
    <n v="121"/>
    <n v="100"/>
    <n v="0"/>
    <n v="238"/>
    <n v="214"/>
    <n v="0"/>
    <n v="4"/>
    <n v="-14"/>
    <n v="0"/>
    <n v="45"/>
    <s v="nov"/>
  </r>
  <r>
    <x v="19"/>
    <s v="Detroit Pistons @ Philadelphia 76ers"/>
    <s v="Detroit Pistons"/>
    <n v="116"/>
    <n v="111"/>
    <n v="0"/>
    <s v="Philadelphia 76ers"/>
    <n v="110"/>
    <n v="108"/>
    <n v="0"/>
    <n v="226"/>
    <n v="219"/>
    <n v="0"/>
    <n v="-6"/>
    <n v="-3"/>
    <n v="1"/>
    <n v="45"/>
    <s v="nov"/>
  </r>
  <r>
    <x v="19"/>
    <s v="Indiana Pacers @ Golden State Warriors"/>
    <s v="Indiana Pacers"/>
    <n v="108"/>
    <n v="83"/>
    <n v="0"/>
    <s v="Golden State Warriors"/>
    <n v="118"/>
    <n v="114"/>
    <n v="0"/>
    <n v="226"/>
    <n v="197"/>
    <n v="0"/>
    <n v="10"/>
    <n v="31"/>
    <n v="1"/>
    <n v="45"/>
    <s v="nov"/>
  </r>
  <r>
    <x v="19"/>
    <s v="Minnesota Timberwolves @ Sacramento Kings"/>
    <s v="Minnesota Timberwolves"/>
    <n v="117"/>
    <n v="144"/>
    <n v="1"/>
    <s v="Sacramento Kings"/>
    <n v="110"/>
    <n v="117"/>
    <n v="1"/>
    <n v="227"/>
    <n v="261"/>
    <n v="1"/>
    <n v="-7"/>
    <n v="-27"/>
    <n v="1"/>
    <n v="45"/>
    <s v="nov"/>
  </r>
  <r>
    <x v="20"/>
    <s v="Los Angeles Lakers @ Charlotte Hornets"/>
    <s v="Los Angeles Lakers"/>
    <n v="128"/>
    <n v="121"/>
    <n v="0"/>
    <s v="Charlotte Hornets"/>
    <n v="116"/>
    <n v="111"/>
    <n v="0"/>
    <n v="244"/>
    <n v="232"/>
    <n v="0"/>
    <n v="-12"/>
    <n v="-10"/>
    <n v="1"/>
    <n v="46"/>
    <s v="nov"/>
  </r>
  <r>
    <x v="20"/>
    <s v="Washington Wizards @ Detroit Pistons"/>
    <s v="Washington Wizards"/>
    <n v="115"/>
    <n v="135"/>
    <n v="1"/>
    <s v="Detroit Pistons"/>
    <n v="111"/>
    <n v="137"/>
    <n v="1"/>
    <n v="226"/>
    <n v="272"/>
    <n v="1"/>
    <n v="-4"/>
    <n v="2"/>
    <n v="0"/>
    <n v="46"/>
    <s v="nov"/>
  </r>
  <r>
    <x v="20"/>
    <s v="Portland Trail Blazers @ Orlando Magic"/>
    <s v="Portland Trail Blazers"/>
    <n v="97"/>
    <n v="112"/>
    <n v="1"/>
    <s v="Orlando Magic"/>
    <n v="106"/>
    <n v="115"/>
    <n v="1"/>
    <n v="203"/>
    <n v="227"/>
    <n v="1"/>
    <n v="9"/>
    <n v="3"/>
    <n v="1"/>
    <n v="46"/>
    <s v="nov"/>
  </r>
  <r>
    <x v="20"/>
    <s v="Cleveland Cavaliers @ Miami Heat"/>
    <s v="Cleveland Cavaliers"/>
    <n v="113"/>
    <n v="138"/>
    <n v="1"/>
    <s v="Miami Heat"/>
    <n v="119"/>
    <n v="140"/>
    <n v="1"/>
    <n v="232"/>
    <n v="278"/>
    <n v="1"/>
    <n v="6"/>
    <n v="2"/>
    <n v="1"/>
    <n v="46"/>
    <s v="nov"/>
  </r>
  <r>
    <x v="20"/>
    <s v="San Antonio Spurs @ Chicago Bulls"/>
    <s v="San Antonio Spurs"/>
    <n v="121"/>
    <n v="121"/>
    <n v="0"/>
    <s v="Chicago Bulls"/>
    <n v="109"/>
    <n v="117"/>
    <n v="1"/>
    <n v="230"/>
    <n v="238"/>
    <n v="1"/>
    <n v="-12"/>
    <n v="-4"/>
    <n v="1"/>
    <n v="46"/>
    <s v="nov"/>
  </r>
  <r>
    <x v="20"/>
    <s v="Milwaukee Bucks @ Dallas Mavericks"/>
    <s v="Milwaukee Bucks"/>
    <n v="114"/>
    <n v="116"/>
    <n v="1"/>
    <s v="Dallas Mavericks"/>
    <n v="117"/>
    <n v="114"/>
    <n v="0"/>
    <n v="231"/>
    <n v="230"/>
    <n v="0"/>
    <n v="3"/>
    <n v="-2"/>
    <n v="0"/>
    <n v="46"/>
    <s v="nov"/>
  </r>
  <r>
    <x v="20"/>
    <s v="New Orleans Pelicans @ Phoenix Suns"/>
    <s v="New Orleans Pelicans"/>
    <n v="118"/>
    <n v="98"/>
    <n v="0"/>
    <s v="Phoenix Suns"/>
    <n v="108"/>
    <n v="121"/>
    <n v="1"/>
    <n v="226"/>
    <n v="219"/>
    <n v="0"/>
    <n v="-10"/>
    <n v="23"/>
    <n v="0"/>
    <n v="46"/>
    <s v="nov"/>
  </r>
  <r>
    <x v="20"/>
    <s v="Minnesota Timberwolves @ Utah Jazz"/>
    <s v="Minnesota Timberwolves"/>
    <n v="106"/>
    <n v="120"/>
    <n v="1"/>
    <s v="Utah Jazz"/>
    <n v="111"/>
    <n v="113"/>
    <n v="1"/>
    <n v="217"/>
    <n v="233"/>
    <n v="1"/>
    <n v="5"/>
    <n v="-7"/>
    <n v="0"/>
    <n v="46"/>
    <s v="nov"/>
  </r>
  <r>
    <x v="20"/>
    <s v="Atlanta Hawks @ LA Clippers"/>
    <s v="Atlanta Hawks"/>
    <n v="110"/>
    <n v="105"/>
    <n v="0"/>
    <s v="LA Clippers"/>
    <n v="117"/>
    <n v="102"/>
    <n v="0"/>
    <n v="227"/>
    <n v="207"/>
    <n v="0"/>
    <n v="7"/>
    <n v="-3"/>
    <n v="0"/>
    <n v="46"/>
    <s v="nov"/>
  </r>
  <r>
    <x v="21"/>
    <s v="Toronto Raptors @ Brooklyn Nets"/>
    <s v="Toronto Raptors"/>
    <n v="128"/>
    <n v="119"/>
    <n v="0"/>
    <s v="Brooklyn Nets"/>
    <n v="116"/>
    <n v="109"/>
    <n v="0"/>
    <n v="244"/>
    <n v="228"/>
    <n v="0"/>
    <n v="-12"/>
    <n v="-10"/>
    <n v="1"/>
    <n v="46"/>
    <s v="nov"/>
  </r>
  <r>
    <x v="21"/>
    <s v="Memphis Grizzlies @ New York Knicks"/>
    <s v="Memphis Grizzlies"/>
    <n v="112"/>
    <n v="120"/>
    <n v="1"/>
    <s v="New York Knicks"/>
    <n v="120"/>
    <n v="133"/>
    <n v="1"/>
    <n v="232"/>
    <n v="253"/>
    <n v="1"/>
    <n v="8"/>
    <n v="13"/>
    <n v="1"/>
    <n v="46"/>
    <s v="nov"/>
  </r>
  <r>
    <x v="21"/>
    <s v="Boston Celtics @ Philadelphia 76ers"/>
    <s v="Boston Celtics"/>
    <n v="107"/>
    <n v="100"/>
    <n v="0"/>
    <s v="Philadelphia 76ers"/>
    <n v="105"/>
    <n v="102"/>
    <n v="0"/>
    <n v="212"/>
    <n v="202"/>
    <n v="0"/>
    <n v="-2"/>
    <n v="2"/>
    <n v="0"/>
    <n v="46"/>
    <s v="nov"/>
  </r>
  <r>
    <x v="21"/>
    <s v="Golden State Warriors @ Oklahoma City Thunder"/>
    <s v="Golden State Warriors"/>
    <n v="113"/>
    <n v="102"/>
    <n v="0"/>
    <s v="Oklahoma City Thunder"/>
    <n v="121"/>
    <n v="126"/>
    <n v="1"/>
    <n v="234"/>
    <n v="228"/>
    <n v="0"/>
    <n v="8"/>
    <n v="24"/>
    <n v="1"/>
    <n v="46"/>
    <s v="nov"/>
  </r>
  <r>
    <x v="21"/>
    <s v="Indiana Pacers @ Utah Jazz"/>
    <s v="Indiana Pacers"/>
    <n v="115"/>
    <n v="128"/>
    <n v="1"/>
    <s v="Utah Jazz"/>
    <n v="111"/>
    <n v="152"/>
    <n v="1"/>
    <n v="226"/>
    <n v="280"/>
    <n v="1"/>
    <n v="-4"/>
    <n v="24"/>
    <n v="0"/>
    <n v="46"/>
    <s v="nov"/>
  </r>
  <r>
    <x v="21"/>
    <s v="Denver Nuggets @ Sacramento Kings"/>
    <s v="Denver Nuggets"/>
    <n v="112"/>
    <n v="122"/>
    <n v="1"/>
    <s v="Sacramento Kings"/>
    <n v="115"/>
    <n v="108"/>
    <n v="0"/>
    <n v="227"/>
    <n v="230"/>
    <n v="1"/>
    <n v="3"/>
    <n v="-14"/>
    <n v="0"/>
    <n v="46"/>
    <s v="nov"/>
  </r>
  <r>
    <x v="22"/>
    <s v="Milwaukee Bucks @ Charlotte Hornets"/>
    <s v="Milwaukee Bucks"/>
    <n v="130"/>
    <n v="100"/>
    <n v="0"/>
    <s v="Charlotte Hornets"/>
    <n v="116"/>
    <n v="111"/>
    <n v="0"/>
    <n v="246"/>
    <n v="211"/>
    <n v="0"/>
    <n v="-14"/>
    <n v="11"/>
    <n v="0"/>
    <n v="46"/>
    <s v="nov"/>
  </r>
  <r>
    <x v="22"/>
    <s v="Chicago Bulls @ Detroit Pistons"/>
    <s v="Chicago Bulls"/>
    <n v="116"/>
    <n v="113"/>
    <n v="0"/>
    <s v="Detroit Pistons"/>
    <n v="119"/>
    <n v="124"/>
    <n v="1"/>
    <n v="235"/>
    <n v="237"/>
    <n v="1"/>
    <n v="3"/>
    <n v="11"/>
    <n v="1"/>
    <n v="46"/>
    <s v="nov"/>
  </r>
  <r>
    <x v="22"/>
    <s v="Orlando Magic @ New York Knicks"/>
    <s v="Orlando Magic"/>
    <n v="105"/>
    <n v="124"/>
    <n v="1"/>
    <s v="New York Knicks"/>
    <n v="109"/>
    <n v="107"/>
    <n v="0"/>
    <n v="214"/>
    <n v="231"/>
    <n v="1"/>
    <n v="4"/>
    <n v="-17"/>
    <n v="0"/>
    <n v="46"/>
    <s v="nov"/>
  </r>
  <r>
    <x v="22"/>
    <s v="Memphis Grizzlies @ Boston Celtics"/>
    <s v="Memphis Grizzlies"/>
    <n v="110"/>
    <n v="95"/>
    <n v="0"/>
    <s v="Boston Celtics"/>
    <n v="126"/>
    <n v="131"/>
    <n v="1"/>
    <n v="236"/>
    <n v="226"/>
    <n v="0"/>
    <n v="16"/>
    <n v="36"/>
    <n v="1"/>
    <n v="46"/>
    <s v="nov"/>
  </r>
  <r>
    <x v="22"/>
    <s v="Cleveland Cavaliers @ Miami Heat"/>
    <s v="Cleveland Cavaliers"/>
    <n v="105"/>
    <n v="130"/>
    <n v="1"/>
    <s v="Miami Heat"/>
    <n v="111"/>
    <n v="116"/>
    <n v="1"/>
    <n v="216"/>
    <n v="246"/>
    <n v="1"/>
    <n v="6"/>
    <n v="-14"/>
    <n v="0"/>
    <n v="46"/>
    <s v="nov"/>
  </r>
  <r>
    <x v="22"/>
    <s v="Washington Wizards @ Houston Rockets"/>
    <s v="Washington Wizards"/>
    <n v="110"/>
    <n v="112"/>
    <n v="1"/>
    <s v="Houston Rockets"/>
    <n v="113"/>
    <n v="135"/>
    <n v="1"/>
    <n v="223"/>
    <n v="247"/>
    <n v="1"/>
    <n v="3"/>
    <n v="23"/>
    <n v="1"/>
    <n v="46"/>
    <s v="nov"/>
  </r>
  <r>
    <x v="22"/>
    <s v="Portland Trail Blazers @ New Orleans Pelicans"/>
    <s v="Portland Trail Blazers"/>
    <n v="112"/>
    <n v="125"/>
    <n v="1"/>
    <s v="New Orleans Pelicans"/>
    <n v="116"/>
    <n v="117"/>
    <n v="1"/>
    <n v="228"/>
    <n v="242"/>
    <n v="1"/>
    <n v="4"/>
    <n v="-8"/>
    <n v="0"/>
    <n v="46"/>
    <s v="nov"/>
  </r>
  <r>
    <x v="22"/>
    <s v="Golden State Warriors @ San Antonio Spurs"/>
    <s v="Golden State Warriors"/>
    <n v="105"/>
    <n v="125"/>
    <n v="1"/>
    <s v="San Antonio Spurs"/>
    <n v="115"/>
    <n v="120"/>
    <n v="1"/>
    <n v="220"/>
    <n v="245"/>
    <n v="1"/>
    <n v="10"/>
    <n v="-5"/>
    <n v="0"/>
    <n v="46"/>
    <s v="nov"/>
  </r>
  <r>
    <x v="22"/>
    <s v="Phoenix Suns @ Dallas Mavericks"/>
    <s v="Phoenix Suns"/>
    <n v="126"/>
    <n v="123"/>
    <n v="0"/>
    <s v="Dallas Mavericks"/>
    <n v="118"/>
    <n v="114"/>
    <n v="0"/>
    <n v="244"/>
    <n v="237"/>
    <n v="0"/>
    <n v="-8"/>
    <n v="-9"/>
    <n v="1"/>
    <n v="46"/>
    <s v="nov"/>
  </r>
  <r>
    <x v="22"/>
    <s v="Los Angeles Lakers @ Oklahoma City Thunder"/>
    <s v="Los Angeles Lakers"/>
    <n v="110"/>
    <n v="92"/>
    <n v="0"/>
    <s v="Oklahoma City Thunder"/>
    <n v="124"/>
    <n v="121"/>
    <n v="0"/>
    <n v="234"/>
    <n v="213"/>
    <n v="0"/>
    <n v="14"/>
    <n v="29"/>
    <n v="1"/>
    <n v="46"/>
    <s v="nov"/>
  </r>
  <r>
    <x v="22"/>
    <s v="Atlanta Hawks @ Sacramento Kings"/>
    <s v="Atlanta Hawks"/>
    <n v="113"/>
    <n v="133"/>
    <n v="1"/>
    <s v="Sacramento Kings"/>
    <n v="124"/>
    <n v="100"/>
    <n v="0"/>
    <n v="237"/>
    <n v="233"/>
    <n v="0"/>
    <n v="11"/>
    <n v="-33"/>
    <n v="0"/>
    <n v="46"/>
    <s v="nov"/>
  </r>
  <r>
    <x v="22"/>
    <s v="Denver Nuggets @ LA Clippers"/>
    <s v="Denver Nuggets"/>
    <n v="114"/>
    <n v="130"/>
    <n v="1"/>
    <s v="LA Clippers"/>
    <n v="104"/>
    <n v="116"/>
    <n v="1"/>
    <n v="218"/>
    <n v="246"/>
    <n v="1"/>
    <n v="-10"/>
    <n v="-14"/>
    <n v="1"/>
    <n v="46"/>
    <s v="nov"/>
  </r>
  <r>
    <x v="23"/>
    <s v="Toronto Raptors @ Cleveland Cavaliers"/>
    <s v="Toronto Raptors"/>
    <n v="128"/>
    <n v="126"/>
    <n v="0"/>
    <s v="Cleveland Cavaliers"/>
    <n v="123"/>
    <n v="113"/>
    <n v="0"/>
    <n v="251"/>
    <n v="239"/>
    <n v="0"/>
    <n v="-5"/>
    <n v="-13"/>
    <n v="1"/>
    <n v="46"/>
    <s v="nov"/>
  </r>
  <r>
    <x v="23"/>
    <s v="Indiana Pacers @ Phoenix Suns"/>
    <s v="Indiana Pacers"/>
    <n v="112"/>
    <n v="98"/>
    <n v="0"/>
    <s v="Phoenix Suns"/>
    <n v="118"/>
    <n v="133"/>
    <n v="1"/>
    <n v="230"/>
    <n v="231"/>
    <n v="1"/>
    <n v="6"/>
    <n v="35"/>
    <n v="1"/>
    <n v="46"/>
    <s v="nov"/>
  </r>
  <r>
    <x v="23"/>
    <s v="Atlanta Hawks @ Utah Jazz"/>
    <s v="Atlanta Hawks"/>
    <n v="111"/>
    <n v="132"/>
    <n v="1"/>
    <s v="Utah Jazz"/>
    <n v="117"/>
    <n v="122"/>
    <n v="1"/>
    <n v="228"/>
    <n v="254"/>
    <n v="1"/>
    <n v="6"/>
    <n v="-10"/>
    <n v="0"/>
    <n v="46"/>
    <s v="nov"/>
  </r>
  <r>
    <x v="24"/>
    <s v="Miami Heat @ New York Knicks"/>
    <s v="Miami Heat"/>
    <n v="125"/>
    <n v="132"/>
    <n v="1"/>
    <s v="New York Knicks"/>
    <n v="118"/>
    <n v="140"/>
    <n v="1"/>
    <n v="243"/>
    <n v="272"/>
    <n v="1"/>
    <n v="-7"/>
    <n v="8"/>
    <n v="0"/>
    <n v="46"/>
    <s v="nov"/>
  </r>
  <r>
    <x v="24"/>
    <s v="Brooklyn Nets @ Orlando Magic"/>
    <s v="Brooklyn Nets"/>
    <n v="105"/>
    <n v="98"/>
    <n v="0"/>
    <s v="Orlando Magic"/>
    <n v="110"/>
    <n v="105"/>
    <n v="0"/>
    <n v="215"/>
    <n v="203"/>
    <n v="0"/>
    <n v="5"/>
    <n v="7"/>
    <n v="1"/>
    <n v="46"/>
    <s v="nov"/>
  </r>
  <r>
    <x v="24"/>
    <s v="Philadelphia 76ers @ Detroit Pistons"/>
    <s v="Philadelphia 76ers"/>
    <n v="113"/>
    <n v="105"/>
    <n v="0"/>
    <s v="Detroit Pistons"/>
    <n v="109"/>
    <n v="114"/>
    <n v="1"/>
    <n v="222"/>
    <n v="219"/>
    <n v="0"/>
    <n v="-4"/>
    <n v="9"/>
    <n v="0"/>
    <n v="46"/>
    <s v="nov"/>
  </r>
  <r>
    <x v="24"/>
    <s v="Portland Trail Blazers @ Houston Rockets"/>
    <s v="Portland Trail Blazers"/>
    <n v="116"/>
    <n v="116"/>
    <n v="0"/>
    <s v="Houston Rockets"/>
    <n v="122"/>
    <n v="140"/>
    <n v="1"/>
    <n v="238"/>
    <n v="256"/>
    <n v="1"/>
    <n v="6"/>
    <n v="24"/>
    <n v="1"/>
    <n v="46"/>
    <s v="nov"/>
  </r>
  <r>
    <x v="24"/>
    <s v="Charlotte Hornets @ Milwaukee Bucks"/>
    <s v="Charlotte Hornets"/>
    <n v="105"/>
    <n v="134"/>
    <n v="1"/>
    <s v="Milwaukee Bucks"/>
    <n v="117"/>
    <n v="147"/>
    <n v="1"/>
    <n v="222"/>
    <n v="281"/>
    <n v="1"/>
    <n v="12"/>
    <n v="13"/>
    <n v="1"/>
    <n v="46"/>
    <s v="nov"/>
  </r>
  <r>
    <x v="24"/>
    <s v="Sacramento Kings @ Minnesota Timberwolves"/>
    <s v="Sacramento Kings"/>
    <n v="112"/>
    <n v="110"/>
    <n v="0"/>
    <s v="Minnesota Timberwolves"/>
    <n v="117"/>
    <n v="124"/>
    <n v="1"/>
    <n v="229"/>
    <n v="234"/>
    <n v="1"/>
    <n v="5"/>
    <n v="14"/>
    <n v="1"/>
    <n v="46"/>
    <s v="nov"/>
  </r>
  <r>
    <x v="24"/>
    <s v="Los Angeles Lakers @ New Orleans Pelicans"/>
    <s v="Los Angeles Lakers"/>
    <n v="110"/>
    <n v="118"/>
    <n v="1"/>
    <s v="New Orleans Pelicans"/>
    <n v="114"/>
    <n v="104"/>
    <n v="0"/>
    <n v="224"/>
    <n v="222"/>
    <n v="0"/>
    <n v="4"/>
    <n v="-14"/>
    <n v="0"/>
    <n v="46"/>
    <s v="nov"/>
  </r>
  <r>
    <x v="24"/>
    <s v="LA Clippers @ Dallas Mavericks"/>
    <s v="LA Clippers"/>
    <n v="105"/>
    <n v="133"/>
    <n v="1"/>
    <s v="Dallas Mavericks"/>
    <n v="111"/>
    <n v="127"/>
    <n v="1"/>
    <n v="216"/>
    <n v="260"/>
    <n v="1"/>
    <n v="6"/>
    <n v="-6"/>
    <n v="0"/>
    <n v="46"/>
    <s v="nov"/>
  </r>
  <r>
    <x v="24"/>
    <s v="Golden State Warriors @ San Antonio Spurs"/>
    <s v="Golden State Warriors"/>
    <n v="125"/>
    <n v="109"/>
    <n v="0"/>
    <s v="San Antonio Spurs"/>
    <n v="119"/>
    <n v="108"/>
    <n v="0"/>
    <n v="244"/>
    <n v="217"/>
    <n v="0"/>
    <n v="-6"/>
    <n v="-1"/>
    <n v="1"/>
    <n v="46"/>
    <s v="nov"/>
  </r>
  <r>
    <x v="25"/>
    <s v="Memphis Grizzlies @ Cleveland Cavaliers"/>
    <s v="Memphis Grizzlies"/>
    <n v="124"/>
    <n v="100"/>
    <n v="0"/>
    <s v="Cleveland Cavaliers"/>
    <n v="122"/>
    <n v="108"/>
    <n v="0"/>
    <n v="246"/>
    <n v="208"/>
    <n v="0"/>
    <n v="-2"/>
    <n v="8"/>
    <n v="0"/>
    <n v="46"/>
    <s v="nov"/>
  </r>
  <r>
    <x v="25"/>
    <s v="Oklahoma City Thunder @ Charlotte Hornets"/>
    <s v="Oklahoma City Thunder"/>
    <n v="118"/>
    <n v="109"/>
    <n v="0"/>
    <s v="Charlotte Hornets"/>
    <n v="114"/>
    <n v="96"/>
    <n v="0"/>
    <n v="232"/>
    <n v="205"/>
    <n v="0"/>
    <n v="-4"/>
    <n v="-13"/>
    <n v="1"/>
    <n v="46"/>
    <s v="nov"/>
  </r>
  <r>
    <x v="25"/>
    <s v="Toronto Raptors @ Indiana Pacers"/>
    <s v="Toronto Raptors"/>
    <n v="113"/>
    <n v="129"/>
    <n v="1"/>
    <s v="Indiana Pacers"/>
    <n v="113"/>
    <n v="111"/>
    <n v="0"/>
    <n v="226"/>
    <n v="240"/>
    <n v="1"/>
    <n v="0"/>
    <n v="-18"/>
    <n v="0"/>
    <n v="46"/>
    <s v="nov"/>
  </r>
  <r>
    <x v="25"/>
    <s v="Los Angeles Lakers @ Milwaukee Bucks"/>
    <s v="Los Angeles Lakers"/>
    <n v="114"/>
    <n v="119"/>
    <n v="1"/>
    <s v="Milwaukee Bucks"/>
    <n v="124"/>
    <n v="95"/>
    <n v="0"/>
    <n v="238"/>
    <n v="214"/>
    <n v="0"/>
    <n v="10"/>
    <n v="-24"/>
    <n v="0"/>
    <n v="46"/>
    <s v="nov"/>
  </r>
  <r>
    <x v="25"/>
    <s v="Denver Nuggets @ Minnesota Timberwolves"/>
    <s v="Denver Nuggets"/>
    <n v="120"/>
    <n v="123"/>
    <n v="1"/>
    <s v="Minnesota Timberwolves"/>
    <n v="109"/>
    <n v="112"/>
    <n v="1"/>
    <n v="229"/>
    <n v="235"/>
    <n v="1"/>
    <n v="-11"/>
    <n v="-11"/>
    <n v="1"/>
    <n v="46"/>
    <s v="nov"/>
  </r>
  <r>
    <x v="26"/>
    <s v="LA Clippers @ Boston Celtics"/>
    <s v="LA Clippers"/>
    <n v="118"/>
    <n v="118"/>
    <n v="0"/>
    <s v="Boston Celtics"/>
    <n v="113"/>
    <n v="121"/>
    <n v="1"/>
    <n v="231"/>
    <n v="239"/>
    <n v="1"/>
    <n v="-5"/>
    <n v="3"/>
    <n v="0"/>
    <n v="46"/>
    <s v="nov"/>
  </r>
  <r>
    <x v="26"/>
    <s v="Sacramento Kings @ San Antonio Spurs"/>
    <s v="Sacramento Kings"/>
    <n v="111"/>
    <n v="110"/>
    <n v="0"/>
    <s v="San Antonio Spurs"/>
    <n v="120"/>
    <n v="123"/>
    <n v="1"/>
    <n v="231"/>
    <n v="233"/>
    <n v="1"/>
    <n v="9"/>
    <n v="13"/>
    <n v="1"/>
    <n v="46"/>
    <s v="nov"/>
  </r>
  <r>
    <x v="26"/>
    <s v="Brooklyn Nets @ Washington Wizards"/>
    <s v="Brooklyn Nets"/>
    <n v="98"/>
    <n v="129"/>
    <n v="1"/>
    <s v="Washington Wizards"/>
    <n v="123"/>
    <n v="106"/>
    <n v="0"/>
    <n v="221"/>
    <n v="235"/>
    <n v="1"/>
    <n v="25"/>
    <n v="-23"/>
    <n v="0"/>
    <n v="46"/>
    <s v="nov"/>
  </r>
  <r>
    <x v="26"/>
    <s v="Orlando Magic @ Houston Rockets"/>
    <s v="Orlando Magic"/>
    <n v="111"/>
    <n v="113"/>
    <n v="1"/>
    <s v="Houston Rockets"/>
    <n v="119"/>
    <n v="117"/>
    <n v="0"/>
    <n v="230"/>
    <n v="230"/>
    <n v="0"/>
    <n v="8"/>
    <n v="4"/>
    <n v="1"/>
    <n v="46"/>
    <s v="nov"/>
  </r>
  <r>
    <x v="26"/>
    <s v="Golden State Warriors @ New Orleans Pelicans"/>
    <s v="Golden State Warriors"/>
    <n v="117"/>
    <n v="124"/>
    <n v="1"/>
    <s v="New Orleans Pelicans"/>
    <n v="108"/>
    <n v="106"/>
    <n v="0"/>
    <n v="225"/>
    <n v="230"/>
    <n v="1"/>
    <n v="-9"/>
    <n v="-18"/>
    <n v="1"/>
    <n v="46"/>
    <s v="nov"/>
  </r>
  <r>
    <x v="26"/>
    <s v="Portland Trail Blazers @ Dallas Mavericks"/>
    <s v="Portland Trail Blazers"/>
    <n v="115"/>
    <n v="133"/>
    <n v="1"/>
    <s v="Dallas Mavericks"/>
    <n v="117"/>
    <n v="138"/>
    <n v="1"/>
    <n v="232"/>
    <n v="271"/>
    <n v="1"/>
    <n v="2"/>
    <n v="5"/>
    <n v="1"/>
    <n v="46"/>
    <s v="nov"/>
  </r>
  <r>
    <x v="26"/>
    <s v="Atlanta Hawks @ Phoenix Suns"/>
    <s v="Atlanta Hawks"/>
    <n v="120"/>
    <n v="124"/>
    <n v="1"/>
    <s v="Phoenix Suns"/>
    <n v="115"/>
    <n v="122"/>
    <n v="1"/>
    <n v="235"/>
    <n v="246"/>
    <n v="1"/>
    <n v="-5"/>
    <n v="-2"/>
    <n v="1"/>
    <n v="46"/>
    <s v="nov"/>
  </r>
  <r>
    <x v="26"/>
    <s v="Chicago Bulls @ Utah Jazz"/>
    <s v="Chicago Bulls"/>
    <n v="107"/>
    <n v="147"/>
    <n v="1"/>
    <s v="Utah Jazz"/>
    <n v="114"/>
    <n v="150"/>
    <n v="1"/>
    <n v="221"/>
    <n v="297"/>
    <n v="1"/>
    <n v="7"/>
    <n v="3"/>
    <n v="1"/>
    <n v="46"/>
    <s v="nov"/>
  </r>
  <r>
    <x v="27"/>
    <s v="Milwaukee Bucks @ Cleveland Cavaliers"/>
    <s v="Milwaukee Bucks"/>
    <n v="127"/>
    <n v="106"/>
    <n v="0"/>
    <s v="Cleveland Cavaliers"/>
    <n v="120"/>
    <n v="118"/>
    <n v="0"/>
    <n v="247"/>
    <n v="224"/>
    <n v="0"/>
    <n v="-7"/>
    <n v="12"/>
    <n v="0"/>
    <n v="47"/>
    <s v="nov"/>
  </r>
  <r>
    <x v="27"/>
    <s v="Indiana Pacers @ Detroit Pistons"/>
    <s v="Indiana Pacers"/>
    <n v="113"/>
    <n v="112"/>
    <n v="0"/>
    <s v="Detroit Pistons"/>
    <n v="117"/>
    <n v="127"/>
    <n v="1"/>
    <n v="230"/>
    <n v="239"/>
    <n v="1"/>
    <n v="4"/>
    <n v="15"/>
    <n v="1"/>
    <n v="47"/>
    <s v="nov"/>
  </r>
  <r>
    <x v="27"/>
    <s v="LA Clippers @ Philadelphia 76ers"/>
    <s v="LA Clippers"/>
    <n v="108"/>
    <n v="108"/>
    <n v="0"/>
    <s v="Philadelphia 76ers"/>
    <n v="110"/>
    <n v="110"/>
    <n v="0"/>
    <n v="218"/>
    <n v="218"/>
    <n v="0"/>
    <n v="2"/>
    <n v="2"/>
    <n v="1"/>
    <n v="47"/>
    <s v="nov"/>
  </r>
  <r>
    <x v="27"/>
    <s v="New York Knicks @ Miami Heat"/>
    <s v="New York Knicks"/>
    <n v="111"/>
    <n v="113"/>
    <n v="1"/>
    <s v="Miami Heat"/>
    <n v="118"/>
    <n v="115"/>
    <n v="0"/>
    <n v="229"/>
    <n v="228"/>
    <n v="0"/>
    <n v="7"/>
    <n v="2"/>
    <n v="1"/>
    <n v="47"/>
    <s v="nov"/>
  </r>
  <r>
    <x v="27"/>
    <s v="Charlotte Hornets @ Toronto Raptors"/>
    <s v="Charlotte Hornets"/>
    <n v="103"/>
    <n v="108"/>
    <n v="1"/>
    <s v="Toronto Raptors"/>
    <n v="113"/>
    <n v="110"/>
    <n v="0"/>
    <n v="216"/>
    <n v="218"/>
    <n v="1"/>
    <n v="10"/>
    <n v="2"/>
    <n v="1"/>
    <n v="47"/>
    <s v="nov"/>
  </r>
  <r>
    <x v="27"/>
    <s v="Dallas Mavericks @ Minnesota Timberwolves"/>
    <s v="Dallas Mavericks"/>
    <n v="110"/>
    <n v="96"/>
    <n v="0"/>
    <s v="Minnesota Timberwolves"/>
    <n v="116"/>
    <n v="120"/>
    <n v="1"/>
    <n v="226"/>
    <n v="216"/>
    <n v="0"/>
    <n v="6"/>
    <n v="24"/>
    <n v="1"/>
    <n v="47"/>
    <s v="nov"/>
  </r>
  <r>
    <x v="27"/>
    <s v="Oklahoma City Thunder @ New Orleans Pelicans"/>
    <s v="Oklahoma City Thunder"/>
    <n v="112"/>
    <n v="126"/>
    <n v="1"/>
    <s v="New Orleans Pelicans"/>
    <n v="117"/>
    <n v="109"/>
    <n v="0"/>
    <n v="229"/>
    <n v="235"/>
    <n v="1"/>
    <n v="5"/>
    <n v="-17"/>
    <n v="0"/>
    <n v="47"/>
    <s v="nov"/>
  </r>
  <r>
    <x v="27"/>
    <s v="Chicago Bulls @ Denver Nuggets"/>
    <s v="Chicago Bulls"/>
    <n v="106"/>
    <n v="130"/>
    <n v="1"/>
    <s v="Denver Nuggets"/>
    <n v="121"/>
    <n v="127"/>
    <n v="1"/>
    <n v="227"/>
    <n v="257"/>
    <n v="1"/>
    <n v="15"/>
    <n v="-3"/>
    <n v="0"/>
    <n v="47"/>
    <s v="nov"/>
  </r>
  <r>
    <x v="28"/>
    <s v="Golden State Warriors @ Orlando Magic"/>
    <s v="Golden State Warriors"/>
    <n v="119"/>
    <n v="113"/>
    <n v="0"/>
    <s v="Orlando Magic"/>
    <n v="110"/>
    <n v="121"/>
    <n v="1"/>
    <n v="229"/>
    <n v="234"/>
    <n v="1"/>
    <n v="-9"/>
    <n v="8"/>
    <n v="0"/>
    <n v="47"/>
    <s v="nov"/>
  </r>
  <r>
    <x v="28"/>
    <s v="Boston Celtics @ Brooklyn Nets"/>
    <s v="Boston Celtics"/>
    <n v="114"/>
    <n v="113"/>
    <n v="0"/>
    <s v="Brooklyn Nets"/>
    <n v="110"/>
    <n v="99"/>
    <n v="0"/>
    <n v="224"/>
    <n v="212"/>
    <n v="0"/>
    <n v="-4"/>
    <n v="-14"/>
    <n v="1"/>
    <n v="47"/>
    <s v="nov"/>
  </r>
  <r>
    <x v="28"/>
    <s v="Detroit Pistons @ Atlanta Hawks"/>
    <s v="Detroit Pistons"/>
    <n v="112"/>
    <n v="120"/>
    <n v="1"/>
    <s v="Atlanta Hawks"/>
    <n v="115"/>
    <n v="112"/>
    <n v="0"/>
    <n v="227"/>
    <n v="232"/>
    <n v="1"/>
    <n v="3"/>
    <n v="-8"/>
    <n v="0"/>
    <n v="47"/>
    <s v="nov"/>
  </r>
  <r>
    <x v="28"/>
    <s v="Memphis Grizzlies @ San Antonio Spurs"/>
    <s v="Memphis Grizzlies"/>
    <n v="112"/>
    <n v="101"/>
    <n v="0"/>
    <s v="San Antonio Spurs"/>
    <n v="123"/>
    <n v="111"/>
    <n v="0"/>
    <n v="235"/>
    <n v="212"/>
    <n v="0"/>
    <n v="11"/>
    <n v="10"/>
    <n v="1"/>
    <n v="47"/>
    <s v="nov"/>
  </r>
  <r>
    <x v="28"/>
    <s v="Utah Jazz @ Los Angeles Lakers"/>
    <s v="Utah Jazz"/>
    <n v="104"/>
    <n v="126"/>
    <n v="1"/>
    <s v="Los Angeles Lakers"/>
    <n v="112"/>
    <n v="140"/>
    <n v="1"/>
    <n v="216"/>
    <n v="266"/>
    <n v="1"/>
    <n v="8"/>
    <n v="14"/>
    <n v="1"/>
    <n v="47"/>
    <s v="nov"/>
  </r>
  <r>
    <x v="28"/>
    <s v="Phoenix Suns @ Portland Trail Blazers"/>
    <s v="Phoenix Suns"/>
    <n v="112"/>
    <n v="127"/>
    <n v="1"/>
    <s v="Portland Trail Blazers"/>
    <n v="116"/>
    <n v="110"/>
    <n v="0"/>
    <n v="228"/>
    <n v="237"/>
    <n v="1"/>
    <n v="4"/>
    <n v="-17"/>
    <n v="0"/>
    <n v="47"/>
    <s v="nov"/>
  </r>
  <r>
    <x v="29"/>
    <s v="Houston Rockets @ Cleveland Cavaliers"/>
    <s v="Houston Rockets"/>
    <n v="127"/>
    <n v="114"/>
    <n v="0"/>
    <s v="Cleveland Cavaliers"/>
    <n v="118"/>
    <n v="104"/>
    <n v="0"/>
    <n v="245"/>
    <n v="218"/>
    <n v="0"/>
    <n v="-9"/>
    <n v="-10"/>
    <n v="1"/>
    <n v="47"/>
    <s v="nov"/>
  </r>
  <r>
    <x v="29"/>
    <s v="Charlotte Hornets @ Indiana Pacers"/>
    <s v="Charlotte Hornets"/>
    <n v="115"/>
    <n v="118"/>
    <n v="1"/>
    <s v="Indiana Pacers"/>
    <n v="119"/>
    <n v="127"/>
    <n v="1"/>
    <n v="234"/>
    <n v="245"/>
    <n v="1"/>
    <n v="4"/>
    <n v="9"/>
    <n v="1"/>
    <n v="47"/>
    <s v="nov"/>
  </r>
  <r>
    <x v="29"/>
    <s v="Toronto Raptors @ Philadelphia 76ers"/>
    <s v="Toronto Raptors"/>
    <n v="111"/>
    <n v="121"/>
    <n v="1"/>
    <s v="Philadelphia 76ers"/>
    <n v="115"/>
    <n v="112"/>
    <n v="0"/>
    <n v="226"/>
    <n v="233"/>
    <n v="1"/>
    <n v="4"/>
    <n v="-9"/>
    <n v="0"/>
    <n v="47"/>
    <s v="nov"/>
  </r>
  <r>
    <x v="29"/>
    <s v="Golden State Warriors @ Miami Heat"/>
    <s v="Golden State Warriors"/>
    <n v="110"/>
    <n v="96"/>
    <n v="0"/>
    <s v="Miami Heat"/>
    <n v="119"/>
    <n v="110"/>
    <n v="0"/>
    <n v="229"/>
    <n v="206"/>
    <n v="0"/>
    <n v="9"/>
    <n v="14"/>
    <n v="1"/>
    <n v="47"/>
    <s v="nov"/>
  </r>
  <r>
    <x v="29"/>
    <s v="Washington Wizards @ Minnesota Timberwolves"/>
    <s v="Washington Wizards"/>
    <n v="108"/>
    <n v="109"/>
    <n v="1"/>
    <s v="Minnesota Timberwolves"/>
    <n v="114"/>
    <n v="120"/>
    <n v="1"/>
    <n v="222"/>
    <n v="229"/>
    <n v="1"/>
    <n v="6"/>
    <n v="11"/>
    <n v="1"/>
    <n v="47"/>
    <s v="nov"/>
  </r>
  <r>
    <x v="29"/>
    <s v="Denver Nuggets @ New Orleans Pelicans"/>
    <s v="Denver Nuggets"/>
    <n v="110"/>
    <n v="125"/>
    <n v="1"/>
    <s v="New Orleans Pelicans"/>
    <n v="114"/>
    <n v="118"/>
    <n v="1"/>
    <n v="224"/>
    <n v="243"/>
    <n v="1"/>
    <n v="4"/>
    <n v="-7"/>
    <n v="0"/>
    <n v="47"/>
    <s v="nov"/>
  </r>
  <r>
    <x v="29"/>
    <s v="Sacramento Kings @ Oklahoma City Thunder"/>
    <s v="Sacramento Kings"/>
    <n v="114"/>
    <n v="99"/>
    <n v="0"/>
    <s v="Oklahoma City Thunder"/>
    <n v="121"/>
    <n v="113"/>
    <n v="0"/>
    <n v="235"/>
    <n v="212"/>
    <n v="0"/>
    <n v="7"/>
    <n v="14"/>
    <n v="1"/>
    <n v="47"/>
    <s v="nov"/>
  </r>
  <r>
    <x v="29"/>
    <s v="New York Knicks @ Dallas Mavericks"/>
    <s v="New York Knicks"/>
    <n v="107"/>
    <n v="113"/>
    <n v="1"/>
    <s v="Dallas Mavericks"/>
    <n v="111"/>
    <n v="111"/>
    <n v="0"/>
    <n v="218"/>
    <n v="224"/>
    <n v="1"/>
    <n v="4"/>
    <n v="-2"/>
    <n v="0"/>
    <n v="47"/>
    <s v="nov"/>
  </r>
  <r>
    <x v="29"/>
    <s v="Chicago Bulls @ Portland Trail Blazers"/>
    <s v="Chicago Bulls"/>
    <n v="120"/>
    <n v="122"/>
    <n v="1"/>
    <s v="Portland Trail Blazers"/>
    <n v="117"/>
    <n v="121"/>
    <n v="1"/>
    <n v="237"/>
    <n v="243"/>
    <n v="1"/>
    <n v="-3"/>
    <n v="-1"/>
    <n v="1"/>
    <n v="47"/>
    <s v="nov"/>
  </r>
  <r>
    <x v="30"/>
    <s v="LA Clippers @ Orlando Magic"/>
    <s v="LA Clippers"/>
    <n v="121"/>
    <n v="101"/>
    <n v="0"/>
    <s v="Orlando Magic"/>
    <n v="110"/>
    <n v="129"/>
    <n v="1"/>
    <n v="231"/>
    <n v="230"/>
    <n v="0"/>
    <n v="-11"/>
    <n v="28"/>
    <n v="0"/>
    <n v="47"/>
    <s v="nov"/>
  </r>
  <r>
    <x v="30"/>
    <s v="Sacramento Kings @ Memphis Grizzlies"/>
    <s v="Sacramento Kings"/>
    <n v="115"/>
    <n v="96"/>
    <n v="0"/>
    <s v="Memphis Grizzlies"/>
    <n v="120"/>
    <n v="137"/>
    <n v="1"/>
    <n v="235"/>
    <n v="233"/>
    <n v="0"/>
    <n v="5"/>
    <n v="41"/>
    <n v="1"/>
    <n v="47"/>
    <s v="nov"/>
  </r>
  <r>
    <x v="30"/>
    <s v="Philadelphia 76ers @ Milwaukee Bucks"/>
    <s v="Philadelphia 76ers"/>
    <n v="110"/>
    <n v="123"/>
    <n v="1"/>
    <s v="Milwaukee Bucks"/>
    <n v="115"/>
    <n v="114"/>
    <n v="0"/>
    <n v="225"/>
    <n v="237"/>
    <n v="1"/>
    <n v="5"/>
    <n v="-9"/>
    <n v="0"/>
    <n v="47"/>
    <s v="nov"/>
  </r>
  <r>
    <x v="30"/>
    <s v="Atlanta Hawks @ San Antonio Spurs"/>
    <s v="Atlanta Hawks"/>
    <n v="116"/>
    <n v="126"/>
    <n v="1"/>
    <s v="San Antonio Spurs"/>
    <n v="124"/>
    <n v="135"/>
    <n v="1"/>
    <n v="240"/>
    <n v="261"/>
    <n v="1"/>
    <n v="8"/>
    <n v="9"/>
    <n v="1"/>
    <n v="47"/>
    <s v="nov"/>
  </r>
  <r>
    <x v="31"/>
    <s v="Indiana Pacers @ Cleveland Cavaliers"/>
    <s v="Indiana Pacers"/>
    <n v="123"/>
    <n v="109"/>
    <n v="0"/>
    <s v="Cleveland Cavaliers"/>
    <n v="121"/>
    <n v="120"/>
    <n v="0"/>
    <n v="244"/>
    <n v="229"/>
    <n v="0"/>
    <n v="-2"/>
    <n v="11"/>
    <n v="0"/>
    <n v="47"/>
    <s v="nov"/>
  </r>
  <r>
    <x v="31"/>
    <s v="Brooklyn Nets @ Boston Celtics"/>
    <s v="Brooklyn Nets"/>
    <n v="105"/>
    <n v="113"/>
    <n v="1"/>
    <s v="Boston Celtics"/>
    <n v="119"/>
    <n v="105"/>
    <n v="0"/>
    <n v="224"/>
    <n v="218"/>
    <n v="0"/>
    <n v="14"/>
    <n v="-8"/>
    <n v="0"/>
    <n v="47"/>
    <s v="nov"/>
  </r>
  <r>
    <x v="31"/>
    <s v="Washington Wizards @ Toronto Raptors"/>
    <s v="Washington Wizards"/>
    <n v="106"/>
    <n v="110"/>
    <n v="1"/>
    <s v="Toronto Raptors"/>
    <n v="111"/>
    <n v="140"/>
    <n v="1"/>
    <n v="217"/>
    <n v="250"/>
    <n v="1"/>
    <n v="5"/>
    <n v="30"/>
    <n v="1"/>
    <n v="47"/>
    <s v="nov"/>
  </r>
  <r>
    <x v="31"/>
    <s v="Miami Heat @ Chicago Bulls"/>
    <s v="Miami Heat"/>
    <n v="118"/>
    <n v="143"/>
    <n v="1"/>
    <s v="Chicago Bulls"/>
    <n v="123"/>
    <n v="107"/>
    <n v="0"/>
    <n v="241"/>
    <n v="250"/>
    <n v="1"/>
    <n v="5"/>
    <n v="-36"/>
    <n v="0"/>
    <n v="47"/>
    <s v="nov"/>
  </r>
  <r>
    <x v="31"/>
    <s v="New Orleans Pelicans @ Dallas Mavericks"/>
    <s v="New Orleans Pelicans"/>
    <n v="100"/>
    <n v="115"/>
    <n v="1"/>
    <s v="Dallas Mavericks"/>
    <n v="105"/>
    <n v="118"/>
    <n v="1"/>
    <n v="205"/>
    <n v="233"/>
    <n v="1"/>
    <n v="5"/>
    <n v="3"/>
    <n v="1"/>
    <n v="47"/>
    <s v="nov"/>
  </r>
  <r>
    <x v="31"/>
    <s v="Minnesota Timberwolves @ Phoenix Suns"/>
    <s v="Minnesota Timberwolves"/>
    <n v="115"/>
    <n v="113"/>
    <n v="0"/>
    <s v="Phoenix Suns"/>
    <n v="119"/>
    <n v="114"/>
    <n v="0"/>
    <n v="234"/>
    <n v="227"/>
    <n v="0"/>
    <n v="4"/>
    <n v="1"/>
    <n v="1"/>
    <n v="47"/>
    <s v="nov"/>
  </r>
  <r>
    <x v="31"/>
    <s v="Denver Nuggets @ Houston Rockets"/>
    <s v="Denver Nuggets"/>
    <n v="115"/>
    <n v="112"/>
    <n v="0"/>
    <s v="Houston Rockets"/>
    <n v="107"/>
    <n v="109"/>
    <n v="1"/>
    <n v="222"/>
    <n v="221"/>
    <n v="0"/>
    <n v="-8"/>
    <n v="-3"/>
    <n v="1"/>
    <n v="47"/>
    <s v="nov"/>
  </r>
  <r>
    <x v="31"/>
    <s v="Oklahoma City Thunder @ Utah Jazz"/>
    <s v="Oklahoma City Thunder"/>
    <n v="107"/>
    <n v="144"/>
    <n v="1"/>
    <s v="Utah Jazz"/>
    <n v="103"/>
    <n v="112"/>
    <n v="1"/>
    <n v="210"/>
    <n v="256"/>
    <n v="1"/>
    <n v="-4"/>
    <n v="-32"/>
    <n v="1"/>
    <n v="47"/>
    <s v="nov"/>
  </r>
  <r>
    <x v="32"/>
    <s v="Portland Trail Blazers @ Golden State Warriors"/>
    <s v="Portland Trail Blazers"/>
    <n v="118"/>
    <n v="127"/>
    <n v="1"/>
    <s v="Golden State Warriors"/>
    <n v="122"/>
    <n v="123"/>
    <n v="1"/>
    <n v="240"/>
    <n v="250"/>
    <n v="1"/>
    <n v="4"/>
    <n v="-4"/>
    <n v="0"/>
    <n v="47"/>
    <s v="nov"/>
  </r>
  <r>
    <x v="32"/>
    <s v="LA Clippers @ Charlotte Hornets"/>
    <s v="LA Clippers"/>
    <n v="126"/>
    <n v="131"/>
    <n v="1"/>
    <s v="Charlotte Hornets"/>
    <n v="114"/>
    <n v="116"/>
    <n v="1"/>
    <n v="240"/>
    <n v="247"/>
    <n v="1"/>
    <n v="-12"/>
    <n v="-15"/>
    <n v="1"/>
    <n v="47"/>
    <s v="nov"/>
  </r>
  <r>
    <x v="32"/>
    <s v="New York Knicks @ Orlando Magic"/>
    <s v="New York Knicks"/>
    <n v="109"/>
    <n v="121"/>
    <n v="1"/>
    <s v="Orlando Magic"/>
    <n v="113"/>
    <n v="133"/>
    <n v="1"/>
    <n v="222"/>
    <n v="254"/>
    <n v="1"/>
    <n v="4"/>
    <n v="12"/>
    <n v="1"/>
    <n v="47"/>
    <s v="nov"/>
  </r>
  <r>
    <x v="32"/>
    <s v="Atlanta Hawks @ New Orleans Pelicans"/>
    <s v="Atlanta Hawks"/>
    <n v="111"/>
    <n v="115"/>
    <n v="1"/>
    <s v="New Orleans Pelicans"/>
    <n v="117"/>
    <n v="98"/>
    <n v="0"/>
    <n v="228"/>
    <n v="213"/>
    <n v="0"/>
    <n v="6"/>
    <n v="-17"/>
    <n v="0"/>
    <n v="47"/>
    <s v="nov"/>
  </r>
  <r>
    <x v="32"/>
    <s v="Washington Wizards @ Chicago Bulls"/>
    <s v="Washington Wizards"/>
    <n v="117"/>
    <n v="120"/>
    <n v="1"/>
    <s v="Chicago Bulls"/>
    <n v="119"/>
    <n v="121"/>
    <n v="1"/>
    <n v="236"/>
    <n v="241"/>
    <n v="1"/>
    <n v="2"/>
    <n v="1"/>
    <n v="1"/>
    <n v="47"/>
    <s v="nov"/>
  </r>
  <r>
    <x v="32"/>
    <s v="Detroit Pistons @ Milwaukee Bucks"/>
    <s v="Detroit Pistons"/>
    <n v="105"/>
    <n v="129"/>
    <n v="1"/>
    <s v="Milwaukee Bucks"/>
    <n v="117"/>
    <n v="116"/>
    <n v="0"/>
    <n v="222"/>
    <n v="245"/>
    <n v="1"/>
    <n v="12"/>
    <n v="-13"/>
    <n v="0"/>
    <n v="47"/>
    <s v="nov"/>
  </r>
  <r>
    <x v="32"/>
    <s v="Memphis Grizzlies @ Dallas Mavericks"/>
    <s v="Memphis Grizzlies"/>
    <n v="110"/>
    <n v="103"/>
    <n v="0"/>
    <s v="Dallas Mavericks"/>
    <n v="115"/>
    <n v="96"/>
    <n v="0"/>
    <n v="225"/>
    <n v="199"/>
    <n v="0"/>
    <n v="5"/>
    <n v="-7"/>
    <n v="0"/>
    <n v="47"/>
    <s v="nov"/>
  </r>
  <r>
    <x v="32"/>
    <s v="Sacramento Kings @ Denver Nuggets"/>
    <s v="Sacramento Kings"/>
    <n v="110"/>
    <n v="128"/>
    <n v="1"/>
    <s v="Denver Nuggets"/>
    <n v="122"/>
    <n v="123"/>
    <n v="1"/>
    <n v="232"/>
    <n v="251"/>
    <n v="1"/>
    <n v="12"/>
    <n v="-5"/>
    <n v="0"/>
    <n v="47"/>
    <s v="nov"/>
  </r>
  <r>
    <x v="33"/>
    <s v="Miami Heat @ Philadelphia 76ers"/>
    <s v="Miami Heat"/>
    <n v="126"/>
    <n v="127"/>
    <n v="1"/>
    <s v="Philadelphia 76ers"/>
    <n v="119"/>
    <n v="117"/>
    <n v="0"/>
    <n v="245"/>
    <n v="244"/>
    <n v="0"/>
    <n v="-7"/>
    <n v="-10"/>
    <n v="1"/>
    <n v="47"/>
    <s v="nov"/>
  </r>
  <r>
    <x v="33"/>
    <s v="Charlotte Hornets @ Atlanta Hawks"/>
    <s v="Charlotte Hornets"/>
    <n v="116"/>
    <n v="110"/>
    <n v="0"/>
    <s v="Atlanta Hawks"/>
    <n v="121"/>
    <n v="113"/>
    <n v="0"/>
    <n v="237"/>
    <n v="223"/>
    <n v="0"/>
    <n v="5"/>
    <n v="3"/>
    <n v="1"/>
    <n v="47"/>
    <s v="nov"/>
  </r>
  <r>
    <x v="33"/>
    <s v="Orlando Magic @ Boston Celtics"/>
    <s v="Orlando Magic"/>
    <n v="101"/>
    <n v="129"/>
    <n v="1"/>
    <s v="Boston Celtics"/>
    <n v="114"/>
    <n v="138"/>
    <n v="1"/>
    <n v="215"/>
    <n v="267"/>
    <n v="1"/>
    <n v="13"/>
    <n v="9"/>
    <n v="1"/>
    <n v="47"/>
    <s v="nov"/>
  </r>
  <r>
    <x v="33"/>
    <s v="LA Clippers @ Cleveland Cavaliers"/>
    <s v="LA Clippers"/>
    <n v="114"/>
    <n v="105"/>
    <n v="0"/>
    <s v="Cleveland Cavaliers"/>
    <n v="119"/>
    <n v="120"/>
    <n v="1"/>
    <n v="233"/>
    <n v="225"/>
    <n v="0"/>
    <n v="5"/>
    <n v="15"/>
    <n v="1"/>
    <n v="47"/>
    <s v="nov"/>
  </r>
  <r>
    <x v="33"/>
    <s v="Brooklyn Nets @ Toronto Raptors"/>
    <s v="Brooklyn Nets"/>
    <n v="103"/>
    <n v="109"/>
    <n v="1"/>
    <s v="Toronto Raptors"/>
    <n v="112"/>
    <n v="119"/>
    <n v="1"/>
    <n v="215"/>
    <n v="228"/>
    <n v="1"/>
    <n v="9"/>
    <n v="10"/>
    <n v="1"/>
    <n v="47"/>
    <s v="nov"/>
  </r>
  <r>
    <x v="33"/>
    <s v="Portland Trail Blazers @ Oklahoma City Thunder"/>
    <s v="Portland Trail Blazers"/>
    <n v="108"/>
    <n v="95"/>
    <n v="0"/>
    <s v="Oklahoma City Thunder"/>
    <n v="121"/>
    <n v="122"/>
    <n v="1"/>
    <n v="229"/>
    <n v="217"/>
    <n v="0"/>
    <n v="13"/>
    <n v="27"/>
    <n v="1"/>
    <n v="47"/>
    <s v="nov"/>
  </r>
  <r>
    <x v="33"/>
    <s v="San Antonio Spurs @ Phoenix Suns"/>
    <s v="San Antonio Spurs"/>
    <n v="114"/>
    <n v="102"/>
    <n v="0"/>
    <s v="Phoenix Suns"/>
    <n v="119"/>
    <n v="111"/>
    <n v="0"/>
    <n v="233"/>
    <n v="213"/>
    <n v="0"/>
    <n v="5"/>
    <n v="9"/>
    <n v="1"/>
    <n v="47"/>
    <s v="nov"/>
  </r>
  <r>
    <x v="33"/>
    <s v="Los Angeles Lakers @ Utah Jazz"/>
    <s v="Los Angeles Lakers"/>
    <n v="107"/>
    <n v="108"/>
    <n v="1"/>
    <s v="Utah Jazz"/>
    <n v="119"/>
    <n v="106"/>
    <n v="0"/>
    <n v="226"/>
    <n v="214"/>
    <n v="0"/>
    <n v="12"/>
    <n v="-2"/>
    <n v="0"/>
    <n v="47"/>
    <s v="nov"/>
  </r>
  <r>
    <x v="34"/>
    <s v="Detroit Pistons @ Indiana Pacers"/>
    <s v="Detroit Pistons"/>
    <n v="129"/>
    <n v="122"/>
    <n v="0"/>
    <s v="Indiana Pacers"/>
    <n v="119"/>
    <n v="117"/>
    <n v="0"/>
    <n v="248"/>
    <n v="239"/>
    <n v="0"/>
    <n v="-10"/>
    <n v="-5"/>
    <n v="1"/>
    <n v="48"/>
    <s v="nov"/>
  </r>
  <r>
    <x v="34"/>
    <s v="Cleveland Cavaliers @ Toronto Raptors"/>
    <s v="Cleveland Cavaliers"/>
    <n v="112"/>
    <n v="99"/>
    <n v="0"/>
    <s v="Toronto Raptors"/>
    <n v="118"/>
    <n v="110"/>
    <n v="0"/>
    <n v="230"/>
    <n v="209"/>
    <n v="0"/>
    <n v="6"/>
    <n v="11"/>
    <n v="1"/>
    <n v="48"/>
    <s v="nov"/>
  </r>
  <r>
    <x v="34"/>
    <s v="New York Knicks @ Brooklyn Nets"/>
    <s v="New York Knicks"/>
    <n v="110"/>
    <n v="113"/>
    <n v="1"/>
    <s v="Brooklyn Nets"/>
    <n v="108"/>
    <n v="100"/>
    <n v="0"/>
    <n v="218"/>
    <n v="213"/>
    <n v="0"/>
    <n v="-2"/>
    <n v="-13"/>
    <n v="1"/>
    <n v="48"/>
    <s v="nov"/>
  </r>
  <r>
    <x v="34"/>
    <s v="Dallas Mavericks @ Miami Heat"/>
    <s v="Dallas Mavericks"/>
    <n v="111"/>
    <n v="102"/>
    <n v="0"/>
    <s v="Miami Heat"/>
    <n v="121"/>
    <n v="106"/>
    <n v="0"/>
    <n v="232"/>
    <n v="208"/>
    <n v="0"/>
    <n v="10"/>
    <n v="4"/>
    <n v="1"/>
    <n v="48"/>
    <s v="nov"/>
  </r>
  <r>
    <x v="34"/>
    <s v="Denver Nuggets @ Memphis Grizzlies"/>
    <s v="Denver Nuggets"/>
    <n v="111"/>
    <n v="125"/>
    <n v="1"/>
    <s v="Memphis Grizzlies"/>
    <n v="106"/>
    <n v="115"/>
    <n v="1"/>
    <n v="217"/>
    <n v="240"/>
    <n v="1"/>
    <n v="-5"/>
    <n v="-10"/>
    <n v="1"/>
    <n v="48"/>
    <s v="nov"/>
  </r>
  <r>
    <x v="34"/>
    <s v="Portland Trail Blazers @ Milwaukee Bucks"/>
    <s v="Portland Trail Blazers"/>
    <n v="111"/>
    <n v="115"/>
    <n v="1"/>
    <s v="Milwaukee Bucks"/>
    <n v="120"/>
    <n v="103"/>
    <n v="0"/>
    <n v="231"/>
    <n v="218"/>
    <n v="0"/>
    <n v="9"/>
    <n v="-12"/>
    <n v="0"/>
    <n v="48"/>
    <s v="nov"/>
  </r>
  <r>
    <x v="34"/>
    <s v="Chicago Bulls @ New Orleans Pelicans"/>
    <s v="Chicago Bulls"/>
    <n v="117"/>
    <n v="130"/>
    <n v="1"/>
    <s v="New Orleans Pelicans"/>
    <n v="113"/>
    <n v="143"/>
    <n v="1"/>
    <n v="230"/>
    <n v="273"/>
    <n v="1"/>
    <n v="-4"/>
    <n v="13"/>
    <n v="0"/>
    <n v="48"/>
    <s v="nov"/>
  </r>
  <r>
    <x v="34"/>
    <s v="Houston Rockets @ Phoenix Suns"/>
    <s v="Houston Rockets"/>
    <n v="110"/>
    <n v="114"/>
    <n v="1"/>
    <s v="Phoenix Suns"/>
    <n v="113"/>
    <n v="92"/>
    <n v="0"/>
    <n v="223"/>
    <n v="206"/>
    <n v="0"/>
    <n v="3"/>
    <n v="-22"/>
    <n v="0"/>
    <n v="48"/>
    <s v="nov"/>
  </r>
  <r>
    <x v="34"/>
    <s v="Utah Jazz @ Golden State Warriors"/>
    <s v="Utah Jazz"/>
    <n v="115"/>
    <n v="117"/>
    <n v="1"/>
    <s v="Golden State Warriors"/>
    <n v="112"/>
    <n v="134"/>
    <n v="1"/>
    <n v="227"/>
    <n v="251"/>
    <n v="1"/>
    <n v="-3"/>
    <n v="17"/>
    <n v="0"/>
    <n v="48"/>
    <s v="nov"/>
  </r>
  <r>
    <x v="34"/>
    <s v="Minnesota Timberwolves @ Sacramento Kings"/>
    <s v="Minnesota Timberwolves"/>
    <n v="118"/>
    <n v="112"/>
    <n v="0"/>
    <s v="Sacramento Kings"/>
    <n v="121"/>
    <n v="117"/>
    <n v="0"/>
    <n v="239"/>
    <n v="229"/>
    <n v="0"/>
    <n v="3"/>
    <n v="5"/>
    <n v="1"/>
    <n v="48"/>
    <s v="nov"/>
  </r>
  <r>
    <x v="35"/>
    <s v="Atlanta Hawks @ Washington Wizards"/>
    <s v="Atlanta Hawks"/>
    <n v="127"/>
    <n v="113"/>
    <n v="0"/>
    <s v="Washington Wizards"/>
    <n v="122"/>
    <n v="132"/>
    <n v="1"/>
    <n v="249"/>
    <n v="245"/>
    <n v="0"/>
    <n v="-5"/>
    <n v="19"/>
    <n v="0"/>
    <n v="48"/>
    <s v="nov"/>
  </r>
  <r>
    <x v="35"/>
    <s v="Orlando Magic @ Philadelphia 76ers"/>
    <s v="Orlando Magic"/>
    <n v="113"/>
    <n v="144"/>
    <n v="1"/>
    <s v="Philadelphia 76ers"/>
    <n v="120"/>
    <n v="103"/>
    <n v="0"/>
    <n v="233"/>
    <n v="247"/>
    <n v="1"/>
    <n v="7"/>
    <n v="-41"/>
    <n v="0"/>
    <n v="48"/>
    <s v="nov"/>
  </r>
  <r>
    <x v="35"/>
    <s v="LA Clippers @ Los Angeles Lakers"/>
    <s v="LA Clippers"/>
    <n v="107"/>
    <n v="118"/>
    <n v="1"/>
    <s v="Los Angeles Lakers"/>
    <n v="111"/>
    <n v="135"/>
    <n v="1"/>
    <n v="218"/>
    <n v="253"/>
    <n v="1"/>
    <n v="4"/>
    <n v="17"/>
    <n v="1"/>
    <n v="48"/>
    <s v="nov"/>
  </r>
  <r>
    <x v="36"/>
    <s v="Detroit Pistons @ Boston Celtics"/>
    <s v="Detroit Pistons"/>
    <n v="119"/>
    <n v="114"/>
    <n v="0"/>
    <s v="Boston Celtics"/>
    <n v="114"/>
    <n v="117"/>
    <n v="1"/>
    <n v="233"/>
    <n v="231"/>
    <n v="0"/>
    <n v="-5"/>
    <n v="3"/>
    <n v="0"/>
    <n v="48"/>
    <s v="nov"/>
  </r>
  <r>
    <x v="36"/>
    <s v="New York Knicks @ Charlotte Hornets"/>
    <s v="New York Knicks"/>
    <n v="113"/>
    <n v="129"/>
    <n v="1"/>
    <s v="Charlotte Hornets"/>
    <n v="115"/>
    <n v="101"/>
    <n v="0"/>
    <n v="228"/>
    <n v="230"/>
    <n v="1"/>
    <n v="2"/>
    <n v="-28"/>
    <n v="0"/>
    <n v="48"/>
    <s v="nov"/>
  </r>
  <r>
    <x v="36"/>
    <s v="Milwaukee Bucks @ Miami Heat"/>
    <s v="Milwaukee Bucks"/>
    <n v="101"/>
    <n v="103"/>
    <n v="1"/>
    <s v="Miami Heat"/>
    <n v="127"/>
    <n v="106"/>
    <n v="0"/>
    <n v="228"/>
    <n v="209"/>
    <n v="0"/>
    <n v="26"/>
    <n v="3"/>
    <n v="1"/>
    <n v="48"/>
    <s v="nov"/>
  </r>
  <r>
    <x v="36"/>
    <s v="Indiana Pacers @ Toronto Raptors"/>
    <s v="Indiana Pacers"/>
    <n v="114"/>
    <n v="85"/>
    <n v="0"/>
    <s v="Toronto Raptors"/>
    <n v="125"/>
    <n v="97"/>
    <n v="0"/>
    <n v="239"/>
    <n v="182"/>
    <n v="0"/>
    <n v="11"/>
    <n v="12"/>
    <n v="1"/>
    <n v="48"/>
    <s v="nov"/>
  </r>
  <r>
    <x v="36"/>
    <s v="Minnesota Timberwolves @ Oklahoma City Thunder"/>
    <s v="Minnesota Timberwolves"/>
    <n v="116"/>
    <n v="105"/>
    <n v="0"/>
    <s v="Oklahoma City Thunder"/>
    <n v="110"/>
    <n v="113"/>
    <n v="1"/>
    <n v="226"/>
    <n v="218"/>
    <n v="0"/>
    <n v="-6"/>
    <n v="8"/>
    <n v="0"/>
    <n v="48"/>
    <s v="nov"/>
  </r>
  <r>
    <x v="36"/>
    <s v="Memphis Grizzlies @ New Orleans Pelicans"/>
    <s v="Memphis Grizzlies"/>
    <n v="114"/>
    <n v="133"/>
    <n v="1"/>
    <s v="New Orleans Pelicans"/>
    <n v="120"/>
    <n v="128"/>
    <n v="1"/>
    <n v="234"/>
    <n v="261"/>
    <n v="1"/>
    <n v="6"/>
    <n v="-5"/>
    <n v="0"/>
    <n v="48"/>
    <s v="nov"/>
  </r>
  <r>
    <x v="36"/>
    <s v="Houston Rockets @ Golden State Warriors"/>
    <s v="Houston Rockets"/>
    <n v="115"/>
    <n v="104"/>
    <n v="0"/>
    <s v="Golden State Warriors"/>
    <n v="108"/>
    <n v="100"/>
    <n v="0"/>
    <n v="223"/>
    <n v="204"/>
    <n v="0"/>
    <n v="-7"/>
    <n v="-4"/>
    <n v="1"/>
    <n v="48"/>
    <s v="nov"/>
  </r>
  <r>
    <x v="36"/>
    <s v="San Antonio Spurs @ Portland Trail Blazers"/>
    <s v="San Antonio Spurs"/>
    <n v="108"/>
    <n v="115"/>
    <n v="1"/>
    <s v="Portland Trail Blazers"/>
    <n v="104"/>
    <n v="102"/>
    <n v="0"/>
    <n v="212"/>
    <n v="217"/>
    <n v="1"/>
    <n v="-4"/>
    <n v="-13"/>
    <n v="1"/>
    <n v="48"/>
    <s v="nov"/>
  </r>
  <r>
    <x v="36"/>
    <s v="Phoenix Suns @ Sacramento Kings"/>
    <s v="Phoenix Suns"/>
    <n v="121"/>
    <n v="112"/>
    <n v="0"/>
    <s v="Sacramento Kings"/>
    <n v="116"/>
    <n v="100"/>
    <n v="0"/>
    <n v="237"/>
    <n v="212"/>
    <n v="0"/>
    <n v="-5"/>
    <n v="-12"/>
    <n v="1"/>
    <n v="48"/>
    <s v="nov"/>
  </r>
  <r>
    <x v="37"/>
    <s v="Cleveland Cavaliers @ Atlanta Hawks"/>
    <s v="Cleveland Cavaliers"/>
    <n v="131"/>
    <n v="123"/>
    <n v="0"/>
    <s v="Atlanta Hawks"/>
    <n v="119"/>
    <n v="130"/>
    <n v="1"/>
    <n v="250"/>
    <n v="253"/>
    <n v="1"/>
    <n v="-12"/>
    <n v="7"/>
    <n v="0"/>
    <n v="48"/>
    <s v="nov"/>
  </r>
  <r>
    <x v="37"/>
    <s v="Philadelphia 76ers @ Brooklyn Nets"/>
    <s v="Philadelphia 76ers"/>
    <n v="116"/>
    <n v="115"/>
    <n v="0"/>
    <s v="Brooklyn Nets"/>
    <n v="112"/>
    <n v="103"/>
    <n v="0"/>
    <n v="228"/>
    <n v="218"/>
    <n v="0"/>
    <n v="-4"/>
    <n v="-12"/>
    <n v="1"/>
    <n v="48"/>
    <s v="nov"/>
  </r>
  <r>
    <x v="37"/>
    <s v="Chicago Bulls @ Charlotte Hornets"/>
    <s v="Chicago Bulls"/>
    <n v="115"/>
    <n v="116"/>
    <n v="1"/>
    <s v="Charlotte Hornets"/>
    <n v="112"/>
    <n v="123"/>
    <n v="1"/>
    <n v="227"/>
    <n v="239"/>
    <n v="1"/>
    <n v="-3"/>
    <n v="7"/>
    <n v="0"/>
    <n v="48"/>
    <s v="nov"/>
  </r>
  <r>
    <x v="37"/>
    <s v="Orlando Magic @ Detroit Pistons"/>
    <s v="Orlando Magic"/>
    <n v="118"/>
    <n v="112"/>
    <n v="0"/>
    <s v="Detroit Pistons"/>
    <n v="123"/>
    <n v="109"/>
    <n v="0"/>
    <n v="241"/>
    <n v="221"/>
    <n v="0"/>
    <n v="5"/>
    <n v="-3"/>
    <n v="0"/>
    <n v="48"/>
    <s v="nov"/>
  </r>
  <r>
    <x v="37"/>
    <s v="Washington Wizards @ Indiana Pacers"/>
    <s v="Washington Wizards"/>
    <n v="120"/>
    <n v="86"/>
    <n v="0"/>
    <s v="Indiana Pacers"/>
    <n v="108"/>
    <n v="119"/>
    <n v="1"/>
    <n v="228"/>
    <n v="205"/>
    <n v="0"/>
    <n v="-12"/>
    <n v="33"/>
    <n v="0"/>
    <n v="48"/>
    <s v="nov"/>
  </r>
  <r>
    <x v="37"/>
    <s v="Milwaukee Bucks @ New York Knicks"/>
    <s v="Milwaukee Bucks"/>
    <n v="114"/>
    <n v="109"/>
    <n v="0"/>
    <s v="New York Knicks"/>
    <n v="110"/>
    <n v="118"/>
    <n v="1"/>
    <n v="224"/>
    <n v="227"/>
    <n v="1"/>
    <n v="-4"/>
    <n v="9"/>
    <n v="0"/>
    <n v="48"/>
    <s v="nov"/>
  </r>
  <r>
    <x v="37"/>
    <s v="Phoenix Suns @ Oklahoma City Thunder"/>
    <s v="Phoenix Suns"/>
    <n v="102"/>
    <n v="119"/>
    <n v="1"/>
    <s v="Oklahoma City Thunder"/>
    <n v="109"/>
    <n v="123"/>
    <n v="1"/>
    <n v="211"/>
    <n v="242"/>
    <n v="1"/>
    <n v="7"/>
    <n v="4"/>
    <n v="1"/>
    <n v="48"/>
    <s v="nov"/>
  </r>
  <r>
    <x v="37"/>
    <s v="San Antonio Spurs @ Denver Nuggets"/>
    <s v="San Antonio Spurs"/>
    <n v="117"/>
    <n v="139"/>
    <n v="1"/>
    <s v="Denver Nuggets"/>
    <n v="121"/>
    <n v="136"/>
    <n v="1"/>
    <n v="238"/>
    <n v="275"/>
    <n v="1"/>
    <n v="4"/>
    <n v="-3"/>
    <n v="0"/>
    <n v="48"/>
    <s v="nov"/>
  </r>
  <r>
    <x v="37"/>
    <s v="Sacramento Kings @ Utah Jazz"/>
    <s v="Sacramento Kings"/>
    <n v="115"/>
    <n v="119"/>
    <n v="1"/>
    <s v="Utah Jazz"/>
    <n v="120"/>
    <n v="128"/>
    <n v="1"/>
    <n v="235"/>
    <n v="247"/>
    <n v="1"/>
    <n v="5"/>
    <n v="9"/>
    <n v="1"/>
    <n v="48"/>
    <s v="nov"/>
  </r>
  <r>
    <x v="37"/>
    <s v="Dallas Mavericks @ Los Angeles Lakers"/>
    <s v="Dallas Mavericks"/>
    <n v="113"/>
    <n v="119"/>
    <n v="1"/>
    <s v="Los Angeles Lakers"/>
    <n v="115"/>
    <n v="129"/>
    <n v="1"/>
    <n v="228"/>
    <n v="248"/>
    <n v="1"/>
    <n v="2"/>
    <n v="10"/>
    <n v="1"/>
    <n v="48"/>
    <s v="nov"/>
  </r>
  <r>
    <x v="37"/>
    <s v="Memphis Grizzlies @ LA Clippers"/>
    <s v="Memphis Grizzlies"/>
    <n v="122"/>
    <n v="112"/>
    <n v="0"/>
    <s v="LA Clippers"/>
    <n v="119"/>
    <n v="107"/>
    <n v="0"/>
    <n v="241"/>
    <n v="219"/>
    <n v="0"/>
    <n v="-3"/>
    <n v="-5"/>
    <n v="1"/>
    <n v="48"/>
    <s v="nov"/>
  </r>
  <r>
    <x v="38"/>
    <s v="Boston Celtics @ Minnesota Timberwolves"/>
    <s v="Boston Celtics"/>
    <n v="127"/>
    <n v="115"/>
    <n v="0"/>
    <s v="Minnesota Timberwolves"/>
    <n v="116"/>
    <n v="119"/>
    <n v="1"/>
    <n v="243"/>
    <n v="234"/>
    <n v="0"/>
    <n v="-11"/>
    <n v="4"/>
    <n v="0"/>
    <n v="48"/>
    <s v="nov"/>
  </r>
  <r>
    <x v="38"/>
    <s v="Toronto Raptors @ Charlotte Hornets"/>
    <s v="Toronto Raptors"/>
    <n v="120"/>
    <n v="111"/>
    <n v="0"/>
    <s v="Charlotte Hornets"/>
    <n v="117"/>
    <n v="118"/>
    <n v="1"/>
    <n v="237"/>
    <n v="229"/>
    <n v="0"/>
    <n v="-3"/>
    <n v="7"/>
    <n v="0"/>
    <n v="48"/>
    <s v="nov"/>
  </r>
  <r>
    <x v="38"/>
    <s v="Chicago Bulls @ Indiana Pacers"/>
    <s v="Chicago Bulls"/>
    <n v="115"/>
    <n v="101"/>
    <n v="0"/>
    <s v="Indiana Pacers"/>
    <n v="114"/>
    <n v="103"/>
    <n v="0"/>
    <n v="229"/>
    <n v="204"/>
    <n v="0"/>
    <n v="-1"/>
    <n v="2"/>
    <n v="0"/>
    <n v="48"/>
    <s v="nov"/>
  </r>
  <r>
    <x v="38"/>
    <s v="Detroit Pistons @ Miami Heat"/>
    <s v="Detroit Pistons"/>
    <n v="111"/>
    <n v="138"/>
    <n v="1"/>
    <s v="Miami Heat"/>
    <n v="121"/>
    <n v="135"/>
    <n v="1"/>
    <n v="232"/>
    <n v="273"/>
    <n v="1"/>
    <n v="10"/>
    <n v="-3"/>
    <n v="0"/>
    <n v="48"/>
    <s v="nov"/>
  </r>
  <r>
    <x v="38"/>
    <s v="Brooklyn Nets @ Milwaukee Bucks"/>
    <s v="Brooklyn Nets"/>
    <n v="114"/>
    <n v="99"/>
    <n v="0"/>
    <s v="Milwaukee Bucks"/>
    <n v="109"/>
    <n v="116"/>
    <n v="1"/>
    <n v="223"/>
    <n v="215"/>
    <n v="0"/>
    <n v="-5"/>
    <n v="17"/>
    <n v="0"/>
    <n v="48"/>
    <s v="nov"/>
  </r>
  <r>
    <x v="38"/>
    <s v="New Orleans Pelicans @ Golden State Warriors"/>
    <s v="New Orleans Pelicans"/>
    <n v="116"/>
    <n v="96"/>
    <n v="0"/>
    <s v="Golden State Warriors"/>
    <n v="119"/>
    <n v="104"/>
    <n v="0"/>
    <n v="235"/>
    <n v="200"/>
    <n v="0"/>
    <n v="3"/>
    <n v="8"/>
    <n v="1"/>
    <n v="48"/>
    <s v="nov"/>
  </r>
  <r>
    <x v="38"/>
    <s v="Denver Nuggets @ Phoenix Suns"/>
    <s v="Denver Nuggets"/>
    <n v="118"/>
    <n v="130"/>
    <n v="1"/>
    <s v="Phoenix Suns"/>
    <n v="108"/>
    <n v="112"/>
    <n v="1"/>
    <n v="226"/>
    <n v="242"/>
    <n v="1"/>
    <n v="-10"/>
    <n v="-18"/>
    <n v="1"/>
    <n v="48"/>
    <s v="nov"/>
  </r>
  <r>
    <x v="38"/>
    <s v="Dallas Mavericks @ LA Clippers"/>
    <s v="Dallas Mavericks"/>
    <n v="99"/>
    <n v="114"/>
    <n v="1"/>
    <s v="LA Clippers"/>
    <n v="107"/>
    <n v="110"/>
    <n v="1"/>
    <n v="206"/>
    <n v="224"/>
    <n v="1"/>
    <n v="8"/>
    <n v="-4"/>
    <n v="0"/>
    <n v="48"/>
    <s v="nov"/>
  </r>
  <r>
    <x v="39"/>
    <s v="Houston Rockets @ Utah Jazz"/>
    <s v="Houston Rockets"/>
    <n v="126"/>
    <n v="129"/>
    <n v="1"/>
    <s v="Utah Jazz"/>
    <n v="117"/>
    <n v="101"/>
    <n v="0"/>
    <n v="243"/>
    <n v="230"/>
    <n v="0"/>
    <n v="-9"/>
    <n v="-28"/>
    <n v="1"/>
    <n v="48"/>
    <s v="nov"/>
  </r>
  <r>
    <x v="39"/>
    <s v="Boston Celtics @ Cleveland Cavaliers"/>
    <s v="Boston Celtics"/>
    <n v="112"/>
    <n v="117"/>
    <n v="1"/>
    <s v="Cleveland Cavaliers"/>
    <n v="115"/>
    <n v="115"/>
    <n v="0"/>
    <n v="227"/>
    <n v="232"/>
    <n v="1"/>
    <n v="3"/>
    <n v="-2"/>
    <n v="0"/>
    <n v="48"/>
    <s v="nov"/>
  </r>
  <r>
    <x v="39"/>
    <s v="Toronto Raptors @ New York Knicks"/>
    <s v="Toronto Raptors"/>
    <n v="111"/>
    <n v="94"/>
    <n v="0"/>
    <s v="New York Knicks"/>
    <n v="114"/>
    <n v="116"/>
    <n v="1"/>
    <n v="225"/>
    <n v="210"/>
    <n v="0"/>
    <n v="3"/>
    <n v="22"/>
    <n v="1"/>
    <n v="48"/>
    <s v="nov"/>
  </r>
  <r>
    <x v="39"/>
    <s v="Atlanta Hawks @ Philadelphia 76ers"/>
    <s v="Atlanta Hawks"/>
    <n v="117"/>
    <n v="142"/>
    <n v="1"/>
    <s v="Philadelphia 76ers"/>
    <n v="125"/>
    <n v="134"/>
    <n v="1"/>
    <n v="242"/>
    <n v="276"/>
    <n v="1"/>
    <n v="8"/>
    <n v="-8"/>
    <n v="0"/>
    <n v="48"/>
    <s v="nov"/>
  </r>
  <r>
    <x v="39"/>
    <s v="Oklahoma City Thunder @ Portland Trail Blazers"/>
    <s v="Oklahoma City Thunder"/>
    <n v="110"/>
    <n v="123"/>
    <n v="1"/>
    <s v="Portland Trail Blazers"/>
    <n v="107"/>
    <n v="115"/>
    <n v="1"/>
    <n v="217"/>
    <n v="238"/>
    <n v="1"/>
    <n v="-3"/>
    <n v="-8"/>
    <n v="1"/>
    <n v="48"/>
    <s v="nov"/>
  </r>
  <r>
    <x v="39"/>
    <s v="San Antonio Spurs @ Minnesota Timberwolves"/>
    <s v="San Antonio Spurs"/>
    <n v="113"/>
    <n v="112"/>
    <n v="0"/>
    <s v="Minnesota Timberwolves"/>
    <n v="116"/>
    <n v="125"/>
    <n v="1"/>
    <n v="229"/>
    <n v="237"/>
    <n v="1"/>
    <n v="3"/>
    <n v="13"/>
    <n v="1"/>
    <n v="48"/>
    <s v="nov"/>
  </r>
  <r>
    <x v="39"/>
    <s v="Memphis Grizzlies @ Sacramento Kings"/>
    <s v="Memphis Grizzlies"/>
    <n v="120"/>
    <n v="115"/>
    <n v="0"/>
    <s v="Sacramento Kings"/>
    <n v="113"/>
    <n v="107"/>
    <n v="0"/>
    <n v="233"/>
    <n v="222"/>
    <n v="0"/>
    <n v="-7"/>
    <n v="-8"/>
    <n v="1"/>
    <n v="48"/>
    <s v="nov"/>
  </r>
  <r>
    <x v="39"/>
    <s v="New Orleans Pelicans @ Los Angeles Lakers"/>
    <s v="New Orleans Pelicans"/>
    <n v="104"/>
    <n v="121"/>
    <n v="1"/>
    <s v="Los Angeles Lakers"/>
    <n v="113"/>
    <n v="133"/>
    <n v="1"/>
    <n v="217"/>
    <n v="254"/>
    <n v="1"/>
    <n v="9"/>
    <n v="12"/>
    <n v="1"/>
    <n v="48"/>
    <s v="nov"/>
  </r>
  <r>
    <x v="40"/>
    <s v="Atlanta Hawks @ Detroit Pistons"/>
    <s v="Atlanta Hawks"/>
    <n v="132"/>
    <n v="98"/>
    <n v="0"/>
    <s v="Detroit Pistons"/>
    <n v="121"/>
    <n v="99"/>
    <n v="0"/>
    <n v="253"/>
    <n v="197"/>
    <n v="0"/>
    <n v="-11"/>
    <n v="1"/>
    <n v="0"/>
    <n v="49"/>
    <s v="dic"/>
  </r>
  <r>
    <x v="40"/>
    <s v="Cleveland Cavaliers @ Indiana Pacers"/>
    <s v="Cleveland Cavaliers"/>
    <n v="120"/>
    <n v="135"/>
    <n v="1"/>
    <s v="Indiana Pacers"/>
    <n v="116"/>
    <n v="119"/>
    <n v="1"/>
    <n v="236"/>
    <n v="254"/>
    <n v="1"/>
    <n v="-4"/>
    <n v="-16"/>
    <n v="1"/>
    <n v="49"/>
    <s v="dic"/>
  </r>
  <r>
    <x v="40"/>
    <s v="Milwaukee Bucks @ Washington Wizards"/>
    <s v="Milwaukee Bucks"/>
    <n v="116"/>
    <n v="126"/>
    <n v="1"/>
    <s v="Washington Wizards"/>
    <n v="124"/>
    <n v="129"/>
    <n v="1"/>
    <n v="240"/>
    <n v="255"/>
    <n v="1"/>
    <n v="8"/>
    <n v="3"/>
    <n v="1"/>
    <n v="49"/>
    <s v="dic"/>
  </r>
  <r>
    <x v="40"/>
    <s v="Charlotte Hornets @ Brooklyn Nets"/>
    <s v="Charlotte Hornets"/>
    <n v="115"/>
    <n v="103"/>
    <n v="0"/>
    <s v="Brooklyn Nets"/>
    <n v="113"/>
    <n v="116"/>
    <n v="1"/>
    <n v="228"/>
    <n v="219"/>
    <n v="0"/>
    <n v="-2"/>
    <n v="13"/>
    <n v="0"/>
    <n v="49"/>
    <s v="dic"/>
  </r>
  <r>
    <x v="40"/>
    <s v="LA Clippers @ Miami Heat"/>
    <s v="LA Clippers"/>
    <n v="117"/>
    <n v="123"/>
    <n v="1"/>
    <s v="Miami Heat"/>
    <n v="111"/>
    <n v="140"/>
    <n v="1"/>
    <n v="228"/>
    <n v="263"/>
    <n v="1"/>
    <n v="-6"/>
    <n v="17"/>
    <n v="0"/>
    <n v="49"/>
    <s v="dic"/>
  </r>
  <r>
    <x v="40"/>
    <s v="Chicago Bulls @ Orlando Magic"/>
    <s v="Chicago Bulls"/>
    <n v="117"/>
    <n v="120"/>
    <n v="1"/>
    <s v="Orlando Magic"/>
    <n v="122"/>
    <n v="125"/>
    <n v="1"/>
    <n v="239"/>
    <n v="245"/>
    <n v="1"/>
    <n v="5"/>
    <n v="5"/>
    <n v="1"/>
    <n v="49"/>
    <s v="dic"/>
  </r>
  <r>
    <x v="40"/>
    <s v="Dallas Mavericks @ Denver Nuggets"/>
    <s v="Dallas Mavericks"/>
    <n v="112"/>
    <n v="131"/>
    <n v="1"/>
    <s v="Denver Nuggets"/>
    <n v="108"/>
    <n v="121"/>
    <n v="1"/>
    <n v="220"/>
    <n v="252"/>
    <n v="1"/>
    <n v="-4"/>
    <n v="-10"/>
    <n v="1"/>
    <n v="49"/>
    <s v="dic"/>
  </r>
  <r>
    <x v="40"/>
    <s v="Houston Rockets @ Utah Jazz"/>
    <s v="Houston Rockets"/>
    <n v="123"/>
    <n v="125"/>
    <n v="1"/>
    <s v="Utah Jazz"/>
    <n v="124"/>
    <n v="133"/>
    <n v="1"/>
    <n v="247"/>
    <n v="258"/>
    <n v="1"/>
    <n v="1"/>
    <n v="8"/>
    <n v="1"/>
    <n v="49"/>
    <s v="dic"/>
  </r>
  <r>
    <x v="40"/>
    <s v="Phoenix Suns @ Los Angeles Lakers"/>
    <s v="Phoenix Suns"/>
    <n v="119"/>
    <n v="125"/>
    <n v="1"/>
    <s v="Los Angeles Lakers"/>
    <n v="124"/>
    <n v="108"/>
    <n v="0"/>
    <n v="243"/>
    <n v="233"/>
    <n v="0"/>
    <n v="5"/>
    <n v="-17"/>
    <n v="0"/>
    <n v="49"/>
    <s v="dic"/>
  </r>
  <r>
    <x v="41"/>
    <s v="Washington Wizards @ Philadelphia 76ers"/>
    <s v="Washington Wizards"/>
    <n v="126"/>
    <n v="102"/>
    <n v="0"/>
    <s v="Philadelphia 76ers"/>
    <n v="130"/>
    <n v="121"/>
    <n v="0"/>
    <n v="256"/>
    <n v="223"/>
    <n v="0"/>
    <n v="4"/>
    <n v="19"/>
    <n v="1"/>
    <n v="49"/>
    <s v="dic"/>
  </r>
  <r>
    <x v="41"/>
    <s v="Portland Trail Blazers @ Toronto Raptors"/>
    <s v="Portland Trail Blazers"/>
    <n v="113"/>
    <n v="118"/>
    <n v="1"/>
    <s v="Toronto Raptors"/>
    <n v="120"/>
    <n v="121"/>
    <n v="1"/>
    <n v="233"/>
    <n v="239"/>
    <n v="1"/>
    <n v="7"/>
    <n v="3"/>
    <n v="1"/>
    <n v="49"/>
    <s v="dic"/>
  </r>
  <r>
    <x v="41"/>
    <s v="New York Knicks @ Boston Celtics"/>
    <s v="New York Knicks"/>
    <n v="107"/>
    <n v="117"/>
    <n v="1"/>
    <s v="Boston Celtics"/>
    <n v="126"/>
    <n v="123"/>
    <n v="0"/>
    <n v="233"/>
    <n v="240"/>
    <n v="1"/>
    <n v="19"/>
    <n v="6"/>
    <n v="1"/>
    <n v="49"/>
    <s v="dic"/>
  </r>
  <r>
    <x v="41"/>
    <s v="Minnesota Timberwolves @ New Orleans Pelicans"/>
    <s v="Minnesota Timberwolves"/>
    <n v="124"/>
    <n v="149"/>
    <n v="1"/>
    <s v="New Orleans Pelicans"/>
    <n v="135"/>
    <n v="142"/>
    <n v="1"/>
    <n v="259"/>
    <n v="291"/>
    <n v="1"/>
    <n v="11"/>
    <n v="-7"/>
    <n v="0"/>
    <n v="49"/>
    <s v="dic"/>
  </r>
  <r>
    <x v="41"/>
    <s v="Memphis Grizzlies @ San Antonio Spurs"/>
    <s v="Memphis Grizzlies"/>
    <n v="114"/>
    <n v="119"/>
    <n v="1"/>
    <s v="San Antonio Spurs"/>
    <n v="127"/>
    <n v="126"/>
    <n v="0"/>
    <n v="241"/>
    <n v="245"/>
    <n v="1"/>
    <n v="13"/>
    <n v="7"/>
    <n v="1"/>
    <n v="49"/>
    <s v="dic"/>
  </r>
  <r>
    <x v="41"/>
    <s v="Oklahoma City Thunder @ Golden State Warriors"/>
    <s v="Oklahoma City Thunder"/>
    <n v="120"/>
    <n v="124"/>
    <n v="1"/>
    <s v="Golden State Warriors"/>
    <n v="123"/>
    <n v="112"/>
    <n v="0"/>
    <n v="243"/>
    <n v="236"/>
    <n v="0"/>
    <n v="3"/>
    <n v="-12"/>
    <n v="0"/>
    <n v="49"/>
    <s v="dic"/>
  </r>
  <r>
    <x v="42"/>
    <s v="Portland Trail Blazers @ Cleveland Cavaliers"/>
    <s v="Portland Trail Blazers"/>
    <n v="127"/>
    <n v="122"/>
    <n v="0"/>
    <s v="Cleveland Cavaliers"/>
    <n v="120"/>
    <n v="110"/>
    <n v="0"/>
    <n v="247"/>
    <n v="232"/>
    <n v="0"/>
    <n v="-7"/>
    <n v="-12"/>
    <n v="1"/>
    <n v="49"/>
    <s v="dic"/>
  </r>
  <r>
    <x v="42"/>
    <s v="Denver Nuggets @ Indiana Pacers"/>
    <s v="Denver Nuggets"/>
    <n v="120"/>
    <n v="135"/>
    <n v="1"/>
    <s v="Indiana Pacers"/>
    <n v="117"/>
    <n v="120"/>
    <n v="1"/>
    <n v="237"/>
    <n v="255"/>
    <n v="1"/>
    <n v="-3"/>
    <n v="-15"/>
    <n v="1"/>
    <n v="49"/>
    <s v="dic"/>
  </r>
  <r>
    <x v="42"/>
    <s v="San Antonio Spurs @ Orlando Magic"/>
    <s v="San Antonio Spurs"/>
    <n v="114"/>
    <n v="114"/>
    <n v="0"/>
    <s v="Orlando Magic"/>
    <n v="116"/>
    <n v="112"/>
    <n v="0"/>
    <n v="230"/>
    <n v="226"/>
    <n v="0"/>
    <n v="2"/>
    <n v="-2"/>
    <n v="0"/>
    <n v="49"/>
    <s v="dic"/>
  </r>
  <r>
    <x v="42"/>
    <s v="LA Clippers @ Atlanta Hawks"/>
    <s v="LA Clippers"/>
    <n v="117"/>
    <n v="115"/>
    <n v="0"/>
    <s v="Atlanta Hawks"/>
    <n v="123"/>
    <n v="92"/>
    <n v="0"/>
    <n v="240"/>
    <n v="207"/>
    <n v="0"/>
    <n v="6"/>
    <n v="-23"/>
    <n v="0"/>
    <n v="49"/>
    <s v="dic"/>
  </r>
  <r>
    <x v="42"/>
    <s v="Charlotte Hornets @ New York Knicks"/>
    <s v="Charlotte Hornets"/>
    <n v="116"/>
    <n v="104"/>
    <n v="0"/>
    <s v="New York Knicks"/>
    <n v="127"/>
    <n v="119"/>
    <n v="0"/>
    <n v="243"/>
    <n v="223"/>
    <n v="0"/>
    <n v="11"/>
    <n v="15"/>
    <n v="1"/>
    <n v="49"/>
    <s v="dic"/>
  </r>
  <r>
    <x v="42"/>
    <s v="Brooklyn Nets @ Chicago Bulls"/>
    <s v="Brooklyn Nets"/>
    <n v="111"/>
    <n v="113"/>
    <n v="1"/>
    <s v="Chicago Bulls"/>
    <n v="119"/>
    <n v="103"/>
    <n v="0"/>
    <n v="230"/>
    <n v="216"/>
    <n v="0"/>
    <n v="8"/>
    <n v="-10"/>
    <n v="0"/>
    <n v="49"/>
    <s v="dic"/>
  </r>
  <r>
    <x v="42"/>
    <s v="Sacramento Kings @ Houston Rockets"/>
    <s v="Sacramento Kings"/>
    <n v="113"/>
    <n v="95"/>
    <n v="0"/>
    <s v="Houston Rockets"/>
    <n v="119"/>
    <n v="121"/>
    <n v="1"/>
    <n v="232"/>
    <n v="216"/>
    <n v="0"/>
    <n v="6"/>
    <n v="26"/>
    <n v="1"/>
    <n v="49"/>
    <s v="dic"/>
  </r>
  <r>
    <x v="42"/>
    <s v="Detroit Pistons @ Milwaukee Bucks"/>
    <s v="Detroit Pistons"/>
    <n v="104"/>
    <n v="109"/>
    <n v="1"/>
    <s v="Milwaukee Bucks"/>
    <n v="122"/>
    <n v="113"/>
    <n v="0"/>
    <n v="226"/>
    <n v="222"/>
    <n v="0"/>
    <n v="18"/>
    <n v="4"/>
    <n v="1"/>
    <n v="49"/>
    <s v="dic"/>
  </r>
  <r>
    <x v="42"/>
    <s v="Miami Heat @ Dallas Mavericks"/>
    <s v="Miami Heat"/>
    <n v="122"/>
    <n v="108"/>
    <n v="0"/>
    <s v="Dallas Mavericks"/>
    <n v="117"/>
    <n v="118"/>
    <n v="1"/>
    <n v="239"/>
    <n v="226"/>
    <n v="0"/>
    <n v="-5"/>
    <n v="10"/>
    <n v="0"/>
    <n v="49"/>
    <s v="dic"/>
  </r>
  <r>
    <x v="43"/>
    <s v="Golden State Warriors @ Philadelphia 76ers"/>
    <s v="Golden State Warriors"/>
    <n v="126"/>
    <n v="98"/>
    <n v="0"/>
    <s v="Philadelphia 76ers"/>
    <n v="130"/>
    <n v="99"/>
    <n v="0"/>
    <n v="256"/>
    <n v="197"/>
    <n v="0"/>
    <n v="4"/>
    <n v="1"/>
    <n v="1"/>
    <n v="49"/>
    <s v="dic"/>
  </r>
  <r>
    <x v="43"/>
    <s v="Boston Celtics @ Washington Wizards"/>
    <s v="Boston Celtics"/>
    <n v="122"/>
    <n v="146"/>
    <n v="1"/>
    <s v="Washington Wizards"/>
    <n v="124"/>
    <n v="101"/>
    <n v="0"/>
    <n v="246"/>
    <n v="247"/>
    <n v="1"/>
    <n v="2"/>
    <n v="-45"/>
    <n v="0"/>
    <n v="49"/>
    <s v="dic"/>
  </r>
  <r>
    <x v="43"/>
    <s v="Utah Jazz @ Brooklyn Nets"/>
    <s v="Utah Jazz"/>
    <n v="110"/>
    <n v="123"/>
    <n v="1"/>
    <s v="Brooklyn Nets"/>
    <n v="119"/>
    <n v="110"/>
    <n v="0"/>
    <n v="229"/>
    <n v="233"/>
    <n v="1"/>
    <n v="9"/>
    <n v="-13"/>
    <n v="0"/>
    <n v="49"/>
    <s v="dic"/>
  </r>
  <r>
    <x v="43"/>
    <s v="Los Angeles Lakers @ Toronto Raptors"/>
    <s v="Los Angeles Lakers"/>
    <n v="115"/>
    <n v="123"/>
    <n v="1"/>
    <s v="Toronto Raptors"/>
    <n v="121"/>
    <n v="120"/>
    <n v="0"/>
    <n v="236"/>
    <n v="243"/>
    <n v="1"/>
    <n v="6"/>
    <n v="-3"/>
    <n v="0"/>
    <n v="49"/>
    <s v="dic"/>
  </r>
  <r>
    <x v="43"/>
    <s v="Minnesota Timberwolves @ New Orleans Pelicans"/>
    <s v="Minnesota Timberwolves"/>
    <n v="120"/>
    <n v="125"/>
    <n v="1"/>
    <s v="New Orleans Pelicans"/>
    <n v="128"/>
    <n v="116"/>
    <n v="0"/>
    <n v="248"/>
    <n v="241"/>
    <n v="0"/>
    <n v="8"/>
    <n v="-9"/>
    <n v="0"/>
    <n v="49"/>
    <s v="dic"/>
  </r>
  <r>
    <x v="44"/>
    <s v="Los Angeles Lakers @ Boston Celtics"/>
    <s v="Los Angeles Lakers"/>
    <n v="123"/>
    <n v="105"/>
    <n v="0"/>
    <s v="Boston Celtics"/>
    <n v="117"/>
    <n v="126"/>
    <n v="1"/>
    <n v="240"/>
    <n v="231"/>
    <n v="0"/>
    <n v="-6"/>
    <n v="21"/>
    <n v="0"/>
    <n v="49"/>
    <s v="dic"/>
  </r>
  <r>
    <x v="44"/>
    <s v="Miami Heat @ Orlando Magic"/>
    <s v="Miami Heat"/>
    <n v="109"/>
    <n v="105"/>
    <n v="0"/>
    <s v="Orlando Magic"/>
    <n v="115"/>
    <n v="106"/>
    <n v="0"/>
    <n v="224"/>
    <n v="211"/>
    <n v="0"/>
    <n v="6"/>
    <n v="1"/>
    <n v="1"/>
    <n v="49"/>
    <s v="dic"/>
  </r>
  <r>
    <x v="44"/>
    <s v="Denver Nuggets @ Atlanta Hawks"/>
    <s v="Denver Nuggets"/>
    <n v="110"/>
    <n v="134"/>
    <n v="1"/>
    <s v="Atlanta Hawks"/>
    <n v="126"/>
    <n v="133"/>
    <n v="1"/>
    <n v="236"/>
    <n v="267"/>
    <n v="1"/>
    <n v="16"/>
    <n v="-1"/>
    <n v="0"/>
    <n v="49"/>
    <s v="dic"/>
  </r>
  <r>
    <x v="44"/>
    <s v="San Antonio Spurs @ Cleveland Cavaliers"/>
    <s v="San Antonio Spurs"/>
    <n v="119"/>
    <n v="117"/>
    <n v="0"/>
    <s v="Cleveland Cavaliers"/>
    <n v="127"/>
    <n v="130"/>
    <n v="1"/>
    <n v="246"/>
    <n v="247"/>
    <n v="1"/>
    <n v="8"/>
    <n v="13"/>
    <n v="1"/>
    <n v="49"/>
    <s v="dic"/>
  </r>
  <r>
    <x v="44"/>
    <s v="Portland Trail Blazers @ Detroit Pistons"/>
    <s v="Portland Trail Blazers"/>
    <n v="120"/>
    <n v="115"/>
    <n v="0"/>
    <s v="Detroit Pistons"/>
    <n v="110"/>
    <n v="122"/>
    <n v="1"/>
    <n v="230"/>
    <n v="237"/>
    <n v="1"/>
    <n v="-10"/>
    <n v="7"/>
    <n v="0"/>
    <n v="49"/>
    <s v="dic"/>
  </r>
  <r>
    <x v="44"/>
    <s v="Utah Jazz @ New York Knicks"/>
    <s v="Utah Jazz"/>
    <n v="125"/>
    <n v="112"/>
    <n v="0"/>
    <s v="New York Knicks"/>
    <n v="133"/>
    <n v="146"/>
    <n v="1"/>
    <n v="258"/>
    <n v="258"/>
    <n v="0"/>
    <n v="8"/>
    <n v="34"/>
    <n v="1"/>
    <n v="49"/>
    <s v="dic"/>
  </r>
  <r>
    <x v="44"/>
    <s v="Charlotte Hornets @ Toronto Raptors"/>
    <s v="Charlotte Hornets"/>
    <n v="113"/>
    <n v="111"/>
    <n v="0"/>
    <s v="Toronto Raptors"/>
    <n v="116"/>
    <n v="86"/>
    <n v="0"/>
    <n v="229"/>
    <n v="197"/>
    <n v="0"/>
    <n v="3"/>
    <n v="-25"/>
    <n v="0"/>
    <n v="49"/>
    <s v="dic"/>
  </r>
  <r>
    <x v="44"/>
    <s v="Indiana Pacers @ Chicago Bulls"/>
    <s v="Indiana Pacers"/>
    <n v="105"/>
    <n v="120"/>
    <n v="1"/>
    <s v="Chicago Bulls"/>
    <n v="115"/>
    <n v="105"/>
    <n v="0"/>
    <n v="220"/>
    <n v="225"/>
    <n v="1"/>
    <n v="10"/>
    <n v="-15"/>
    <n v="0"/>
    <n v="49"/>
    <s v="dic"/>
  </r>
  <r>
    <x v="44"/>
    <s v="Phoenix Suns @ Houston Rockets"/>
    <s v="Phoenix Suns"/>
    <n v="119"/>
    <n v="98"/>
    <n v="0"/>
    <s v="Houston Rockets"/>
    <n v="121"/>
    <n v="117"/>
    <n v="0"/>
    <n v="240"/>
    <n v="215"/>
    <n v="0"/>
    <n v="2"/>
    <n v="19"/>
    <n v="1"/>
    <n v="49"/>
    <s v="dic"/>
  </r>
  <r>
    <x v="44"/>
    <s v="LA Clippers @ Memphis Grizzlies"/>
    <s v="LA Clippers"/>
    <n v="117"/>
    <n v="98"/>
    <n v="0"/>
    <s v="Memphis Grizzlies"/>
    <n v="119"/>
    <n v="107"/>
    <n v="0"/>
    <n v="236"/>
    <n v="205"/>
    <n v="0"/>
    <n v="2"/>
    <n v="9"/>
    <n v="1"/>
    <n v="49"/>
    <s v="dic"/>
  </r>
  <r>
    <x v="44"/>
    <s v="Philadelphia 76ers @ Milwaukee Bucks"/>
    <s v="Philadelphia 76ers"/>
    <n v="107"/>
    <n v="116"/>
    <n v="1"/>
    <s v="Milwaukee Bucks"/>
    <n v="120"/>
    <n v="101"/>
    <n v="0"/>
    <n v="227"/>
    <n v="217"/>
    <n v="0"/>
    <n v="13"/>
    <n v="-15"/>
    <n v="0"/>
    <n v="49"/>
    <s v="dic"/>
  </r>
  <r>
    <x v="44"/>
    <s v="Dallas Mavericks @ Oklahoma City Thunder"/>
    <s v="Dallas Mavericks"/>
    <n v="107"/>
    <n v="111"/>
    <n v="1"/>
    <s v="Oklahoma City Thunder"/>
    <n v="114"/>
    <n v="132"/>
    <n v="1"/>
    <n v="221"/>
    <n v="243"/>
    <n v="1"/>
    <n v="7"/>
    <n v="21"/>
    <n v="1"/>
    <n v="49"/>
    <s v="dic"/>
  </r>
  <r>
    <x v="45"/>
    <s v="New Orleans Pelicans @ Brooklyn Nets"/>
    <s v="New Orleans Pelicans"/>
    <n v="127"/>
    <n v="101"/>
    <n v="0"/>
    <s v="Brooklyn Nets"/>
    <n v="123"/>
    <n v="119"/>
    <n v="0"/>
    <n v="250"/>
    <n v="220"/>
    <n v="0"/>
    <n v="-4"/>
    <n v="18"/>
    <n v="0"/>
    <n v="49"/>
    <s v="dic"/>
  </r>
  <r>
    <x v="45"/>
    <s v="Atlanta Hawks @ Washington Wizards"/>
    <s v="Atlanta Hawks"/>
    <n v="124"/>
    <n v="131"/>
    <n v="1"/>
    <s v="Washington Wizards"/>
    <n v="132"/>
    <n v="116"/>
    <n v="0"/>
    <n v="256"/>
    <n v="247"/>
    <n v="0"/>
    <n v="8"/>
    <n v="-15"/>
    <n v="0"/>
    <n v="49"/>
    <s v="dic"/>
  </r>
  <r>
    <x v="45"/>
    <s v="Golden State Warriors @ Cleveland Cavaliers"/>
    <s v="Golden State Warriors"/>
    <n v="112"/>
    <n v="99"/>
    <n v="0"/>
    <s v="Cleveland Cavaliers"/>
    <n v="121"/>
    <n v="94"/>
    <n v="0"/>
    <n v="233"/>
    <n v="193"/>
    <n v="0"/>
    <n v="9"/>
    <n v="-5"/>
    <n v="0"/>
    <n v="49"/>
    <s v="dic"/>
  </r>
  <r>
    <x v="45"/>
    <s v="Milwaukee Bucks @ Detroit Pistons"/>
    <s v="Milwaukee Bucks"/>
    <n v="118"/>
    <n v="112"/>
    <n v="0"/>
    <s v="Detroit Pistons"/>
    <n v="121"/>
    <n v="124"/>
    <n v="1"/>
    <n v="239"/>
    <n v="236"/>
    <n v="0"/>
    <n v="3"/>
    <n v="12"/>
    <n v="1"/>
    <n v="49"/>
    <s v="dic"/>
  </r>
  <r>
    <x v="45"/>
    <s v="Sacramento Kings @ Miami Heat"/>
    <s v="Sacramento Kings"/>
    <n v="105"/>
    <n v="127"/>
    <n v="1"/>
    <s v="Miami Heat"/>
    <n v="117"/>
    <n v="111"/>
    <n v="0"/>
    <n v="222"/>
    <n v="238"/>
    <n v="1"/>
    <n v="12"/>
    <n v="-16"/>
    <n v="0"/>
    <n v="49"/>
    <s v="dic"/>
  </r>
  <r>
    <x v="45"/>
    <s v="LA Clippers @ Minnesota Timberwolves"/>
    <s v="LA Clippers"/>
    <n v="115"/>
    <n v="106"/>
    <n v="0"/>
    <s v="Minnesota Timberwolves"/>
    <n v="119"/>
    <n v="109"/>
    <n v="0"/>
    <n v="234"/>
    <n v="215"/>
    <n v="0"/>
    <n v="4"/>
    <n v="3"/>
    <n v="1"/>
    <n v="49"/>
    <s v="dic"/>
  </r>
  <r>
    <x v="45"/>
    <s v="Houston Rockets @ Dallas Mavericks"/>
    <s v="Houston Rockets"/>
    <n v="112"/>
    <n v="109"/>
    <n v="0"/>
    <s v="Dallas Mavericks"/>
    <n v="115"/>
    <n v="122"/>
    <n v="1"/>
    <n v="227"/>
    <n v="231"/>
    <n v="1"/>
    <n v="3"/>
    <n v="13"/>
    <n v="1"/>
    <n v="49"/>
    <s v="dic"/>
  </r>
  <r>
    <x v="46"/>
    <s v="Orlando Magic @ New York Knicks"/>
    <s v="Orlando Magic"/>
    <n v="137"/>
    <n v="100"/>
    <n v="0"/>
    <s v="New York Knicks"/>
    <n v="133"/>
    <n v="106"/>
    <n v="0"/>
    <n v="270"/>
    <n v="206"/>
    <n v="0"/>
    <n v="-4"/>
    <n v="6"/>
    <n v="0"/>
    <n v="49"/>
    <s v="dic"/>
  </r>
  <r>
    <x v="46"/>
    <s v="Boston Celtics @ Toronto Raptors"/>
    <s v="Boston Celtics"/>
    <n v="111"/>
    <n v="121"/>
    <n v="1"/>
    <s v="Toronto Raptors"/>
    <n v="116"/>
    <n v="113"/>
    <n v="0"/>
    <n v="227"/>
    <n v="234"/>
    <n v="1"/>
    <n v="5"/>
    <n v="-8"/>
    <n v="0"/>
    <n v="49"/>
    <s v="dic"/>
  </r>
  <r>
    <x v="46"/>
    <s v="Denver Nuggets @ Charlotte Hornets"/>
    <s v="Denver Nuggets"/>
    <n v="116"/>
    <n v="115"/>
    <n v="0"/>
    <s v="Charlotte Hornets"/>
    <n v="110"/>
    <n v="106"/>
    <n v="0"/>
    <n v="226"/>
    <n v="221"/>
    <n v="0"/>
    <n v="-6"/>
    <n v="-9"/>
    <n v="1"/>
    <n v="49"/>
    <s v="dic"/>
  </r>
  <r>
    <x v="46"/>
    <s v="Portland Trail Blazers @ Memphis Grizzlies"/>
    <s v="Portland Trail Blazers"/>
    <n v="116"/>
    <n v="96"/>
    <n v="0"/>
    <s v="Memphis Grizzlies"/>
    <n v="124"/>
    <n v="119"/>
    <n v="0"/>
    <n v="240"/>
    <n v="215"/>
    <n v="0"/>
    <n v="8"/>
    <n v="23"/>
    <n v="1"/>
    <n v="49"/>
    <s v="dic"/>
  </r>
  <r>
    <x v="46"/>
    <s v="Golden State Warriors @ Chicago Bulls"/>
    <s v="Golden State Warriors"/>
    <n v="110"/>
    <n v="123"/>
    <n v="1"/>
    <s v="Chicago Bulls"/>
    <n v="120"/>
    <n v="91"/>
    <n v="0"/>
    <n v="230"/>
    <n v="214"/>
    <n v="0"/>
    <n v="10"/>
    <n v="-32"/>
    <n v="0"/>
    <n v="49"/>
    <s v="dic"/>
  </r>
  <r>
    <x v="46"/>
    <s v="Los Angeles Lakers @ Philadelphia 76ers"/>
    <s v="Los Angeles Lakers"/>
    <n v="111"/>
    <n v="112"/>
    <n v="1"/>
    <s v="Philadelphia 76ers"/>
    <n v="115"/>
    <n v="108"/>
    <n v="0"/>
    <n v="226"/>
    <n v="220"/>
    <n v="0"/>
    <n v="4"/>
    <n v="-4"/>
    <n v="0"/>
    <n v="49"/>
    <s v="dic"/>
  </r>
  <r>
    <x v="46"/>
    <s v="Oklahoma City Thunder @ Utah Jazz"/>
    <s v="Oklahoma City Thunder"/>
    <n v="121"/>
    <n v="131"/>
    <n v="1"/>
    <s v="Utah Jazz"/>
    <n v="124"/>
    <n v="101"/>
    <n v="0"/>
    <n v="245"/>
    <n v="232"/>
    <n v="0"/>
    <n v="3"/>
    <n v="-30"/>
    <n v="0"/>
    <n v="49"/>
    <s v="dic"/>
  </r>
  <r>
    <x v="47"/>
    <s v="Sacramento Kings @ Indiana Pacers"/>
    <s v="Sacramento Kings"/>
    <n v="129"/>
    <n v="105"/>
    <n v="0"/>
    <s v="Indiana Pacers"/>
    <n v="121"/>
    <n v="116"/>
    <n v="0"/>
    <n v="250"/>
    <n v="221"/>
    <n v="0"/>
    <n v="-8"/>
    <n v="11"/>
    <n v="0"/>
    <n v="50"/>
    <s v="dic"/>
  </r>
  <r>
    <x v="47"/>
    <s v="Phoenix Suns @ Minnesota Timberwolves"/>
    <s v="Phoenix Suns"/>
    <n v="117"/>
    <n v="108"/>
    <n v="0"/>
    <s v="Minnesota Timberwolves"/>
    <n v="122"/>
    <n v="105"/>
    <n v="0"/>
    <n v="239"/>
    <n v="213"/>
    <n v="0"/>
    <n v="5"/>
    <n v="-3"/>
    <n v="0"/>
    <n v="50"/>
    <s v="dic"/>
  </r>
  <r>
    <x v="47"/>
    <s v="San Antonio Spurs @ New Orleans Pelicans"/>
    <s v="San Antonio Spurs"/>
    <n v="124"/>
    <n v="135"/>
    <n v="1"/>
    <s v="New Orleans Pelicans"/>
    <n v="128"/>
    <n v="132"/>
    <n v="1"/>
    <n v="252"/>
    <n v="267"/>
    <n v="1"/>
    <n v="4"/>
    <n v="-3"/>
    <n v="0"/>
    <n v="50"/>
    <s v="dic"/>
  </r>
  <r>
    <x v="48"/>
    <s v="Miami Heat @ Orlando Magic"/>
    <s v="Miami Heat"/>
    <n v="124"/>
    <n v="108"/>
    <n v="0"/>
    <s v="Orlando Magic"/>
    <n v="116"/>
    <n v="117"/>
    <n v="1"/>
    <n v="240"/>
    <n v="225"/>
    <n v="0"/>
    <n v="-8"/>
    <n v="9"/>
    <n v="0"/>
    <n v="50"/>
    <s v="dic"/>
  </r>
  <r>
    <x v="48"/>
    <s v="New York Knicks @ Toronto Raptors"/>
    <s v="New York Knicks"/>
    <n v="115"/>
    <n v="117"/>
    <n v="1"/>
    <s v="Toronto Raptors"/>
    <n v="130"/>
    <n v="101"/>
    <n v="0"/>
    <n v="245"/>
    <n v="218"/>
    <n v="0"/>
    <n v="15"/>
    <n v="-16"/>
    <n v="0"/>
    <n v="50"/>
    <s v="dic"/>
  </r>
  <r>
    <x v="49"/>
    <s v="Phoenix Suns @ Oklahoma City Thunder"/>
    <s v="Phoenix Suns"/>
    <n v="125"/>
    <n v="89"/>
    <n v="0"/>
    <s v="Oklahoma City Thunder"/>
    <n v="121"/>
    <n v="138"/>
    <n v="1"/>
    <n v="246"/>
    <n v="227"/>
    <n v="0"/>
    <n v="-4"/>
    <n v="49"/>
    <n v="0"/>
    <n v="50"/>
    <s v="dic"/>
  </r>
  <r>
    <x v="49"/>
    <s v="San Antonio Spurs @ Los Angeles Lakers"/>
    <s v="San Antonio Spurs"/>
    <n v="111"/>
    <n v="132"/>
    <n v="1"/>
    <s v="Los Angeles Lakers"/>
    <n v="131"/>
    <n v="119"/>
    <n v="0"/>
    <n v="242"/>
    <n v="251"/>
    <n v="1"/>
    <n v="20"/>
    <n v="-13"/>
    <n v="0"/>
    <n v="50"/>
    <s v="dic"/>
  </r>
  <r>
    <x v="50"/>
    <s v="LA Clippers @ Houston Rockets"/>
    <s v="LA Clippers"/>
    <n v="124"/>
    <n v="113"/>
    <n v="0"/>
    <s v="Houston Rockets"/>
    <n v="120"/>
    <n v="115"/>
    <n v="0"/>
    <n v="244"/>
    <n v="228"/>
    <n v="0"/>
    <n v="-4"/>
    <n v="2"/>
    <n v="0"/>
    <n v="50"/>
    <s v="dic"/>
  </r>
  <r>
    <x v="50"/>
    <s v="Boston Celtics @ Milwaukee Bucks"/>
    <s v="Boston Celtics"/>
    <n v="110"/>
    <n v="101"/>
    <n v="0"/>
    <s v="Milwaukee Bucks"/>
    <n v="115"/>
    <n v="116"/>
    <n v="1"/>
    <n v="225"/>
    <n v="217"/>
    <n v="0"/>
    <n v="5"/>
    <n v="15"/>
    <n v="1"/>
    <n v="50"/>
    <s v="dic"/>
  </r>
  <r>
    <x v="50"/>
    <s v="Portland Trail Blazers @ New Orleans Pelicans"/>
    <s v="Portland Trail Blazers"/>
    <n v="110"/>
    <n v="120"/>
    <n v="1"/>
    <s v="New Orleans Pelicans"/>
    <n v="140"/>
    <n v="143"/>
    <n v="1"/>
    <n v="250"/>
    <n v="263"/>
    <n v="1"/>
    <n v="30"/>
    <n v="23"/>
    <n v="1"/>
    <n v="50"/>
    <s v="dic"/>
  </r>
  <r>
    <x v="50"/>
    <s v="Denver Nuggets @ Sacramento Kings"/>
    <s v="Denver Nuggets"/>
    <n v="125"/>
    <n v="136"/>
    <n v="1"/>
    <s v="Sacramento Kings"/>
    <n v="120"/>
    <n v="105"/>
    <n v="0"/>
    <n v="245"/>
    <n v="241"/>
    <n v="0"/>
    <n v="-5"/>
    <n v="-31"/>
    <n v="1"/>
    <n v="50"/>
    <s v="dic"/>
  </r>
  <r>
    <x v="51"/>
    <s v="Chicago Bulls @ Charlotte Hornets"/>
    <s v="Chicago Bulls"/>
    <n v="129"/>
    <n v="129"/>
    <n v="0"/>
    <s v="Charlotte Hornets"/>
    <n v="119"/>
    <n v="126"/>
    <n v="1"/>
    <n v="248"/>
    <n v="255"/>
    <n v="1"/>
    <n v="-10"/>
    <n v="-3"/>
    <n v="1"/>
    <n v="50"/>
    <s v="dic"/>
  </r>
  <r>
    <x v="51"/>
    <s v="Atlanta Hawks @ Detroit Pistons"/>
    <s v="Atlanta Hawks"/>
    <n v="117"/>
    <n v="115"/>
    <n v="0"/>
    <s v="Detroit Pistons"/>
    <n v="120"/>
    <n v="142"/>
    <n v="1"/>
    <n v="237"/>
    <n v="257"/>
    <n v="1"/>
    <n v="3"/>
    <n v="27"/>
    <n v="1"/>
    <n v="50"/>
    <s v="dic"/>
  </r>
  <r>
    <x v="51"/>
    <s v="Indiana Pacers @ Philadelphia 76ers"/>
    <s v="Indiana Pacers"/>
    <n v="107"/>
    <n v="105"/>
    <n v="0"/>
    <s v="Philadelphia 76ers"/>
    <n v="117"/>
    <n v="115"/>
    <n v="0"/>
    <n v="224"/>
    <n v="220"/>
    <n v="0"/>
    <n v="10"/>
    <n v="10"/>
    <n v="1"/>
    <n v="50"/>
    <s v="dic"/>
  </r>
  <r>
    <x v="51"/>
    <s v="Cleveland Cavaliers @ Washington Wizards"/>
    <s v="Cleveland Cavaliers"/>
    <n v="126"/>
    <n v="130"/>
    <n v="1"/>
    <s v="Washington Wizards"/>
    <n v="133"/>
    <n v="126"/>
    <n v="0"/>
    <n v="259"/>
    <n v="256"/>
    <n v="0"/>
    <n v="7"/>
    <n v="-4"/>
    <n v="0"/>
    <n v="50"/>
    <s v="dic"/>
  </r>
  <r>
    <x v="51"/>
    <s v="Utah Jazz @ Memphis Grizzlies"/>
    <s v="Utah Jazz"/>
    <n v="111"/>
    <n v="130"/>
    <n v="1"/>
    <s v="Memphis Grizzlies"/>
    <n v="121"/>
    <n v="126"/>
    <n v="1"/>
    <n v="232"/>
    <n v="256"/>
    <n v="1"/>
    <n v="10"/>
    <n v="-4"/>
    <n v="0"/>
    <n v="50"/>
    <s v="dic"/>
  </r>
  <r>
    <x v="51"/>
    <s v="Brooklyn Nets @ Dallas Mavericks"/>
    <s v="Brooklyn Nets"/>
    <n v="109"/>
    <n v="111"/>
    <n v="1"/>
    <s v="Dallas Mavericks"/>
    <n v="115"/>
    <n v="119"/>
    <n v="1"/>
    <n v="224"/>
    <n v="230"/>
    <n v="1"/>
    <n v="6"/>
    <n v="8"/>
    <n v="1"/>
    <n v="50"/>
    <s v="dic"/>
  </r>
  <r>
    <x v="51"/>
    <s v="Minnesota Timberwolves @ Golden State Warriors"/>
    <s v="Minnesota Timberwolves"/>
    <n v="122"/>
    <n v="127"/>
    <n v="1"/>
    <s v="Golden State Warriors"/>
    <n v="132"/>
    <n v="120"/>
    <n v="0"/>
    <n v="254"/>
    <n v="247"/>
    <n v="0"/>
    <n v="10"/>
    <n v="-7"/>
    <n v="0"/>
    <n v="50"/>
    <s v="dic"/>
  </r>
  <r>
    <x v="52"/>
    <s v="New York Knicks @ Orlando Magic"/>
    <s v="New York Knicks"/>
    <n v="103"/>
    <n v="132"/>
    <n v="1"/>
    <s v="Orlando Magic"/>
    <n v="101"/>
    <n v="120"/>
    <n v="1"/>
    <n v="204"/>
    <n v="252"/>
    <n v="1"/>
    <n v="-2"/>
    <n v="-12"/>
    <n v="1"/>
    <n v="50"/>
    <s v="dic"/>
  </r>
  <r>
    <x v="52"/>
    <s v="San Antonio Spurs @ Oklahoma City Thunder"/>
    <s v="San Antonio Spurs"/>
    <n v="97"/>
    <n v="111"/>
    <n v="1"/>
    <s v="Oklahoma City Thunder"/>
    <n v="110"/>
    <n v="109"/>
    <n v="0"/>
    <n v="207"/>
    <n v="220"/>
    <n v="1"/>
    <n v="13"/>
    <n v="-2"/>
    <n v="0"/>
    <n v="50"/>
    <s v="dic"/>
  </r>
  <r>
    <x v="53"/>
    <s v="Washington Wizards @ Indiana Pacers"/>
    <s v="Washington Wizards"/>
    <n v="128"/>
    <n v="108"/>
    <n v="0"/>
    <s v="Indiana Pacers"/>
    <n v="125"/>
    <n v="89"/>
    <n v="0"/>
    <n v="253"/>
    <n v="197"/>
    <n v="0"/>
    <n v="-3"/>
    <n v="-19"/>
    <n v="1"/>
    <n v="50"/>
    <s v="dic"/>
  </r>
  <r>
    <x v="53"/>
    <s v="Charlotte Hornets @ Cleveland Cavaliers"/>
    <s v="Charlotte Hornets"/>
    <n v="111"/>
    <n v="119"/>
    <n v="1"/>
    <s v="Cleveland Cavaliers"/>
    <n v="118"/>
    <n v="111"/>
    <n v="0"/>
    <n v="229"/>
    <n v="230"/>
    <n v="1"/>
    <n v="7"/>
    <n v="-8"/>
    <n v="0"/>
    <n v="50"/>
    <s v="dic"/>
  </r>
  <r>
    <x v="53"/>
    <s v="Philadelphia 76ers @ Atlanta Hawks"/>
    <s v="Philadelphia 76ers"/>
    <n v="113"/>
    <n v="117"/>
    <n v="1"/>
    <s v="Atlanta Hawks"/>
    <n v="116"/>
    <n v="120"/>
    <n v="1"/>
    <n v="229"/>
    <n v="237"/>
    <n v="1"/>
    <n v="3"/>
    <n v="3"/>
    <n v="1"/>
    <n v="50"/>
    <s v="dic"/>
  </r>
  <r>
    <x v="53"/>
    <s v="Milwaukee Bucks @ Brooklyn Nets"/>
    <s v="Milwaukee Bucks"/>
    <n v="119"/>
    <n v="82"/>
    <n v="0"/>
    <s v="Brooklyn Nets"/>
    <n v="117"/>
    <n v="127"/>
    <n v="1"/>
    <n v="236"/>
    <n v="209"/>
    <n v="0"/>
    <n v="-2"/>
    <n v="45"/>
    <n v="0"/>
    <n v="50"/>
    <s v="dic"/>
  </r>
  <r>
    <x v="53"/>
    <s v="Sacramento Kings @ Minnesota Timberwolves"/>
    <s v="Sacramento Kings"/>
    <n v="120"/>
    <n v="103"/>
    <n v="0"/>
    <s v="Minnesota Timberwolves"/>
    <n v="114"/>
    <n v="117"/>
    <n v="1"/>
    <n v="234"/>
    <n v="220"/>
    <n v="0"/>
    <n v="-6"/>
    <n v="14"/>
    <n v="0"/>
    <n v="50"/>
    <s v="dic"/>
  </r>
  <r>
    <x v="53"/>
    <s v="New Orleans Pelicans @ Chicago Bulls"/>
    <s v="New Orleans Pelicans"/>
    <n v="121"/>
    <n v="114"/>
    <n v="0"/>
    <s v="Chicago Bulls"/>
    <n v="126"/>
    <n v="104"/>
    <n v="0"/>
    <n v="247"/>
    <n v="218"/>
    <n v="0"/>
    <n v="5"/>
    <n v="-10"/>
    <n v="0"/>
    <n v="50"/>
    <s v="dic"/>
  </r>
  <r>
    <x v="53"/>
    <s v="Los Angeles Lakers @ Phoenix Suns"/>
    <s v="Los Angeles Lakers"/>
    <n v="117"/>
    <n v="116"/>
    <n v="0"/>
    <s v="Phoenix Suns"/>
    <n v="110"/>
    <n v="114"/>
    <n v="1"/>
    <n v="227"/>
    <n v="230"/>
    <n v="1"/>
    <n v="-7"/>
    <n v="-2"/>
    <n v="1"/>
    <n v="50"/>
    <s v="dic"/>
  </r>
  <r>
    <x v="53"/>
    <s v="Golden State Warriors @ Portland Trail Blazers"/>
    <s v="Golden State Warriors"/>
    <n v="116"/>
    <n v="131"/>
    <n v="1"/>
    <s v="Portland Trail Blazers"/>
    <n v="111"/>
    <n v="136"/>
    <n v="1"/>
    <n v="227"/>
    <n v="267"/>
    <n v="1"/>
    <n v="-5"/>
    <n v="5"/>
    <n v="0"/>
    <n v="50"/>
    <s v="dic"/>
  </r>
  <r>
    <x v="54"/>
    <s v="Detroit Pistons @ Boston Celtics"/>
    <s v="Detroit Pistons"/>
    <n v="122"/>
    <n v="112"/>
    <n v="0"/>
    <s v="Boston Celtics"/>
    <n v="117"/>
    <n v="105"/>
    <n v="0"/>
    <n v="239"/>
    <n v="217"/>
    <n v="0"/>
    <n v="-5"/>
    <n v="-7"/>
    <n v="1"/>
    <n v="51"/>
    <s v="dic"/>
  </r>
  <r>
    <x v="54"/>
    <s v="Toronto Raptors @ Miami Heat"/>
    <s v="Toronto Raptors"/>
    <n v="112"/>
    <n v="106"/>
    <n v="0"/>
    <s v="Miami Heat"/>
    <n v="119"/>
    <n v="96"/>
    <n v="0"/>
    <n v="231"/>
    <n v="202"/>
    <n v="0"/>
    <n v="7"/>
    <n v="-10"/>
    <n v="0"/>
    <n v="51"/>
    <s v="dic"/>
  </r>
  <r>
    <x v="54"/>
    <s v="Dallas Mavericks @ Utah Jazz"/>
    <s v="Dallas Mavericks"/>
    <n v="108"/>
    <n v="133"/>
    <n v="1"/>
    <s v="Utah Jazz"/>
    <n v="138"/>
    <n v="140"/>
    <n v="1"/>
    <n v="246"/>
    <n v="273"/>
    <n v="1"/>
    <n v="30"/>
    <n v="7"/>
    <n v="1"/>
    <n v="51"/>
    <s v="dic"/>
  </r>
  <r>
    <x v="54"/>
    <s v="Houston Rockets @ Denver Nuggets"/>
    <s v="Houston Rockets"/>
    <n v="118"/>
    <n v="125"/>
    <n v="1"/>
    <s v="Denver Nuggets"/>
    <n v="126"/>
    <n v="128"/>
    <n v="1"/>
    <n v="244"/>
    <n v="253"/>
    <n v="1"/>
    <n v="8"/>
    <n v="3"/>
    <n v="1"/>
    <n v="51"/>
    <s v="dic"/>
  </r>
  <r>
    <x v="54"/>
    <s v="Memphis Grizzlies @ LA Clippers"/>
    <s v="Memphis Grizzlies"/>
    <n v="119"/>
    <n v="121"/>
    <n v="1"/>
    <s v="LA Clippers"/>
    <n v="113"/>
    <n v="103"/>
    <n v="0"/>
    <n v="232"/>
    <n v="224"/>
    <n v="0"/>
    <n v="-6"/>
    <n v="-18"/>
    <n v="1"/>
    <n v="51"/>
    <s v="dic"/>
  </r>
  <r>
    <x v="55"/>
    <s v="San Antonio Spurs @ New York Knicks"/>
    <s v="San Antonio Spurs"/>
    <n v="90"/>
    <n v="113"/>
    <n v="1"/>
    <s v="New York Knicks"/>
    <n v="101"/>
    <n v="124"/>
    <n v="1"/>
    <n v="191"/>
    <n v="237"/>
    <n v="1"/>
    <n v="11"/>
    <n v="11"/>
    <n v="1"/>
    <n v="51"/>
    <s v="dic"/>
  </r>
  <r>
    <x v="56"/>
    <s v="Cleveland Cavaliers @ Chicago Bulls"/>
    <s v="Cleveland Cavaliers"/>
    <n v="128"/>
    <n v="111"/>
    <n v="0"/>
    <s v="Chicago Bulls"/>
    <n v="119"/>
    <n v="117"/>
    <n v="0"/>
    <n v="247"/>
    <n v="228"/>
    <n v="0"/>
    <n v="-9"/>
    <n v="6"/>
    <n v="0"/>
    <n v="51"/>
    <s v="dic"/>
  </r>
  <r>
    <x v="56"/>
    <s v="Memphis Grizzlies @ Minnesota Timberwolves"/>
    <s v="Memphis Grizzlies"/>
    <n v="117"/>
    <n v="116"/>
    <n v="0"/>
    <s v="Minnesota Timberwolves"/>
    <n v="122"/>
    <n v="110"/>
    <n v="0"/>
    <n v="239"/>
    <n v="226"/>
    <n v="0"/>
    <n v="5"/>
    <n v="-6"/>
    <n v="0"/>
    <n v="51"/>
    <s v="dic"/>
  </r>
  <r>
    <x v="57"/>
    <s v="Atlanta Hawks @ Charlotte Hornets"/>
    <s v="Atlanta Hawks"/>
    <n v="133"/>
    <n v="126"/>
    <n v="0"/>
    <s v="Charlotte Hornets"/>
    <n v="123"/>
    <n v="133"/>
    <n v="1"/>
    <n v="256"/>
    <n v="259"/>
    <n v="1"/>
    <n v="-10"/>
    <n v="7"/>
    <n v="0"/>
    <n v="51"/>
    <s v="dic"/>
  </r>
  <r>
    <x v="57"/>
    <s v="New York Knicks @ Indiana Pacers"/>
    <s v="New York Knicks"/>
    <n v="116"/>
    <n v="114"/>
    <n v="0"/>
    <s v="Indiana Pacers"/>
    <n v="124"/>
    <n v="113"/>
    <n v="0"/>
    <n v="240"/>
    <n v="227"/>
    <n v="0"/>
    <n v="8"/>
    <n v="-1"/>
    <n v="0"/>
    <n v="51"/>
    <s v="dic"/>
  </r>
  <r>
    <x v="57"/>
    <s v="Miami Heat @ Brooklyn Nets"/>
    <s v="Miami Heat"/>
    <n v="113"/>
    <n v="106"/>
    <n v="0"/>
    <s v="Brooklyn Nets"/>
    <n v="107"/>
    <n v="95"/>
    <n v="0"/>
    <n v="220"/>
    <n v="201"/>
    <n v="0"/>
    <n v="-6"/>
    <n v="-11"/>
    <n v="1"/>
    <n v="51"/>
    <s v="dic"/>
  </r>
  <r>
    <x v="57"/>
    <s v="LA Clippers @ Oklahoma City Thunder"/>
    <s v="LA Clippers"/>
    <n v="113"/>
    <n v="101"/>
    <n v="0"/>
    <s v="Oklahoma City Thunder"/>
    <n v="125"/>
    <n v="122"/>
    <n v="0"/>
    <n v="238"/>
    <n v="223"/>
    <n v="0"/>
    <n v="12"/>
    <n v="21"/>
    <n v="1"/>
    <n v="51"/>
    <s v="dic"/>
  </r>
  <r>
    <x v="57"/>
    <s v="Washington Wizards @ San Antonio Spurs"/>
    <s v="Washington Wizards"/>
    <n v="122"/>
    <n v="94"/>
    <n v="0"/>
    <s v="San Antonio Spurs"/>
    <n v="128"/>
    <n v="119"/>
    <n v="0"/>
    <n v="250"/>
    <n v="213"/>
    <n v="0"/>
    <n v="6"/>
    <n v="25"/>
    <n v="1"/>
    <n v="51"/>
    <s v="dic"/>
  </r>
  <r>
    <x v="57"/>
    <s v="Toronto Raptors @ Milwaukee Bucks"/>
    <s v="Toronto Raptors"/>
    <n v="110"/>
    <n v="111"/>
    <n v="1"/>
    <s v="Milwaukee Bucks"/>
    <n v="118"/>
    <n v="105"/>
    <n v="0"/>
    <n v="228"/>
    <n v="216"/>
    <n v="0"/>
    <n v="8"/>
    <n v="-6"/>
    <n v="0"/>
    <n v="51"/>
    <s v="dic"/>
  </r>
  <r>
    <x v="57"/>
    <s v="Houston Rockets @ New Orleans Pelicans"/>
    <s v="Houston Rockets"/>
    <n v="119"/>
    <n v="128"/>
    <n v="1"/>
    <s v="New Orleans Pelicans"/>
    <n v="129"/>
    <n v="133"/>
    <n v="1"/>
    <n v="248"/>
    <n v="261"/>
    <n v="1"/>
    <n v="10"/>
    <n v="5"/>
    <n v="1"/>
    <n v="51"/>
    <s v="dic"/>
  </r>
  <r>
    <x v="57"/>
    <s v="Detroit Pistons @ Dallas Mavericks"/>
    <s v="Detroit Pistons"/>
    <n v="111"/>
    <n v="114"/>
    <n v="1"/>
    <s v="Dallas Mavericks"/>
    <n v="116"/>
    <n v="116"/>
    <n v="0"/>
    <n v="227"/>
    <n v="230"/>
    <n v="1"/>
    <n v="5"/>
    <n v="2"/>
    <n v="1"/>
    <n v="51"/>
    <s v="dic"/>
  </r>
  <r>
    <x v="57"/>
    <s v="Orlando Magic @ Denver Nuggets"/>
    <s v="Orlando Magic"/>
    <n v="129"/>
    <n v="115"/>
    <n v="0"/>
    <s v="Denver Nuggets"/>
    <n v="129"/>
    <n v="126"/>
    <n v="0"/>
    <n v="258"/>
    <n v="241"/>
    <n v="0"/>
    <n v="0"/>
    <n v="11"/>
    <n v="0"/>
    <n v="51"/>
    <s v="dic"/>
  </r>
  <r>
    <x v="57"/>
    <s v="Golden State Warriors @ Phoenix Suns"/>
    <s v="Golden State Warriors"/>
    <n v="115"/>
    <n v="98"/>
    <n v="0"/>
    <s v="Phoenix Suns"/>
    <n v="134"/>
    <n v="99"/>
    <n v="0"/>
    <n v="249"/>
    <n v="197"/>
    <n v="0"/>
    <n v="19"/>
    <n v="1"/>
    <n v="1"/>
    <n v="51"/>
    <s v="dic"/>
  </r>
  <r>
    <x v="57"/>
    <s v="Los Angeles Lakers @ Utah Jazz"/>
    <s v="Los Angeles Lakers"/>
    <n v="124"/>
    <n v="143"/>
    <n v="1"/>
    <s v="Utah Jazz"/>
    <n v="136"/>
    <n v="135"/>
    <n v="0"/>
    <n v="260"/>
    <n v="278"/>
    <n v="1"/>
    <n v="12"/>
    <n v="-8"/>
    <n v="0"/>
    <n v="51"/>
    <s v="dic"/>
  </r>
  <r>
    <x v="57"/>
    <s v="Sacramento Kings @ Portland Trail Blazers"/>
    <s v="Sacramento Kings"/>
    <n v="113"/>
    <n v="133"/>
    <n v="1"/>
    <s v="Portland Trail Blazers"/>
    <n v="119"/>
    <n v="134"/>
    <n v="1"/>
    <n v="232"/>
    <n v="267"/>
    <n v="1"/>
    <n v="6"/>
    <n v="1"/>
    <n v="1"/>
    <n v="51"/>
    <s v="dic"/>
  </r>
  <r>
    <x v="58"/>
    <s v="Miami Heat @ Boston Celtics"/>
    <s v="Miami Heat"/>
    <n v="124"/>
    <n v="116"/>
    <n v="0"/>
    <s v="Boston Celtics"/>
    <n v="118"/>
    <n v="129"/>
    <n v="1"/>
    <n v="242"/>
    <n v="245"/>
    <n v="1"/>
    <n v="-6"/>
    <n v="13"/>
    <n v="0"/>
    <n v="51"/>
    <s v="dic"/>
  </r>
  <r>
    <x v="58"/>
    <s v="Philadelphia 76ers @ New York Knicks"/>
    <s v="Philadelphia 76ers"/>
    <n v="125"/>
    <n v="116"/>
    <n v="0"/>
    <s v="New York Knicks"/>
    <n v="130"/>
    <n v="107"/>
    <n v="0"/>
    <n v="255"/>
    <n v="223"/>
    <n v="0"/>
    <n v="5"/>
    <n v="-9"/>
    <n v="0"/>
    <n v="51"/>
    <s v="dic"/>
  </r>
  <r>
    <x v="58"/>
    <s v="San Antonio Spurs @ Atlanta Hawks"/>
    <s v="San Antonio Spurs"/>
    <n v="116"/>
    <n v="126"/>
    <n v="1"/>
    <s v="Atlanta Hawks"/>
    <n v="122"/>
    <n v="98"/>
    <n v="0"/>
    <n v="238"/>
    <n v="224"/>
    <n v="0"/>
    <n v="6"/>
    <n v="-28"/>
    <n v="0"/>
    <n v="51"/>
    <s v="dic"/>
  </r>
  <r>
    <x v="58"/>
    <s v="Chicago Bulls @ Cleveland Cavaliers"/>
    <s v="Chicago Bulls"/>
    <n v="115"/>
    <n v="136"/>
    <n v="1"/>
    <s v="Cleveland Cavaliers"/>
    <n v="126"/>
    <n v="125"/>
    <n v="0"/>
    <n v="241"/>
    <n v="261"/>
    <n v="1"/>
    <n v="11"/>
    <n v="-11"/>
    <n v="0"/>
    <n v="51"/>
    <s v="dic"/>
  </r>
  <r>
    <x v="58"/>
    <s v="Oklahoma City Thunder @ Minnesota Timberwolves"/>
    <s v="Oklahoma City Thunder"/>
    <n v="110"/>
    <n v="107"/>
    <n v="0"/>
    <s v="Minnesota Timberwolves"/>
    <n v="114"/>
    <n v="112"/>
    <n v="0"/>
    <n v="224"/>
    <n v="219"/>
    <n v="0"/>
    <n v="4"/>
    <n v="5"/>
    <n v="1"/>
    <n v="51"/>
    <s v="dic"/>
  </r>
  <r>
    <x v="59"/>
    <s v="Houston Rockets @ Denver Nuggets"/>
    <s v="Houston Rockets"/>
    <n v="127"/>
    <n v="115"/>
    <n v="0"/>
    <s v="Denver Nuggets"/>
    <n v="123"/>
    <n v="101"/>
    <n v="0"/>
    <n v="250"/>
    <n v="216"/>
    <n v="0"/>
    <n v="-4"/>
    <n v="-14"/>
    <n v="1"/>
    <n v="51"/>
    <s v="dic"/>
  </r>
  <r>
    <x v="59"/>
    <s v="Dallas Mavericks @ Philadelphia 76ers"/>
    <s v="Dallas Mavericks"/>
    <n v="111"/>
    <n v="114"/>
    <n v="1"/>
    <s v="Philadelphia 76ers"/>
    <n v="118"/>
    <n v="121"/>
    <n v="1"/>
    <n v="229"/>
    <n v="235"/>
    <n v="1"/>
    <n v="7"/>
    <n v="7"/>
    <n v="1"/>
    <n v="51"/>
    <s v="dic"/>
  </r>
  <r>
    <x v="59"/>
    <s v="Boston Celtics @ Toronto Raptors"/>
    <s v="Boston Celtics"/>
    <n v="108"/>
    <n v="112"/>
    <n v="1"/>
    <s v="Toronto Raptors"/>
    <n v="106"/>
    <n v="96"/>
    <n v="0"/>
    <n v="214"/>
    <n v="208"/>
    <n v="0"/>
    <n v="-2"/>
    <n v="-16"/>
    <n v="1"/>
    <n v="51"/>
    <s v="dic"/>
  </r>
  <r>
    <x v="59"/>
    <s v="Indiana Pacers @ New Orleans Pelicans"/>
    <s v="Indiana Pacers"/>
    <n v="118"/>
    <n v="109"/>
    <n v="0"/>
    <s v="New Orleans Pelicans"/>
    <n v="135"/>
    <n v="128"/>
    <n v="0"/>
    <n v="253"/>
    <n v="237"/>
    <n v="0"/>
    <n v="17"/>
    <n v="19"/>
    <n v="1"/>
    <n v="51"/>
    <s v="dic"/>
  </r>
  <r>
    <x v="59"/>
    <s v="Charlotte Hornets @ Detroit Pistons"/>
    <s v="Charlotte Hornets"/>
    <n v="117"/>
    <n v="86"/>
    <n v="0"/>
    <s v="Detroit Pistons"/>
    <n v="113"/>
    <n v="112"/>
    <n v="0"/>
    <n v="230"/>
    <n v="198"/>
    <n v="0"/>
    <n v="-4"/>
    <n v="26"/>
    <n v="0"/>
    <n v="51"/>
    <s v="dic"/>
  </r>
  <r>
    <x v="59"/>
    <s v="Washington Wizards @ Memphis Grizzlies"/>
    <s v="Washington Wizards"/>
    <n v="114"/>
    <n v="130"/>
    <n v="1"/>
    <s v="Memphis Grizzlies"/>
    <n v="126"/>
    <n v="122"/>
    <n v="0"/>
    <n v="240"/>
    <n v="252"/>
    <n v="1"/>
    <n v="12"/>
    <n v="-8"/>
    <n v="0"/>
    <n v="51"/>
    <s v="dic"/>
  </r>
  <r>
    <x v="59"/>
    <s v="Phoenix Suns @ Golden State Warriors"/>
    <s v="Phoenix Suns"/>
    <n v="121"/>
    <n v="116"/>
    <n v="0"/>
    <s v="Golden State Warriors"/>
    <n v="123"/>
    <n v="119"/>
    <n v="0"/>
    <n v="244"/>
    <n v="235"/>
    <n v="0"/>
    <n v="2"/>
    <n v="3"/>
    <n v="1"/>
    <n v="51"/>
    <s v="dic"/>
  </r>
  <r>
    <x v="59"/>
    <s v="Orlando Magic @ Utah Jazz"/>
    <s v="Orlando Magic"/>
    <n v="117"/>
    <n v="128"/>
    <n v="1"/>
    <s v="Utah Jazz"/>
    <n v="124"/>
    <n v="127"/>
    <n v="1"/>
    <n v="241"/>
    <n v="255"/>
    <n v="1"/>
    <n v="7"/>
    <n v="-1"/>
    <n v="0"/>
    <n v="51"/>
    <s v="dic"/>
  </r>
  <r>
    <x v="59"/>
    <s v="Portland Trail Blazers @ Sacramento Kings"/>
    <s v="Portland Trail Blazers"/>
    <n v="114"/>
    <n v="98"/>
    <n v="0"/>
    <s v="Sacramento Kings"/>
    <n v="116"/>
    <n v="93"/>
    <n v="0"/>
    <n v="230"/>
    <n v="191"/>
    <n v="0"/>
    <n v="2"/>
    <n v="-5"/>
    <n v="0"/>
    <n v="51"/>
    <s v="dic"/>
  </r>
  <r>
    <x v="59"/>
    <s v="Los Angeles Lakers @ LA Clippers"/>
    <s v="Los Angeles Lakers"/>
    <n v="113"/>
    <n v="88"/>
    <n v="0"/>
    <s v="LA Clippers"/>
    <n v="117"/>
    <n v="103"/>
    <n v="0"/>
    <n v="230"/>
    <n v="191"/>
    <n v="0"/>
    <n v="4"/>
    <n v="15"/>
    <n v="1"/>
    <n v="51"/>
    <s v="dic"/>
  </r>
  <r>
    <x v="60"/>
    <s v="Chicago Bulls @ Atlanta Hawks"/>
    <s v="Chicago Bulls"/>
    <n v="128"/>
    <n v="152"/>
    <n v="1"/>
    <s v="Atlanta Hawks"/>
    <n v="125"/>
    <n v="150"/>
    <n v="1"/>
    <n v="253"/>
    <n v="302"/>
    <n v="1"/>
    <n v="-3"/>
    <n v="-2"/>
    <n v="1"/>
    <n v="51"/>
    <s v="dic"/>
  </r>
  <r>
    <x v="60"/>
    <s v="Toronto Raptors @ Brooklyn Nets"/>
    <s v="Toronto Raptors"/>
    <n v="115"/>
    <n v="81"/>
    <n v="0"/>
    <s v="Brooklyn Nets"/>
    <n v="112"/>
    <n v="96"/>
    <n v="0"/>
    <n v="227"/>
    <n v="177"/>
    <n v="0"/>
    <n v="-3"/>
    <n v="15"/>
    <n v="0"/>
    <n v="51"/>
    <s v="dic"/>
  </r>
  <r>
    <x v="60"/>
    <s v="Miami Heat @ New York Knicks"/>
    <s v="Miami Heat"/>
    <n v="111"/>
    <n v="125"/>
    <n v="1"/>
    <s v="New York Knicks"/>
    <n v="122"/>
    <n v="132"/>
    <n v="1"/>
    <n v="233"/>
    <n v="257"/>
    <n v="1"/>
    <n v="11"/>
    <n v="7"/>
    <n v="1"/>
    <n v="51"/>
    <s v="dic"/>
  </r>
  <r>
    <x v="60"/>
    <s v="San Antonio Spurs @ Washington Wizards"/>
    <s v="San Antonio Spurs"/>
    <n v="131"/>
    <n v="124"/>
    <n v="0"/>
    <s v="Washington Wizards"/>
    <n v="136"/>
    <n v="113"/>
    <n v="0"/>
    <n v="267"/>
    <n v="237"/>
    <n v="0"/>
    <n v="5"/>
    <n v="-11"/>
    <n v="0"/>
    <n v="51"/>
    <s v="dic"/>
  </r>
  <r>
    <x v="60"/>
    <s v="Milwaukee Bucks @ Minnesota Timberwolves"/>
    <s v="Milwaukee Bucks"/>
    <n v="122"/>
    <n v="100"/>
    <n v="0"/>
    <s v="Minnesota Timberwolves"/>
    <n v="115"/>
    <n v="103"/>
    <n v="0"/>
    <n v="237"/>
    <n v="203"/>
    <n v="0"/>
    <n v="-7"/>
    <n v="3"/>
    <n v="0"/>
    <n v="51"/>
    <s v="dic"/>
  </r>
  <r>
    <x v="60"/>
    <s v="Houston Rockets @ Sacramento Kings"/>
    <s v="Houston Rockets"/>
    <n v="118"/>
    <n v="124"/>
    <n v="1"/>
    <s v="Sacramento Kings"/>
    <n v="114"/>
    <n v="125"/>
    <n v="1"/>
    <n v="232"/>
    <n v="249"/>
    <n v="1"/>
    <n v="-4"/>
    <n v="1"/>
    <n v="0"/>
    <n v="51"/>
    <s v="dic"/>
  </r>
  <r>
    <x v="61"/>
    <s v="Charlotte Hornets @ Cleveland Cavaliers"/>
    <s v="Charlotte Hornets"/>
    <n v="125"/>
    <n v="132"/>
    <n v="1"/>
    <s v="Cleveland Cavaliers"/>
    <n v="121"/>
    <n v="139"/>
    <n v="1"/>
    <n v="246"/>
    <n v="271"/>
    <n v="1"/>
    <n v="-4"/>
    <n v="7"/>
    <n v="0"/>
    <n v="52"/>
    <s v="dic"/>
  </r>
  <r>
    <x v="61"/>
    <s v="Indiana Pacers @ Boston Celtics"/>
    <s v="Indiana Pacers"/>
    <n v="110"/>
    <n v="95"/>
    <n v="0"/>
    <s v="Boston Celtics"/>
    <n v="122"/>
    <n v="103"/>
    <n v="0"/>
    <n v="232"/>
    <n v="198"/>
    <n v="0"/>
    <n v="12"/>
    <n v="8"/>
    <n v="1"/>
    <n v="52"/>
    <s v="dic"/>
  </r>
  <r>
    <x v="61"/>
    <s v="Dallas Mavericks @ New Orleans Pelicans"/>
    <s v="Dallas Mavericks"/>
    <n v="115"/>
    <n v="113"/>
    <n v="0"/>
    <s v="New Orleans Pelicans"/>
    <n v="126"/>
    <n v="119"/>
    <n v="0"/>
    <n v="241"/>
    <n v="232"/>
    <n v="0"/>
    <n v="11"/>
    <n v="6"/>
    <n v="1"/>
    <n v="52"/>
    <s v="dic"/>
  </r>
  <r>
    <x v="61"/>
    <s v="Utah Jazz @ Denver Nuggets"/>
    <s v="Utah Jazz"/>
    <n v="114"/>
    <n v="112"/>
    <n v="0"/>
    <s v="Denver Nuggets"/>
    <n v="133"/>
    <n v="135"/>
    <n v="1"/>
    <n v="247"/>
    <n v="247"/>
    <n v="0"/>
    <n v="19"/>
    <n v="23"/>
    <n v="1"/>
    <n v="52"/>
    <s v="dic"/>
  </r>
  <r>
    <x v="61"/>
    <s v="Memphis Grizzlies @ Oklahoma City Thunder"/>
    <s v="Memphis Grizzlies"/>
    <n v="105"/>
    <n v="103"/>
    <n v="0"/>
    <s v="Oklahoma City Thunder"/>
    <n v="119"/>
    <n v="119"/>
    <n v="0"/>
    <n v="224"/>
    <n v="222"/>
    <n v="0"/>
    <n v="14"/>
    <n v="16"/>
    <n v="1"/>
    <n v="52"/>
    <s v="dic"/>
  </r>
  <r>
    <x v="61"/>
    <s v="Orlando Magic @ Golden State Warriors"/>
    <s v="Orlando Magic"/>
    <n v="122"/>
    <n v="97"/>
    <n v="0"/>
    <s v="Golden State Warriors"/>
    <n v="127"/>
    <n v="120"/>
    <n v="0"/>
    <n v="249"/>
    <n v="217"/>
    <n v="0"/>
    <n v="5"/>
    <n v="23"/>
    <n v="1"/>
    <n v="52"/>
    <s v="dic"/>
  </r>
  <r>
    <x v="61"/>
    <s v="Detroit Pistons @ Portland Trail Blazers"/>
    <s v="Detroit Pistons"/>
    <n v="118"/>
    <n v="110"/>
    <n v="0"/>
    <s v="Portland Trail Blazers"/>
    <n v="116"/>
    <n v="102"/>
    <n v="0"/>
    <n v="234"/>
    <n v="212"/>
    <n v="0"/>
    <n v="-2"/>
    <n v="-8"/>
    <n v="1"/>
    <n v="52"/>
    <s v="dic"/>
  </r>
  <r>
    <x v="62"/>
    <s v="Washington Wizards @ Charlotte Hornets"/>
    <s v="Washington Wizards"/>
    <n v="133"/>
    <n v="109"/>
    <n v="0"/>
    <s v="Charlotte Hornets"/>
    <n v="124"/>
    <n v="126"/>
    <n v="1"/>
    <n v="257"/>
    <n v="235"/>
    <n v="0"/>
    <n v="-9"/>
    <n v="17"/>
    <n v="0"/>
    <n v="52"/>
    <s v="dic"/>
  </r>
  <r>
    <x v="62"/>
    <s v="Brooklyn Nets @ Philadelphia 76ers"/>
    <s v="Brooklyn Nets"/>
    <n v="111"/>
    <n v="114"/>
    <n v="1"/>
    <s v="Philadelphia 76ers"/>
    <n v="120"/>
    <n v="106"/>
    <n v="0"/>
    <n v="231"/>
    <n v="220"/>
    <n v="0"/>
    <n v="9"/>
    <n v="-8"/>
    <n v="0"/>
    <n v="52"/>
    <s v="dic"/>
  </r>
  <r>
    <x v="62"/>
    <s v="Chicago Bulls @ Atlanta Hawks"/>
    <s v="Chicago Bulls"/>
    <n v="113"/>
    <n v="126"/>
    <n v="1"/>
    <s v="Atlanta Hawks"/>
    <n v="119"/>
    <n v="123"/>
    <n v="1"/>
    <n v="232"/>
    <n v="249"/>
    <n v="1"/>
    <n v="6"/>
    <n v="-3"/>
    <n v="0"/>
    <n v="52"/>
    <s v="dic"/>
  </r>
  <r>
    <x v="62"/>
    <s v="New Orleans Pelicans @ Cleveland Cavaliers"/>
    <s v="New Orleans Pelicans"/>
    <n v="117"/>
    <n v="118"/>
    <n v="1"/>
    <s v="Cleveland Cavaliers"/>
    <n v="128"/>
    <n v="141"/>
    <n v="1"/>
    <n v="245"/>
    <n v="259"/>
    <n v="1"/>
    <n v="11"/>
    <n v="23"/>
    <n v="1"/>
    <n v="52"/>
    <s v="dic"/>
  </r>
  <r>
    <x v="62"/>
    <s v="Milwaukee Bucks @ Indiana Pacers"/>
    <s v="Milwaukee Bucks"/>
    <n v="111"/>
    <n v="111"/>
    <n v="0"/>
    <s v="Indiana Pacers"/>
    <n v="108"/>
    <n v="94"/>
    <n v="0"/>
    <n v="219"/>
    <n v="205"/>
    <n v="0"/>
    <n v="-3"/>
    <n v="-17"/>
    <n v="1"/>
    <n v="52"/>
    <s v="dic"/>
  </r>
  <r>
    <x v="62"/>
    <s v="Toronto Raptors @ Miami Heat"/>
    <s v="Toronto Raptors"/>
    <n v="110"/>
    <n v="112"/>
    <n v="1"/>
    <s v="Miami Heat"/>
    <n v="115"/>
    <n v="91"/>
    <n v="0"/>
    <n v="225"/>
    <n v="203"/>
    <n v="0"/>
    <n v="5"/>
    <n v="-21"/>
    <n v="0"/>
    <n v="52"/>
    <s v="dic"/>
  </r>
  <r>
    <x v="62"/>
    <s v="Denver Nuggets @ Dallas Mavericks"/>
    <s v="Denver Nuggets"/>
    <n v="119"/>
    <n v="130"/>
    <n v="1"/>
    <s v="Dallas Mavericks"/>
    <n v="108"/>
    <n v="131"/>
    <n v="1"/>
    <n v="227"/>
    <n v="261"/>
    <n v="1"/>
    <n v="-11"/>
    <n v="1"/>
    <n v="0"/>
    <n v="52"/>
    <s v="dic"/>
  </r>
  <r>
    <x v="62"/>
    <s v="New York Knicks @ Minnesota Timberwolves"/>
    <s v="New York Knicks"/>
    <n v="109"/>
    <n v="104"/>
    <n v="0"/>
    <s v="Minnesota Timberwolves"/>
    <n v="125"/>
    <n v="115"/>
    <n v="0"/>
    <n v="234"/>
    <n v="219"/>
    <n v="0"/>
    <n v="16"/>
    <n v="11"/>
    <n v="1"/>
    <n v="52"/>
    <s v="dic"/>
  </r>
  <r>
    <x v="62"/>
    <s v="Oklahoma City Thunder @ San Antonio Spurs"/>
    <s v="Oklahoma City Thunder"/>
    <n v="119"/>
    <n v="110"/>
    <n v="0"/>
    <s v="San Antonio Spurs"/>
    <n v="125"/>
    <n v="130"/>
    <n v="1"/>
    <n v="244"/>
    <n v="240"/>
    <n v="0"/>
    <n v="6"/>
    <n v="20"/>
    <n v="1"/>
    <n v="52"/>
    <s v="dic"/>
  </r>
  <r>
    <x v="62"/>
    <s v="Los Angeles Lakers @ Phoenix Suns"/>
    <s v="Los Angeles Lakers"/>
    <n v="114"/>
    <n v="108"/>
    <n v="0"/>
    <s v="Phoenix Suns"/>
    <n v="117"/>
    <n v="132"/>
    <n v="1"/>
    <n v="231"/>
    <n v="240"/>
    <n v="1"/>
    <n v="3"/>
    <n v="24"/>
    <n v="1"/>
    <n v="52"/>
    <s v="dic"/>
  </r>
  <r>
    <x v="62"/>
    <s v="Memphis Grizzlies @ Utah Jazz"/>
    <s v="Memphis Grizzlies"/>
    <n v="123"/>
    <n v="137"/>
    <n v="1"/>
    <s v="Utah Jazz"/>
    <n v="136"/>
    <n v="128"/>
    <n v="0"/>
    <n v="259"/>
    <n v="265"/>
    <n v="1"/>
    <n v="13"/>
    <n v="-9"/>
    <n v="0"/>
    <n v="52"/>
    <s v="dic"/>
  </r>
  <r>
    <x v="62"/>
    <s v="Orlando Magic @ Portland Trail Blazers"/>
    <s v="Orlando Magic"/>
    <n v="111"/>
    <n v="110"/>
    <n v="0"/>
    <s v="Portland Trail Blazers"/>
    <n v="116"/>
    <n v="106"/>
    <n v="0"/>
    <n v="227"/>
    <n v="216"/>
    <n v="0"/>
    <n v="5"/>
    <n v="-4"/>
    <n v="0"/>
    <n v="52"/>
    <s v="dic"/>
  </r>
  <r>
    <x v="62"/>
    <s v="Detroit Pistons @ Sacramento Kings"/>
    <s v="Detroit Pistons"/>
    <n v="123"/>
    <n v="136"/>
    <n v="1"/>
    <s v="Sacramento Kings"/>
    <n v="118"/>
    <n v="127"/>
    <n v="1"/>
    <n v="241"/>
    <n v="263"/>
    <n v="1"/>
    <n v="-5"/>
    <n v="-9"/>
    <n v="1"/>
    <n v="52"/>
    <s v="dic"/>
  </r>
  <r>
    <x v="62"/>
    <s v="Houston Rockets @ LA Clippers"/>
    <s v="Houston Rockets"/>
    <n v="114"/>
    <n v="108"/>
    <n v="0"/>
    <s v="LA Clippers"/>
    <n v="126"/>
    <n v="128"/>
    <n v="1"/>
    <n v="240"/>
    <n v="236"/>
    <n v="0"/>
    <n v="12"/>
    <n v="20"/>
    <n v="1"/>
    <n v="52"/>
    <s v="dic"/>
  </r>
  <r>
    <x v="63"/>
    <s v="Cleveland Cavaliers @ New York Knicks"/>
    <s v="Cleveland Cavaliers"/>
    <n v="137"/>
    <n v="124"/>
    <n v="0"/>
    <s v="New York Knicks"/>
    <n v="131"/>
    <n v="126"/>
    <n v="0"/>
    <n v="268"/>
    <n v="250"/>
    <n v="0"/>
    <n v="-6"/>
    <n v="2"/>
    <n v="0"/>
    <n v="52"/>
    <s v="dic"/>
  </r>
  <r>
    <x v="63"/>
    <s v="San Antonio Spurs @ Oklahoma City Thunder"/>
    <s v="San Antonio Spurs"/>
    <n v="113"/>
    <n v="117"/>
    <n v="1"/>
    <s v="Oklahoma City Thunder"/>
    <n v="131"/>
    <n v="102"/>
    <n v="0"/>
    <n v="244"/>
    <n v="219"/>
    <n v="0"/>
    <n v="18"/>
    <n v="-15"/>
    <n v="0"/>
    <n v="52"/>
    <s v="dic"/>
  </r>
  <r>
    <x v="63"/>
    <s v="Dallas Mavericks @ Golden State Warriors"/>
    <s v="Dallas Mavericks"/>
    <n v="117"/>
    <n v="116"/>
    <n v="0"/>
    <s v="Golden State Warriors"/>
    <n v="126"/>
    <n v="126"/>
    <n v="0"/>
    <n v="243"/>
    <n v="242"/>
    <n v="0"/>
    <n v="9"/>
    <n v="10"/>
    <n v="1"/>
    <n v="52"/>
    <s v="dic"/>
  </r>
  <r>
    <x v="63"/>
    <s v="Houston Rockets @ Los Angeles Lakers"/>
    <s v="Houston Rockets"/>
    <n v="116"/>
    <n v="119"/>
    <n v="1"/>
    <s v="Los Angeles Lakers"/>
    <n v="127"/>
    <n v="96"/>
    <n v="0"/>
    <n v="243"/>
    <n v="215"/>
    <n v="0"/>
    <n v="11"/>
    <n v="-23"/>
    <n v="0"/>
    <n v="52"/>
    <s v="dic"/>
  </r>
  <r>
    <x v="63"/>
    <s v="Minnesota Timberwolves @ Denver Nuggets"/>
    <s v="Minnesota Timberwolves"/>
    <n v="112"/>
    <n v="138"/>
    <n v="1"/>
    <s v="Denver Nuggets"/>
    <n v="120"/>
    <n v="142"/>
    <n v="1"/>
    <n v="232"/>
    <n v="280"/>
    <n v="1"/>
    <n v="8"/>
    <n v="4"/>
    <n v="1"/>
    <n v="52"/>
    <s v="dic"/>
  </r>
  <r>
    <x v="64"/>
    <s v="Miami Heat @ Atlanta Hawks"/>
    <s v="Miami Heat"/>
    <n v="129"/>
    <n v="126"/>
    <n v="0"/>
    <s v="Atlanta Hawks"/>
    <n v="121"/>
    <n v="111"/>
    <n v="0"/>
    <n v="250"/>
    <n v="237"/>
    <n v="0"/>
    <n v="-8"/>
    <n v="-15"/>
    <n v="1"/>
    <n v="52"/>
    <s v="dic"/>
  </r>
  <r>
    <x v="64"/>
    <s v="Charlotte Hornets @ Orlando Magic"/>
    <s v="Charlotte Hornets"/>
    <n v="108"/>
    <n v="120"/>
    <n v="1"/>
    <s v="Orlando Magic"/>
    <n v="116"/>
    <n v="105"/>
    <n v="0"/>
    <n v="224"/>
    <n v="225"/>
    <n v="1"/>
    <n v="8"/>
    <n v="-15"/>
    <n v="0"/>
    <n v="52"/>
    <s v="dic"/>
  </r>
  <r>
    <x v="64"/>
    <s v="Toronto Raptors @ Washington Wizards"/>
    <s v="Toronto Raptors"/>
    <n v="116"/>
    <n v="117"/>
    <n v="1"/>
    <s v="Washington Wizards"/>
    <n v="126"/>
    <n v="138"/>
    <n v="1"/>
    <n v="242"/>
    <n v="255"/>
    <n v="1"/>
    <n v="10"/>
    <n v="21"/>
    <n v="1"/>
    <n v="52"/>
    <s v="dic"/>
  </r>
  <r>
    <x v="64"/>
    <s v="Boston Celtics @ Indiana Pacers"/>
    <s v="Boston Celtics"/>
    <n v="118"/>
    <n v="140"/>
    <n v="1"/>
    <s v="Indiana Pacers"/>
    <n v="113"/>
    <n v="122"/>
    <n v="1"/>
    <n v="231"/>
    <n v="262"/>
    <n v="1"/>
    <n v="-5"/>
    <n v="-18"/>
    <n v="1"/>
    <n v="52"/>
    <s v="dic"/>
  </r>
  <r>
    <x v="64"/>
    <s v="Philadelphia 76ers @ Chicago Bulls"/>
    <s v="Philadelphia 76ers"/>
    <n v="119"/>
    <n v="102"/>
    <n v="0"/>
    <s v="Chicago Bulls"/>
    <n v="112"/>
    <n v="109"/>
    <n v="0"/>
    <n v="231"/>
    <n v="211"/>
    <n v="0"/>
    <n v="-7"/>
    <n v="7"/>
    <n v="0"/>
    <n v="52"/>
    <s v="dic"/>
  </r>
  <r>
    <x v="64"/>
    <s v="Milwaukee Bucks @ Memphis Grizzlies"/>
    <s v="Milwaukee Bucks"/>
    <n v="114"/>
    <n v="104"/>
    <n v="0"/>
    <s v="Memphis Grizzlies"/>
    <n v="120"/>
    <n v="125"/>
    <n v="1"/>
    <n v="234"/>
    <n v="229"/>
    <n v="0"/>
    <n v="6"/>
    <n v="21"/>
    <n v="1"/>
    <n v="52"/>
    <s v="dic"/>
  </r>
  <r>
    <x v="64"/>
    <s v="Phoenix Suns @ New Orleans Pelicans"/>
    <s v="Phoenix Suns"/>
    <n v="122"/>
    <n v="115"/>
    <n v="0"/>
    <s v="New Orleans Pelicans"/>
    <n v="126"/>
    <n v="108"/>
    <n v="0"/>
    <n v="248"/>
    <n v="223"/>
    <n v="0"/>
    <n v="4"/>
    <n v="-7"/>
    <n v="0"/>
    <n v="52"/>
    <s v="dic"/>
  </r>
  <r>
    <x v="64"/>
    <s v="Detroit Pistons @ Utah Jazz"/>
    <s v="Detroit Pistons"/>
    <n v="116"/>
    <n v="129"/>
    <n v="1"/>
    <s v="Utah Jazz"/>
    <n v="124"/>
    <n v="131"/>
    <n v="1"/>
    <n v="240"/>
    <n v="260"/>
    <n v="1"/>
    <n v="8"/>
    <n v="2"/>
    <n v="1"/>
    <n v="52"/>
    <s v="dic"/>
  </r>
  <r>
    <x v="64"/>
    <s v="LA Clippers @ Portland Trail Blazers"/>
    <s v="LA Clippers"/>
    <n v="119"/>
    <n v="119"/>
    <n v="0"/>
    <s v="Portland Trail Blazers"/>
    <n v="116"/>
    <n v="103"/>
    <n v="0"/>
    <n v="235"/>
    <n v="222"/>
    <n v="0"/>
    <n v="-3"/>
    <n v="-16"/>
    <n v="1"/>
    <n v="52"/>
    <s v="dic"/>
  </r>
  <r>
    <x v="65"/>
    <s v="Dallas Mavericks @ Sacramento Kings"/>
    <s v="Dallas Mavericks"/>
    <n v="128"/>
    <n v="107"/>
    <n v="0"/>
    <s v="Sacramento Kings"/>
    <n v="119"/>
    <n v="113"/>
    <n v="0"/>
    <n v="247"/>
    <n v="220"/>
    <n v="0"/>
    <n v="-9"/>
    <n v="6"/>
    <n v="0"/>
    <n v="52"/>
    <s v="dic"/>
  </r>
  <r>
    <x v="65"/>
    <s v="Denver Nuggets @ Orlando Magic"/>
    <s v="Denver Nuggets"/>
    <n v="116"/>
    <n v="126"/>
    <n v="1"/>
    <s v="Orlando Magic"/>
    <n v="113"/>
    <n v="127"/>
    <n v="1"/>
    <n v="229"/>
    <n v="253"/>
    <n v="1"/>
    <n v="-3"/>
    <n v="1"/>
    <n v="0"/>
    <n v="52"/>
    <s v="dic"/>
  </r>
  <r>
    <x v="65"/>
    <s v="Phoenix Suns @ New Orleans Pelicans"/>
    <s v="Phoenix Suns"/>
    <n v="109"/>
    <n v="123"/>
    <n v="1"/>
    <s v="New Orleans Pelicans"/>
    <n v="126"/>
    <n v="114"/>
    <n v="0"/>
    <n v="235"/>
    <n v="237"/>
    <n v="1"/>
    <n v="17"/>
    <n v="-9"/>
    <n v="0"/>
    <n v="52"/>
    <s v="dic"/>
  </r>
  <r>
    <x v="65"/>
    <s v="New York Knicks @ Atlanta Hawks"/>
    <s v="New York Knicks"/>
    <n v="122"/>
    <n v="128"/>
    <n v="1"/>
    <s v="Atlanta Hawks"/>
    <n v="133"/>
    <n v="125"/>
    <n v="0"/>
    <n v="255"/>
    <n v="253"/>
    <n v="0"/>
    <n v="11"/>
    <n v="-3"/>
    <n v="0"/>
    <n v="52"/>
    <s v="dic"/>
  </r>
  <r>
    <x v="65"/>
    <s v="Indiana Pacers @ Miami Heat"/>
    <s v="Indiana Pacers"/>
    <n v="116"/>
    <n v="116"/>
    <n v="0"/>
    <s v="Miami Heat"/>
    <n v="113"/>
    <n v="142"/>
    <n v="1"/>
    <n v="229"/>
    <n v="258"/>
    <n v="1"/>
    <n v="-3"/>
    <n v="26"/>
    <n v="0"/>
    <n v="52"/>
    <s v="dic"/>
  </r>
  <r>
    <x v="65"/>
    <s v="Milwaukee Bucks @ Chicago Bulls"/>
    <s v="Milwaukee Bucks"/>
    <n v="116"/>
    <n v="112"/>
    <n v="0"/>
    <s v="Chicago Bulls"/>
    <n v="121"/>
    <n v="103"/>
    <n v="0"/>
    <n v="237"/>
    <n v="215"/>
    <n v="0"/>
    <n v="5"/>
    <n v="-9"/>
    <n v="0"/>
    <n v="52"/>
    <s v="dic"/>
  </r>
  <r>
    <x v="65"/>
    <s v="Cleveland Cavaliers @ Houston Rockets"/>
    <s v="Cleveland Cavaliers"/>
    <n v="118"/>
    <n v="100"/>
    <n v="0"/>
    <s v="Houston Rockets"/>
    <n v="114"/>
    <n v="117"/>
    <n v="1"/>
    <n v="232"/>
    <n v="217"/>
    <n v="0"/>
    <n v="-4"/>
    <n v="17"/>
    <n v="0"/>
    <n v="52"/>
    <s v="dic"/>
  </r>
  <r>
    <x v="65"/>
    <s v="Brooklyn Nets @ Minnesota Timberwolves"/>
    <s v="Brooklyn Nets"/>
    <n v="104"/>
    <n v="123"/>
    <n v="1"/>
    <s v="Minnesota Timberwolves"/>
    <n v="118"/>
    <n v="107"/>
    <n v="0"/>
    <n v="222"/>
    <n v="230"/>
    <n v="1"/>
    <n v="14"/>
    <n v="-16"/>
    <n v="0"/>
    <n v="52"/>
    <s v="dic"/>
  </r>
  <r>
    <x v="65"/>
    <s v="Utah Jazz @ San Antonio Spurs"/>
    <s v="Utah Jazz"/>
    <n v="125"/>
    <n v="127"/>
    <n v="1"/>
    <s v="San Antonio Spurs"/>
    <n v="129"/>
    <n v="114"/>
    <n v="0"/>
    <n v="254"/>
    <n v="241"/>
    <n v="0"/>
    <n v="4"/>
    <n v="-13"/>
    <n v="0"/>
    <n v="52"/>
    <s v="dic"/>
  </r>
  <r>
    <x v="66"/>
    <s v="Golden State Warriors @ Toronto Raptors"/>
    <s v="Golden State Warriors"/>
    <n v="127"/>
    <n v="127"/>
    <n v="0"/>
    <s v="Toronto Raptors"/>
    <n v="123"/>
    <n v="141"/>
    <n v="1"/>
    <n v="250"/>
    <n v="268"/>
    <n v="1"/>
    <n v="-4"/>
    <n v="14"/>
    <n v="0"/>
    <n v="52"/>
    <s v="dic"/>
  </r>
  <r>
    <x v="66"/>
    <s v="Philadelphia 76ers @ Oklahoma City Thunder"/>
    <s v="Philadelphia 76ers"/>
    <n v="110"/>
    <n v="104"/>
    <n v="0"/>
    <s v="Oklahoma City Thunder"/>
    <n v="123"/>
    <n v="129"/>
    <n v="1"/>
    <n v="233"/>
    <n v="233"/>
    <n v="0"/>
    <n v="13"/>
    <n v="25"/>
    <n v="1"/>
    <n v="52"/>
    <s v="dic"/>
  </r>
  <r>
    <x v="66"/>
    <s v="Memphis Grizzlies @ Washington Wizards"/>
    <s v="Memphis Grizzlies"/>
    <n v="110"/>
    <n v="112"/>
    <n v="1"/>
    <s v="Washington Wizards"/>
    <n v="139"/>
    <n v="116"/>
    <n v="0"/>
    <n v="249"/>
    <n v="228"/>
    <n v="0"/>
    <n v="29"/>
    <n v="4"/>
    <n v="1"/>
    <n v="52"/>
    <s v="dic"/>
  </r>
  <r>
    <x v="66"/>
    <s v="Boston Celtics @ Portland Trail Blazers"/>
    <s v="Boston Celtics"/>
    <n v="117"/>
    <n v="108"/>
    <n v="0"/>
    <s v="Portland Trail Blazers"/>
    <n v="120"/>
    <n v="114"/>
    <n v="0"/>
    <n v="237"/>
    <n v="222"/>
    <n v="0"/>
    <n v="3"/>
    <n v="6"/>
    <n v="1"/>
    <n v="52"/>
    <s v="dic"/>
  </r>
  <r>
    <x v="66"/>
    <s v="Detroit Pistons @ LA Clippers"/>
    <s v="Detroit Pistons"/>
    <n v="118"/>
    <n v="99"/>
    <n v="0"/>
    <s v="LA Clippers"/>
    <n v="106"/>
    <n v="112"/>
    <n v="1"/>
    <n v="224"/>
    <n v="211"/>
    <n v="0"/>
    <n v="-12"/>
    <n v="13"/>
    <n v="0"/>
    <n v="52"/>
    <s v="dic"/>
  </r>
  <r>
    <x v="66"/>
    <s v="Sacramento Kings @ Los Angeles Lakers"/>
    <s v="Sacramento Kings"/>
    <n v="111"/>
    <n v="101"/>
    <n v="0"/>
    <s v="Los Angeles Lakers"/>
    <n v="124"/>
    <n v="125"/>
    <n v="1"/>
    <n v="235"/>
    <n v="226"/>
    <n v="0"/>
    <n v="13"/>
    <n v="24"/>
    <n v="1"/>
    <n v="52"/>
    <s v="dic"/>
  </r>
  <r>
    <x v="67"/>
    <s v="Milwaukee Bucks @ Charlotte Hornets"/>
    <s v="Milwaukee Bucks"/>
    <n v="129"/>
    <n v="123"/>
    <n v="0"/>
    <s v="Charlotte Hornets"/>
    <n v="116"/>
    <n v="113"/>
    <n v="0"/>
    <n v="245"/>
    <n v="236"/>
    <n v="0"/>
    <n v="-13"/>
    <n v="-10"/>
    <n v="1"/>
    <n v="53"/>
    <s v="dic"/>
  </r>
  <r>
    <x v="67"/>
    <s v="Phoenix Suns @ Washington Wizards"/>
    <s v="Phoenix Suns"/>
    <n v="120"/>
    <n v="115"/>
    <n v="0"/>
    <s v="Washington Wizards"/>
    <n v="130"/>
    <n v="101"/>
    <n v="0"/>
    <n v="250"/>
    <n v="216"/>
    <n v="0"/>
    <n v="10"/>
    <n v="-14"/>
    <n v="0"/>
    <n v="53"/>
    <s v="dic"/>
  </r>
  <r>
    <x v="67"/>
    <s v="Golden State Warriors @ Brooklyn Nets"/>
    <s v="Golden State Warriors"/>
    <n v="109"/>
    <n v="120"/>
    <n v="1"/>
    <s v="Brooklyn Nets"/>
    <n v="117"/>
    <n v="107"/>
    <n v="0"/>
    <n v="226"/>
    <n v="227"/>
    <n v="1"/>
    <n v="8"/>
    <n v="-13"/>
    <n v="0"/>
    <n v="53"/>
    <s v="dic"/>
  </r>
  <r>
    <x v="67"/>
    <s v="Denver Nuggets @ Miami Heat"/>
    <s v="Denver Nuggets"/>
    <n v="115"/>
    <n v="123"/>
    <n v="1"/>
    <s v="Miami Heat"/>
    <n v="123"/>
    <n v="147"/>
    <n v="1"/>
    <n v="238"/>
    <n v="270"/>
    <n v="1"/>
    <n v="8"/>
    <n v="24"/>
    <n v="1"/>
    <n v="53"/>
    <s v="dic"/>
  </r>
  <r>
    <x v="67"/>
    <s v="Orlando Magic @ Toronto Raptors"/>
    <s v="Orlando Magic"/>
    <n v="102"/>
    <n v="106"/>
    <n v="1"/>
    <s v="Toronto Raptors"/>
    <n v="112"/>
    <n v="107"/>
    <n v="0"/>
    <n v="214"/>
    <n v="213"/>
    <n v="0"/>
    <n v="10"/>
    <n v="1"/>
    <n v="1"/>
    <n v="53"/>
    <s v="dic"/>
  </r>
  <r>
    <x v="67"/>
    <s v="Minnesota Timberwolves @ Chicago Bulls"/>
    <s v="Minnesota Timberwolves"/>
    <n v="115"/>
    <n v="136"/>
    <n v="1"/>
    <s v="Chicago Bulls"/>
    <n v="120"/>
    <n v="101"/>
    <n v="0"/>
    <n v="235"/>
    <n v="237"/>
    <n v="1"/>
    <n v="5"/>
    <n v="-35"/>
    <n v="0"/>
    <n v="53"/>
    <s v="dic"/>
  </r>
  <r>
    <x v="67"/>
    <s v="Indiana Pacers @ Houston Rockets"/>
    <s v="Indiana Pacers"/>
    <n v="113"/>
    <n v="119"/>
    <n v="1"/>
    <s v="Houston Rockets"/>
    <n v="120"/>
    <n v="126"/>
    <n v="1"/>
    <n v="233"/>
    <n v="245"/>
    <n v="1"/>
    <n v="7"/>
    <n v="7"/>
    <n v="1"/>
    <n v="53"/>
    <s v="dic"/>
  </r>
  <r>
    <x v="67"/>
    <s v="New York Knicks @ New Orleans Pelicans"/>
    <s v="New York Knicks"/>
    <n v="121"/>
    <n v="130"/>
    <n v="1"/>
    <s v="New Orleans Pelicans"/>
    <n v="133"/>
    <n v="125"/>
    <n v="0"/>
    <n v="254"/>
    <n v="255"/>
    <n v="1"/>
    <n v="12"/>
    <n v="-5"/>
    <n v="0"/>
    <n v="53"/>
    <s v="dic"/>
  </r>
  <r>
    <x v="67"/>
    <s v="Atlanta Hawks @ Oklahoma City Thunder"/>
    <s v="Atlanta Hawks"/>
    <n v="129"/>
    <n v="129"/>
    <n v="0"/>
    <s v="Oklahoma City Thunder"/>
    <n v="131"/>
    <n v="140"/>
    <n v="1"/>
    <n v="260"/>
    <n v="269"/>
    <n v="1"/>
    <n v="2"/>
    <n v="11"/>
    <n v="1"/>
    <n v="53"/>
    <s v="dic"/>
  </r>
  <r>
    <x v="67"/>
    <s v="Cleveland Cavaliers @ San Antonio Spurs"/>
    <s v="Cleveland Cavaliers"/>
    <n v="124"/>
    <n v="113"/>
    <n v="0"/>
    <s v="San Antonio Spurs"/>
    <n v="136"/>
    <n v="101"/>
    <n v="0"/>
    <n v="260"/>
    <n v="214"/>
    <n v="0"/>
    <n v="12"/>
    <n v="-12"/>
    <n v="0"/>
    <n v="53"/>
    <s v="dic"/>
  </r>
  <r>
    <x v="67"/>
    <s v="Dallas Mavericks @ Portland Trail Blazers"/>
    <s v="Dallas Mavericks"/>
    <n v="119"/>
    <n v="122"/>
    <n v="1"/>
    <s v="Portland Trail Blazers"/>
    <n v="123"/>
    <n v="125"/>
    <n v="1"/>
    <n v="242"/>
    <n v="247"/>
    <n v="1"/>
    <n v="4"/>
    <n v="3"/>
    <n v="1"/>
    <n v="53"/>
    <s v="dic"/>
  </r>
  <r>
    <x v="68"/>
    <s v="Philadelphia 76ers @ Memphis Grizzlies"/>
    <s v="Philadelphia 76ers"/>
    <n v="128"/>
    <n v="139"/>
    <n v="1"/>
    <s v="Memphis Grizzlies"/>
    <n v="119"/>
    <n v="136"/>
    <n v="1"/>
    <n v="247"/>
    <n v="275"/>
    <n v="1"/>
    <n v="-9"/>
    <n v="-3"/>
    <n v="1"/>
    <n v="53"/>
    <s v="dic"/>
  </r>
  <r>
    <x v="68"/>
    <s v="Boston Celtics @ Utah Jazz"/>
    <s v="Boston Celtics"/>
    <n v="122"/>
    <n v="125"/>
    <n v="1"/>
    <s v="Utah Jazz"/>
    <n v="121"/>
    <n v="119"/>
    <n v="0"/>
    <n v="243"/>
    <n v="244"/>
    <n v="1"/>
    <n v="-1"/>
    <n v="-6"/>
    <n v="1"/>
    <n v="53"/>
    <s v="dic"/>
  </r>
  <r>
    <x v="68"/>
    <s v="Detroit Pistons @ Los Angeles Lakers"/>
    <s v="Detroit Pistons"/>
    <n v="107"/>
    <n v="128"/>
    <n v="1"/>
    <s v="Los Angeles Lakers"/>
    <n v="119"/>
    <n v="106"/>
    <n v="0"/>
    <n v="226"/>
    <n v="234"/>
    <n v="1"/>
    <n v="12"/>
    <n v="-22"/>
    <n v="0"/>
    <n v="53"/>
    <s v="dic"/>
  </r>
  <r>
    <x v="68"/>
    <s v="Sacramento Kings @ LA Clippers"/>
    <s v="Sacramento Kings"/>
    <n v="116"/>
    <n v="90"/>
    <n v="0"/>
    <s v="LA Clippers"/>
    <n v="126"/>
    <n v="131"/>
    <n v="1"/>
    <n v="242"/>
    <n v="221"/>
    <n v="0"/>
    <n v="10"/>
    <n v="41"/>
    <n v="1"/>
    <n v="53"/>
    <s v="dic"/>
  </r>
  <r>
    <x v="69"/>
    <s v="Golden State Warriors @ Charlotte Hornets"/>
    <s v="Golden State Warriors"/>
    <n v="133"/>
    <n v="132"/>
    <n v="0"/>
    <s v="Charlotte Hornets"/>
    <n v="126"/>
    <n v="125"/>
    <n v="0"/>
    <n v="259"/>
    <n v="257"/>
    <n v="0"/>
    <n v="-7"/>
    <n v="-7"/>
    <n v="1"/>
    <n v="53"/>
    <s v="dic"/>
  </r>
  <r>
    <x v="69"/>
    <s v="Minnesota Timberwolves @ Atlanta Hawks"/>
    <s v="Minnesota Timberwolves"/>
    <n v="122"/>
    <n v="102"/>
    <n v="0"/>
    <s v="Atlanta Hawks"/>
    <n v="119"/>
    <n v="126"/>
    <n v="1"/>
    <n v="241"/>
    <n v="228"/>
    <n v="0"/>
    <n v="-3"/>
    <n v="24"/>
    <n v="0"/>
    <n v="53"/>
    <s v="dic"/>
  </r>
  <r>
    <x v="69"/>
    <s v="Orlando Magic @ Indiana Pacers"/>
    <s v="Orlando Magic"/>
    <n v="106"/>
    <n v="112"/>
    <n v="1"/>
    <s v="Indiana Pacers"/>
    <n v="111"/>
    <n v="110"/>
    <n v="0"/>
    <n v="217"/>
    <n v="222"/>
    <n v="1"/>
    <n v="5"/>
    <n v="-2"/>
    <n v="0"/>
    <n v="53"/>
    <s v="dic"/>
  </r>
  <r>
    <x v="69"/>
    <s v="Phoenix Suns @ Cleveland Cavaliers"/>
    <s v="Phoenix Suns"/>
    <n v="118"/>
    <n v="113"/>
    <n v="0"/>
    <s v="Cleveland Cavaliers"/>
    <n v="121"/>
    <n v="129"/>
    <n v="1"/>
    <n v="239"/>
    <n v="242"/>
    <n v="1"/>
    <n v="3"/>
    <n v="16"/>
    <n v="1"/>
    <n v="53"/>
    <s v="dic"/>
  </r>
  <r>
    <x v="69"/>
    <s v="New Orleans Pelicans @ Chicago Bulls"/>
    <s v="New Orleans Pelicans"/>
    <n v="121"/>
    <n v="118"/>
    <n v="0"/>
    <s v="Chicago Bulls"/>
    <n v="115"/>
    <n v="134"/>
    <n v="1"/>
    <n v="236"/>
    <n v="252"/>
    <n v="1"/>
    <n v="-6"/>
    <n v="16"/>
    <n v="0"/>
    <n v="53"/>
    <s v="dic"/>
  </r>
  <r>
    <x v="69"/>
    <s v="New York Knicks @ San Antonio Spurs"/>
    <s v="New York Knicks"/>
    <n v="125"/>
    <n v="132"/>
    <n v="1"/>
    <s v="San Antonio Spurs"/>
    <n v="133"/>
    <n v="134"/>
    <n v="1"/>
    <n v="258"/>
    <n v="266"/>
    <n v="1"/>
    <n v="8"/>
    <n v="2"/>
    <n v="1"/>
    <n v="53"/>
    <s v="dic"/>
  </r>
  <r>
    <x v="69"/>
    <s v="Denver Nuggets @ Toronto Raptors"/>
    <s v="Denver Nuggets"/>
    <n v="116"/>
    <n v="106"/>
    <n v="0"/>
    <s v="Toronto Raptors"/>
    <n v="107"/>
    <n v="103"/>
    <n v="0"/>
    <n v="223"/>
    <n v="209"/>
    <n v="0"/>
    <n v="-9"/>
    <n v="-3"/>
    <n v="1"/>
    <n v="53"/>
    <s v="dic"/>
  </r>
  <r>
    <x v="69"/>
    <s v="Washington Wizards @ Milwaukee Bucks"/>
    <s v="Washington Wizards"/>
    <n v="108"/>
    <n v="114"/>
    <n v="1"/>
    <s v="Milwaukee Bucks"/>
    <n v="125"/>
    <n v="113"/>
    <n v="0"/>
    <n v="233"/>
    <n v="227"/>
    <n v="0"/>
    <n v="17"/>
    <n v="-1"/>
    <n v="0"/>
    <n v="53"/>
    <s v="dic"/>
  </r>
  <r>
    <x v="69"/>
    <s v="Portland Trail Blazers @ Oklahoma City Thunder"/>
    <s v="Portland Trail Blazers"/>
    <n v="108"/>
    <n v="95"/>
    <n v="0"/>
    <s v="Oklahoma City Thunder"/>
    <n v="125"/>
    <n v="124"/>
    <n v="0"/>
    <n v="233"/>
    <n v="219"/>
    <n v="0"/>
    <n v="17"/>
    <n v="29"/>
    <n v="1"/>
    <n v="53"/>
    <s v="dic"/>
  </r>
  <r>
    <x v="70"/>
    <s v="Houston Rockets @ Brooklyn Nets"/>
    <s v="Houston Rockets"/>
    <n v="128"/>
    <n v="120"/>
    <n v="0"/>
    <s v="Brooklyn Nets"/>
    <n v="114"/>
    <n v="96"/>
    <n v="0"/>
    <n v="242"/>
    <n v="216"/>
    <n v="0"/>
    <n v="-14"/>
    <n v="-24"/>
    <n v="1"/>
    <n v="1"/>
    <s v="ene"/>
  </r>
  <r>
    <x v="70"/>
    <s v="Miami Heat @ Detroit Pistons"/>
    <s v="Miami Heat"/>
    <n v="114"/>
    <n v="118"/>
    <n v="1"/>
    <s v="Detroit Pistons"/>
    <n v="117"/>
    <n v="112"/>
    <n v="0"/>
    <n v="231"/>
    <n v="230"/>
    <n v="0"/>
    <n v="3"/>
    <n v="-6"/>
    <n v="0"/>
    <n v="1"/>
    <s v="ene"/>
  </r>
  <r>
    <x v="70"/>
    <s v="Philadelphia 76ers @ Dallas Mavericks"/>
    <s v="Philadelphia 76ers"/>
    <n v="110"/>
    <n v="123"/>
    <n v="1"/>
    <s v="Dallas Mavericks"/>
    <n v="110"/>
    <n v="108"/>
    <n v="0"/>
    <n v="220"/>
    <n v="231"/>
    <n v="1"/>
    <n v="0"/>
    <n v="-15"/>
    <n v="0"/>
    <n v="1"/>
    <s v="ene"/>
  </r>
  <r>
    <x v="70"/>
    <s v="Boston Celtics @ Sacramento Kings"/>
    <s v="Boston Celtics"/>
    <n v="121"/>
    <n v="120"/>
    <n v="0"/>
    <s v="Sacramento Kings"/>
    <n v="116"/>
    <n v="106"/>
    <n v="0"/>
    <n v="237"/>
    <n v="226"/>
    <n v="0"/>
    <n v="-5"/>
    <n v="-14"/>
    <n v="1"/>
    <n v="1"/>
    <s v="ene"/>
  </r>
  <r>
    <x v="70"/>
    <s v="Utah Jazz @ LA Clippers"/>
    <s v="Utah Jazz"/>
    <n v="118"/>
    <n v="101"/>
    <n v="0"/>
    <s v="LA Clippers"/>
    <n v="121"/>
    <n v="118"/>
    <n v="0"/>
    <n v="239"/>
    <n v="219"/>
    <n v="0"/>
    <n v="3"/>
    <n v="17"/>
    <n v="1"/>
    <n v="1"/>
    <s v="ene"/>
  </r>
  <r>
    <x v="71"/>
    <s v="San Antonio Spurs @ Indiana Pacers"/>
    <s v="San Antonio Spurs"/>
    <n v="128"/>
    <n v="123"/>
    <n v="0"/>
    <s v="Indiana Pacers"/>
    <n v="125"/>
    <n v="113"/>
    <n v="0"/>
    <n v="253"/>
    <n v="236"/>
    <n v="0"/>
    <n v="-3"/>
    <n v="-10"/>
    <n v="1"/>
    <n v="1"/>
    <s v="ene"/>
  </r>
  <r>
    <x v="71"/>
    <s v="Brooklyn Nets @ Washington Wizards"/>
    <s v="Brooklyn Nets"/>
    <n v="119"/>
    <n v="99"/>
    <n v="0"/>
    <s v="Washington Wizards"/>
    <n v="133"/>
    <n v="119"/>
    <n v="0"/>
    <n v="252"/>
    <n v="218"/>
    <n v="0"/>
    <n v="14"/>
    <n v="20"/>
    <n v="1"/>
    <n v="1"/>
    <s v="ene"/>
  </r>
  <r>
    <x v="71"/>
    <s v="Denver Nuggets @ Cleveland Cavaliers"/>
    <s v="Denver Nuggets"/>
    <n v="114"/>
    <n v="108"/>
    <n v="0"/>
    <s v="Cleveland Cavaliers"/>
    <n v="112"/>
    <n v="113"/>
    <n v="1"/>
    <n v="226"/>
    <n v="221"/>
    <n v="0"/>
    <n v="-2"/>
    <n v="5"/>
    <n v="0"/>
    <n v="1"/>
    <s v="ene"/>
  </r>
  <r>
    <x v="71"/>
    <s v="Atlanta Hawks @ New York Knicks"/>
    <s v="Atlanta Hawks"/>
    <n v="127"/>
    <n v="111"/>
    <n v="0"/>
    <s v="New York Knicks"/>
    <n v="136"/>
    <n v="99"/>
    <n v="0"/>
    <n v="263"/>
    <n v="210"/>
    <n v="0"/>
    <n v="9"/>
    <n v="-12"/>
    <n v="0"/>
    <n v="1"/>
    <s v="ene"/>
  </r>
  <r>
    <x v="71"/>
    <s v="Orlando Magic @ Chicago Bulls"/>
    <s v="Orlando Magic"/>
    <n v="119"/>
    <n v="114"/>
    <n v="0"/>
    <s v="Chicago Bulls"/>
    <n v="105"/>
    <n v="121"/>
    <n v="1"/>
    <n v="224"/>
    <n v="235"/>
    <n v="1"/>
    <n v="-14"/>
    <n v="7"/>
    <n v="0"/>
    <n v="1"/>
    <s v="ene"/>
  </r>
  <r>
    <x v="71"/>
    <s v="Charlotte Hornets @ Milwaukee Bucks"/>
    <s v="Charlotte Hornets"/>
    <n v="107"/>
    <n v="121"/>
    <n v="1"/>
    <s v="Milwaukee Bucks"/>
    <n v="120"/>
    <n v="122"/>
    <n v="1"/>
    <n v="227"/>
    <n v="243"/>
    <n v="1"/>
    <n v="13"/>
    <n v="1"/>
    <n v="1"/>
    <n v="1"/>
    <s v="ene"/>
  </r>
  <r>
    <x v="71"/>
    <s v="Portland Trail Blazers @ New Orleans Pelicans"/>
    <s v="Portland Trail Blazers"/>
    <n v="121"/>
    <n v="122"/>
    <n v="1"/>
    <s v="New Orleans Pelicans"/>
    <n v="125"/>
    <n v="109"/>
    <n v="0"/>
    <n v="246"/>
    <n v="231"/>
    <n v="0"/>
    <n v="4"/>
    <n v="-13"/>
    <n v="0"/>
    <n v="1"/>
    <s v="ene"/>
  </r>
  <r>
    <x v="71"/>
    <s v="Sacramento Kings @ Phoenix Suns"/>
    <s v="Sacramento Kings"/>
    <n v="106"/>
    <n v="102"/>
    <n v="0"/>
    <s v="Phoenix Suns"/>
    <n v="116"/>
    <n v="129"/>
    <n v="1"/>
    <n v="222"/>
    <n v="231"/>
    <n v="1"/>
    <n v="10"/>
    <n v="27"/>
    <n v="1"/>
    <n v="1"/>
    <s v="ene"/>
  </r>
  <r>
    <x v="71"/>
    <s v="Oklahoma City Thunder @ Golden State Warriors"/>
    <s v="Oklahoma City Thunder"/>
    <n v="120"/>
    <n v="131"/>
    <n v="1"/>
    <s v="Golden State Warriors"/>
    <n v="123"/>
    <n v="94"/>
    <n v="0"/>
    <n v="243"/>
    <n v="225"/>
    <n v="0"/>
    <n v="3"/>
    <n v="-37"/>
    <n v="0"/>
    <n v="1"/>
    <s v="ene"/>
  </r>
  <r>
    <x v="71"/>
    <s v="Memphis Grizzlies @ Los Angeles Lakers"/>
    <s v="Memphis Grizzlies"/>
    <n v="114"/>
    <n v="121"/>
    <n v="1"/>
    <s v="Los Angeles Lakers"/>
    <n v="121"/>
    <n v="128"/>
    <n v="1"/>
    <n v="235"/>
    <n v="249"/>
    <n v="1"/>
    <n v="7"/>
    <n v="7"/>
    <n v="1"/>
    <n v="1"/>
    <s v="ene"/>
  </r>
  <r>
    <x v="72"/>
    <s v="Minnesota Timberwolves @ Miami Heat"/>
    <s v="Minnesota Timberwolves"/>
    <n v="125"/>
    <n v="125"/>
    <n v="0"/>
    <s v="Miami Heat"/>
    <n v="121"/>
    <n v="115"/>
    <n v="0"/>
    <n v="246"/>
    <n v="240"/>
    <n v="0"/>
    <n v="-4"/>
    <n v="-10"/>
    <n v="1"/>
    <n v="1"/>
    <s v="ene"/>
  </r>
  <r>
    <x v="72"/>
    <s v="Philadelphia 76ers @ New York Knicks"/>
    <s v="Philadelphia 76ers"/>
    <n v="121"/>
    <n v="130"/>
    <n v="1"/>
    <s v="New York Knicks"/>
    <n v="130"/>
    <n v="119"/>
    <n v="0"/>
    <n v="251"/>
    <n v="249"/>
    <n v="0"/>
    <n v="9"/>
    <n v="-11"/>
    <n v="0"/>
    <n v="1"/>
    <s v="ene"/>
  </r>
  <r>
    <x v="72"/>
    <s v="Atlanta Hawks @ Toronto Raptors"/>
    <s v="Atlanta Hawks"/>
    <n v="110"/>
    <n v="117"/>
    <n v="1"/>
    <s v="Toronto Raptors"/>
    <n v="115"/>
    <n v="134"/>
    <n v="1"/>
    <n v="225"/>
    <n v="251"/>
    <n v="1"/>
    <n v="5"/>
    <n v="17"/>
    <n v="1"/>
    <n v="1"/>
    <s v="ene"/>
  </r>
  <r>
    <x v="72"/>
    <s v="Charlotte Hornets @ Chicago Bulls"/>
    <s v="Charlotte Hornets"/>
    <n v="113"/>
    <n v="112"/>
    <n v="0"/>
    <s v="Chicago Bulls"/>
    <n v="120"/>
    <n v="99"/>
    <n v="0"/>
    <n v="233"/>
    <n v="211"/>
    <n v="0"/>
    <n v="7"/>
    <n v="-13"/>
    <n v="0"/>
    <n v="1"/>
    <s v="ene"/>
  </r>
  <r>
    <x v="72"/>
    <s v="Portland Trail Blazers @ San Antonio Spurs"/>
    <s v="Portland Trail Blazers"/>
    <n v="113"/>
    <n v="115"/>
    <n v="1"/>
    <s v="San Antonio Spurs"/>
    <n v="128"/>
    <n v="110"/>
    <n v="0"/>
    <n v="241"/>
    <n v="225"/>
    <n v="0"/>
    <n v="15"/>
    <n v="-5"/>
    <n v="0"/>
    <n v="1"/>
    <s v="ene"/>
  </r>
  <r>
    <x v="72"/>
    <s v="Houston Rockets @ Dallas Mavericks"/>
    <s v="Houston Rockets"/>
    <n v="108"/>
    <n v="104"/>
    <n v="0"/>
    <s v="Dallas Mavericks"/>
    <n v="112"/>
    <n v="110"/>
    <n v="0"/>
    <n v="220"/>
    <n v="214"/>
    <n v="0"/>
    <n v="4"/>
    <n v="6"/>
    <n v="1"/>
    <n v="1"/>
    <s v="ene"/>
  </r>
  <r>
    <x v="72"/>
    <s v="Utah Jazz @ Golden State Warriors"/>
    <s v="Utah Jazz"/>
    <n v="126"/>
    <n v="114"/>
    <n v="0"/>
    <s v="Golden State Warriors"/>
    <n v="131"/>
    <n v="123"/>
    <n v="0"/>
    <n v="257"/>
    <n v="237"/>
    <n v="0"/>
    <n v="5"/>
    <n v="9"/>
    <n v="1"/>
    <n v="1"/>
    <s v="ene"/>
  </r>
  <r>
    <x v="72"/>
    <s v="Boston Celtics @ LA Clippers"/>
    <s v="Boston Celtics"/>
    <n v="108"/>
    <n v="146"/>
    <n v="1"/>
    <s v="LA Clippers"/>
    <n v="112"/>
    <n v="115"/>
    <n v="1"/>
    <n v="220"/>
    <n v="261"/>
    <n v="1"/>
    <n v="4"/>
    <n v="-31"/>
    <n v="0"/>
    <n v="1"/>
    <s v="ene"/>
  </r>
  <r>
    <x v="73"/>
    <s v="Detroit Pistons @ Cleveland Cavaliers"/>
    <s v="Detroit Pistons"/>
    <n v="129"/>
    <n v="114"/>
    <n v="0"/>
    <s v="Cleveland Cavaliers"/>
    <n v="119"/>
    <n v="110"/>
    <n v="0"/>
    <n v="248"/>
    <n v="224"/>
    <n v="0"/>
    <n v="-10"/>
    <n v="-4"/>
    <n v="1"/>
    <n v="1"/>
    <s v="ene"/>
  </r>
  <r>
    <x v="73"/>
    <s v="Indiana Pacers @ Orlando Magic"/>
    <s v="Indiana Pacers"/>
    <n v="115"/>
    <n v="127"/>
    <n v="1"/>
    <s v="Orlando Magic"/>
    <n v="118"/>
    <n v="135"/>
    <n v="1"/>
    <n v="233"/>
    <n v="262"/>
    <n v="1"/>
    <n v="3"/>
    <n v="8"/>
    <n v="1"/>
    <n v="1"/>
    <s v="ene"/>
  </r>
  <r>
    <x v="73"/>
    <s v="Denver Nuggets @ Brooklyn Nets"/>
    <s v="Denver Nuggets"/>
    <n v="115"/>
    <n v="115"/>
    <n v="0"/>
    <s v="Brooklyn Nets"/>
    <n v="110"/>
    <n v="127"/>
    <n v="1"/>
    <n v="225"/>
    <n v="242"/>
    <n v="1"/>
    <n v="-5"/>
    <n v="12"/>
    <n v="0"/>
    <n v="1"/>
    <s v="ene"/>
  </r>
  <r>
    <x v="73"/>
    <s v="New Orleans Pelicans @ Miami Heat"/>
    <s v="New Orleans Pelicans"/>
    <n v="114"/>
    <n v="106"/>
    <n v="0"/>
    <s v="Miami Heat"/>
    <n v="128"/>
    <n v="125"/>
    <n v="0"/>
    <n v="242"/>
    <n v="231"/>
    <n v="0"/>
    <n v="14"/>
    <n v="19"/>
    <n v="1"/>
    <n v="1"/>
    <s v="ene"/>
  </r>
  <r>
    <x v="73"/>
    <s v="Minnesota Timberwolves @ Washington Wizards"/>
    <s v="Minnesota Timberwolves"/>
    <n v="117"/>
    <n v="141"/>
    <n v="1"/>
    <s v="Washington Wizards"/>
    <n v="128"/>
    <n v="115"/>
    <n v="0"/>
    <n v="245"/>
    <n v="256"/>
    <n v="1"/>
    <n v="11"/>
    <n v="-26"/>
    <n v="0"/>
    <n v="1"/>
    <s v="ene"/>
  </r>
  <r>
    <x v="73"/>
    <s v="Oklahoma City Thunder @ Phoenix Suns"/>
    <s v="Oklahoma City Thunder"/>
    <n v="113"/>
    <n v="105"/>
    <n v="0"/>
    <s v="Phoenix Suns"/>
    <n v="117"/>
    <n v="108"/>
    <n v="0"/>
    <n v="230"/>
    <n v="213"/>
    <n v="0"/>
    <n v="4"/>
    <n v="3"/>
    <n v="1"/>
    <n v="1"/>
    <s v="ene"/>
  </r>
  <r>
    <x v="73"/>
    <s v="Milwaukee Bucks @ Sacramento Kings"/>
    <s v="Milwaukee Bucks"/>
    <n v="119"/>
    <n v="115"/>
    <n v="0"/>
    <s v="Sacramento Kings"/>
    <n v="121"/>
    <n v="98"/>
    <n v="0"/>
    <n v="240"/>
    <n v="213"/>
    <n v="0"/>
    <n v="2"/>
    <n v="-17"/>
    <n v="0"/>
    <n v="1"/>
    <s v="ene"/>
  </r>
  <r>
    <x v="73"/>
    <s v="Memphis Grizzlies @ Los Angeles Lakers"/>
    <s v="Memphis Grizzlies"/>
    <n v="108"/>
    <n v="114"/>
    <n v="1"/>
    <s v="Los Angeles Lakers"/>
    <n v="117"/>
    <n v="120"/>
    <n v="1"/>
    <n v="225"/>
    <n v="234"/>
    <n v="1"/>
    <n v="9"/>
    <n v="6"/>
    <n v="1"/>
    <n v="1"/>
    <s v="ene"/>
  </r>
  <r>
    <x v="74"/>
    <s v="New York Knicks @ Detroit Pistons"/>
    <s v="New York Knicks"/>
    <n v="130"/>
    <n v="90"/>
    <n v="0"/>
    <s v="Detroit Pistons"/>
    <n v="124"/>
    <n v="121"/>
    <n v="0"/>
    <n v="254"/>
    <n v="211"/>
    <n v="0"/>
    <n v="-6"/>
    <n v="31"/>
    <n v="0"/>
    <n v="2"/>
    <s v="ene"/>
  </r>
  <r>
    <x v="74"/>
    <s v="Chicago Bulls @ Boston Celtics"/>
    <s v="Chicago Bulls"/>
    <n v="109"/>
    <n v="100"/>
    <n v="0"/>
    <s v="Boston Celtics"/>
    <n v="125"/>
    <n v="115"/>
    <n v="0"/>
    <n v="234"/>
    <n v="215"/>
    <n v="0"/>
    <n v="16"/>
    <n v="15"/>
    <n v="1"/>
    <n v="2"/>
    <s v="ene"/>
  </r>
  <r>
    <x v="74"/>
    <s v="Atlanta Hawks @ Toronto Raptors"/>
    <s v="Atlanta Hawks"/>
    <n v="102"/>
    <n v="100"/>
    <n v="0"/>
    <s v="Toronto Raptors"/>
    <n v="129"/>
    <n v="118"/>
    <n v="0"/>
    <n v="231"/>
    <n v="218"/>
    <n v="0"/>
    <n v="27"/>
    <n v="18"/>
    <n v="1"/>
    <n v="2"/>
    <s v="ene"/>
  </r>
  <r>
    <x v="74"/>
    <s v="Phoenix Suns @ Houston Rockets"/>
    <s v="Phoenix Suns"/>
    <n v="118"/>
    <n v="97"/>
    <n v="0"/>
    <s v="Houston Rockets"/>
    <n v="124"/>
    <n v="100"/>
    <n v="0"/>
    <n v="242"/>
    <n v="197"/>
    <n v="0"/>
    <n v="6"/>
    <n v="3"/>
    <n v="1"/>
    <n v="2"/>
    <s v="ene"/>
  </r>
  <r>
    <x v="74"/>
    <s v="Charlotte Hornets @ Oklahoma City Thunder"/>
    <s v="Charlotte Hornets"/>
    <n v="115"/>
    <n v="124"/>
    <n v="1"/>
    <s v="Oklahoma City Thunder"/>
    <n v="119"/>
    <n v="97"/>
    <n v="0"/>
    <n v="234"/>
    <n v="221"/>
    <n v="0"/>
    <n v="4"/>
    <n v="-27"/>
    <n v="0"/>
    <n v="2"/>
    <s v="ene"/>
  </r>
  <r>
    <x v="74"/>
    <s v="Denver Nuggets @ Philadelphia 76ers"/>
    <s v="Denver Nuggets"/>
    <n v="114"/>
    <n v="125"/>
    <n v="1"/>
    <s v="Philadelphia 76ers"/>
    <n v="120"/>
    <n v="124"/>
    <n v="1"/>
    <n v="234"/>
    <n v="249"/>
    <n v="1"/>
    <n v="6"/>
    <n v="-1"/>
    <n v="0"/>
    <n v="2"/>
    <s v="ene"/>
  </r>
  <r>
    <x v="74"/>
    <s v="Golden State Warriors @ LA Clippers"/>
    <s v="Golden State Warriors"/>
    <n v="113"/>
    <n v="102"/>
    <n v="0"/>
    <s v="LA Clippers"/>
    <n v="122"/>
    <n v="103"/>
    <n v="0"/>
    <n v="235"/>
    <n v="205"/>
    <n v="0"/>
    <n v="9"/>
    <n v="1"/>
    <n v="1"/>
    <n v="2"/>
    <s v="ene"/>
  </r>
  <r>
    <x v="74"/>
    <s v="Utah Jazz @ Portland Trail Blazers"/>
    <s v="Utah Jazz"/>
    <n v="115"/>
    <n v="117"/>
    <n v="1"/>
    <s v="Portland Trail Blazers"/>
    <n v="111"/>
    <n v="137"/>
    <n v="1"/>
    <n v="226"/>
    <n v="254"/>
    <n v="1"/>
    <n v="-4"/>
    <n v="20"/>
    <n v="0"/>
    <n v="2"/>
    <s v="ene"/>
  </r>
  <r>
    <x v="75"/>
    <s v="Cleveland Cavaliers @ Indiana Pacers"/>
    <s v="Cleveland Cavaliers"/>
    <n v="131"/>
    <n v="120"/>
    <n v="0"/>
    <s v="Indiana Pacers"/>
    <n v="117"/>
    <n v="116"/>
    <n v="0"/>
    <n v="248"/>
    <n v="236"/>
    <n v="0"/>
    <n v="-14"/>
    <n v="-4"/>
    <n v="1"/>
    <n v="2"/>
    <s v="ene"/>
  </r>
  <r>
    <x v="75"/>
    <s v="Orlando Magic @ Washington Wizards"/>
    <s v="Orlando Magic"/>
    <n v="119"/>
    <n v="112"/>
    <n v="0"/>
    <s v="Washington Wizards"/>
    <n v="129"/>
    <n v="120"/>
    <n v="0"/>
    <n v="248"/>
    <n v="232"/>
    <n v="0"/>
    <n v="10"/>
    <n v="8"/>
    <n v="1"/>
    <n v="2"/>
    <s v="ene"/>
  </r>
  <r>
    <x v="75"/>
    <s v="San Antonio Spurs @ Memphis Grizzlies"/>
    <s v="San Antonio Spurs"/>
    <n v="112"/>
    <n v="105"/>
    <n v="0"/>
    <s v="Memphis Grizzlies"/>
    <n v="123"/>
    <n v="106"/>
    <n v="0"/>
    <n v="235"/>
    <n v="211"/>
    <n v="0"/>
    <n v="11"/>
    <n v="1"/>
    <n v="1"/>
    <n v="2"/>
    <s v="ene"/>
  </r>
  <r>
    <x v="75"/>
    <s v="Miami Heat @ Minnesota Timberwolves"/>
    <s v="Miami Heat"/>
    <n v="114"/>
    <n v="94"/>
    <n v="0"/>
    <s v="Minnesota Timberwolves"/>
    <n v="120"/>
    <n v="122"/>
    <n v="1"/>
    <n v="234"/>
    <n v="216"/>
    <n v="0"/>
    <n v="6"/>
    <n v="28"/>
    <n v="1"/>
    <n v="2"/>
    <s v="ene"/>
  </r>
  <r>
    <x v="75"/>
    <s v="Los Angeles Lakers @ New Orleans Pelicans"/>
    <s v="Los Angeles Lakers"/>
    <n v="116"/>
    <n v="111"/>
    <n v="0"/>
    <s v="New Orleans Pelicans"/>
    <n v="126"/>
    <n v="103"/>
    <n v="0"/>
    <n v="242"/>
    <n v="214"/>
    <n v="0"/>
    <n v="10"/>
    <n v="-8"/>
    <n v="0"/>
    <n v="2"/>
    <s v="ene"/>
  </r>
  <r>
    <x v="75"/>
    <s v="Dallas Mavericks @ Sacramento Kings"/>
    <s v="Dallas Mavericks"/>
    <n v="113"/>
    <n v="100"/>
    <n v="0"/>
    <s v="Sacramento Kings"/>
    <n v="117"/>
    <n v="98"/>
    <n v="0"/>
    <n v="230"/>
    <n v="198"/>
    <n v="0"/>
    <n v="4"/>
    <n v="-2"/>
    <n v="0"/>
    <n v="2"/>
    <s v="ene"/>
  </r>
  <r>
    <x v="76"/>
    <s v="Toronto Raptors @ Charlotte Hornets"/>
    <s v="Toronto Raptors"/>
    <n v="131"/>
    <n v="97"/>
    <n v="0"/>
    <s v="Charlotte Hornets"/>
    <n v="118"/>
    <n v="96"/>
    <n v="0"/>
    <n v="249"/>
    <n v="193"/>
    <n v="0"/>
    <n v="-13"/>
    <n v="-1"/>
    <n v="1"/>
    <n v="2"/>
    <s v="ene"/>
  </r>
  <r>
    <x v="76"/>
    <s v="Chicago Bulls @ Detroit Pistons"/>
    <s v="Chicago Bulls"/>
    <n v="117"/>
    <n v="93"/>
    <n v="0"/>
    <s v="Detroit Pistons"/>
    <n v="123"/>
    <n v="108"/>
    <n v="0"/>
    <n v="240"/>
    <n v="201"/>
    <n v="0"/>
    <n v="6"/>
    <n v="15"/>
    <n v="1"/>
    <n v="2"/>
    <s v="ene"/>
  </r>
  <r>
    <x v="76"/>
    <s v="Washington Wizards @ Philadelphia 76ers"/>
    <s v="Washington Wizards"/>
    <n v="111"/>
    <n v="110"/>
    <n v="0"/>
    <s v="Philadelphia 76ers"/>
    <n v="124"/>
    <n v="131"/>
    <n v="1"/>
    <n v="235"/>
    <n v="241"/>
    <n v="1"/>
    <n v="13"/>
    <n v="21"/>
    <n v="1"/>
    <n v="2"/>
    <s v="ene"/>
  </r>
  <r>
    <x v="76"/>
    <s v="Denver Nuggets @ Boston Celtics"/>
    <s v="Denver Nuggets"/>
    <n v="114"/>
    <n v="114"/>
    <n v="0"/>
    <s v="Boston Celtics"/>
    <n v="119"/>
    <n v="110"/>
    <n v="0"/>
    <n v="233"/>
    <n v="224"/>
    <n v="0"/>
    <n v="5"/>
    <n v="-4"/>
    <n v="0"/>
    <n v="2"/>
    <s v="ene"/>
  </r>
  <r>
    <x v="76"/>
    <s v="New Orleans Pelicans @ Atlanta Hawks"/>
    <s v="New Orleans Pelicans"/>
    <n v="113"/>
    <n v="100"/>
    <n v="0"/>
    <s v="Atlanta Hawks"/>
    <n v="124"/>
    <n v="117"/>
    <n v="0"/>
    <n v="237"/>
    <n v="217"/>
    <n v="0"/>
    <n v="11"/>
    <n v="17"/>
    <n v="1"/>
    <n v="2"/>
    <s v="ene"/>
  </r>
  <r>
    <x v="76"/>
    <s v="Orlando Magic @ Brooklyn Nets"/>
    <s v="Orlando Magic"/>
    <n v="107"/>
    <n v="104"/>
    <n v="0"/>
    <s v="Brooklyn Nets"/>
    <n v="111"/>
    <n v="103"/>
    <n v="0"/>
    <n v="218"/>
    <n v="207"/>
    <n v="0"/>
    <n v="4"/>
    <n v="-1"/>
    <n v="0"/>
    <n v="2"/>
    <s v="ene"/>
  </r>
  <r>
    <x v="76"/>
    <s v="LA Clippers @ New York Knicks"/>
    <s v="LA Clippers"/>
    <n v="119"/>
    <n v="111"/>
    <n v="0"/>
    <s v="New York Knicks"/>
    <n v="127"/>
    <n v="123"/>
    <n v="0"/>
    <n v="246"/>
    <n v="234"/>
    <n v="0"/>
    <n v="8"/>
    <n v="12"/>
    <n v="1"/>
    <n v="2"/>
    <s v="ene"/>
  </r>
  <r>
    <x v="76"/>
    <s v="Phoenix Suns @ Memphis Grizzlies"/>
    <s v="Phoenix Suns"/>
    <n v="109"/>
    <n v="117"/>
    <n v="1"/>
    <s v="Memphis Grizzlies"/>
    <n v="120"/>
    <n v="101"/>
    <n v="0"/>
    <n v="229"/>
    <n v="218"/>
    <n v="0"/>
    <n v="11"/>
    <n v="-16"/>
    <n v="0"/>
    <n v="2"/>
    <s v="ene"/>
  </r>
  <r>
    <x v="76"/>
    <s v="Utah Jazz @ Oklahoma City Thunder"/>
    <s v="Utah Jazz"/>
    <n v="126"/>
    <n v="125"/>
    <n v="0"/>
    <s v="Oklahoma City Thunder"/>
    <n v="134"/>
    <n v="129"/>
    <n v="0"/>
    <n v="260"/>
    <n v="254"/>
    <n v="0"/>
    <n v="8"/>
    <n v="4"/>
    <n v="1"/>
    <n v="2"/>
    <s v="ene"/>
  </r>
  <r>
    <x v="76"/>
    <s v="Los Angeles Lakers @ San Antonio Spurs"/>
    <s v="Los Angeles Lakers"/>
    <n v="122"/>
    <n v="91"/>
    <n v="0"/>
    <s v="San Antonio Spurs"/>
    <n v="135"/>
    <n v="107"/>
    <n v="0"/>
    <n v="257"/>
    <n v="198"/>
    <n v="0"/>
    <n v="13"/>
    <n v="16"/>
    <n v="1"/>
    <n v="2"/>
    <s v="ene"/>
  </r>
  <r>
    <x v="76"/>
    <s v="Milwaukee Bucks @ Golden State Warriors"/>
    <s v="Milwaukee Bucks"/>
    <n v="115"/>
    <n v="113"/>
    <n v="0"/>
    <s v="Golden State Warriors"/>
    <n v="130"/>
    <n v="120"/>
    <n v="0"/>
    <n v="245"/>
    <n v="233"/>
    <n v="0"/>
    <n v="15"/>
    <n v="7"/>
    <n v="1"/>
    <n v="2"/>
    <s v="ene"/>
  </r>
  <r>
    <x v="76"/>
    <s v="Houston Rockets @ Portland Trail Blazers"/>
    <s v="Houston Rockets"/>
    <n v="124"/>
    <n v="102"/>
    <n v="0"/>
    <s v="Portland Trail Blazers"/>
    <n v="105"/>
    <n v="103"/>
    <n v="0"/>
    <n v="229"/>
    <n v="205"/>
    <n v="0"/>
    <n v="-19"/>
    <n v="1"/>
    <n v="0"/>
    <n v="2"/>
    <s v="ene"/>
  </r>
  <r>
    <x v="77"/>
    <s v="Indiana Pacers @ Charlotte Hornets"/>
    <s v="Indiana Pacers"/>
    <n v="128"/>
    <n v="114"/>
    <n v="0"/>
    <s v="Charlotte Hornets"/>
    <n v="119"/>
    <n v="112"/>
    <n v="0"/>
    <n v="247"/>
    <n v="226"/>
    <n v="0"/>
    <n v="-9"/>
    <n v="-2"/>
    <n v="1"/>
    <n v="2"/>
    <s v="ene"/>
  </r>
  <r>
    <x v="77"/>
    <s v="Cleveland Cavaliers @ Minnesota Timberwolves"/>
    <s v="Cleveland Cavaliers"/>
    <n v="112"/>
    <n v="122"/>
    <n v="1"/>
    <s v="Minnesota Timberwolves"/>
    <n v="114"/>
    <n v="131"/>
    <n v="1"/>
    <n v="226"/>
    <n v="253"/>
    <n v="1"/>
    <n v="2"/>
    <n v="9"/>
    <n v="1"/>
    <n v="2"/>
    <s v="ene"/>
  </r>
  <r>
    <x v="77"/>
    <s v="Dallas Mavericks @ Utah Jazz"/>
    <s v="Dallas Mavericks"/>
    <n v="122"/>
    <n v="114"/>
    <n v="0"/>
    <s v="Utah Jazz"/>
    <n v="135"/>
    <n v="116"/>
    <n v="0"/>
    <n v="257"/>
    <n v="230"/>
    <n v="0"/>
    <n v="13"/>
    <n v="2"/>
    <n v="1"/>
    <n v="2"/>
    <s v="ene"/>
  </r>
  <r>
    <x v="78"/>
    <s v="Toronto Raptors @ Boston Celtics"/>
    <s v="Toronto Raptors"/>
    <n v="123"/>
    <n v="117"/>
    <n v="0"/>
    <s v="Boston Celtics"/>
    <n v="120"/>
    <n v="125"/>
    <n v="1"/>
    <n v="243"/>
    <n v="242"/>
    <n v="0"/>
    <n v="-3"/>
    <n v="8"/>
    <n v="0"/>
    <n v="2"/>
    <s v="ene"/>
  </r>
  <r>
    <x v="78"/>
    <s v="Philadelphia 76ers @ Orlando Magic"/>
    <s v="Philadelphia 76ers"/>
    <n v="115"/>
    <n v="103"/>
    <n v="0"/>
    <s v="Orlando Magic"/>
    <n v="117"/>
    <n v="91"/>
    <n v="0"/>
    <n v="232"/>
    <n v="194"/>
    <n v="0"/>
    <n v="2"/>
    <n v="-12"/>
    <n v="0"/>
    <n v="2"/>
    <s v="ene"/>
  </r>
  <r>
    <x v="78"/>
    <s v="New Orleans Pelicans @ Washington Wizards"/>
    <s v="New Orleans Pelicans"/>
    <n v="124"/>
    <n v="128"/>
    <n v="1"/>
    <s v="Washington Wizards"/>
    <n v="128"/>
    <n v="107"/>
    <n v="0"/>
    <n v="252"/>
    <n v="235"/>
    <n v="0"/>
    <n v="4"/>
    <n v="-21"/>
    <n v="0"/>
    <n v="2"/>
    <s v="ene"/>
  </r>
  <r>
    <x v="78"/>
    <s v="LA Clippers @ Brooklyn Nets"/>
    <s v="LA Clippers"/>
    <n v="114"/>
    <n v="121"/>
    <n v="1"/>
    <s v="Brooklyn Nets"/>
    <n v="120"/>
    <n v="105"/>
    <n v="0"/>
    <n v="234"/>
    <n v="226"/>
    <n v="0"/>
    <n v="6"/>
    <n v="-16"/>
    <n v="0"/>
    <n v="2"/>
    <s v="ene"/>
  </r>
  <r>
    <x v="78"/>
    <s v="Oklahoma City Thunder @ Memphis Grizzlies"/>
    <s v="Oklahoma City Thunder"/>
    <n v="115"/>
    <n v="117"/>
    <n v="1"/>
    <s v="Memphis Grizzlies"/>
    <n v="112"/>
    <n v="116"/>
    <n v="1"/>
    <n v="227"/>
    <n v="233"/>
    <n v="1"/>
    <n v="-3"/>
    <n v="-1"/>
    <n v="1"/>
    <n v="2"/>
    <s v="ene"/>
  </r>
  <r>
    <x v="78"/>
    <s v="Atlanta Hawks @ Denver Nuggets"/>
    <s v="Atlanta Hawks"/>
    <n v="112"/>
    <n v="110"/>
    <n v="0"/>
    <s v="Denver Nuggets"/>
    <n v="122"/>
    <n v="87"/>
    <n v="0"/>
    <n v="234"/>
    <n v="197"/>
    <n v="0"/>
    <n v="10"/>
    <n v="-23"/>
    <n v="0"/>
    <n v="2"/>
    <s v="ene"/>
  </r>
  <r>
    <x v="78"/>
    <s v="New York Knicks @ Phoenix Suns"/>
    <s v="New York Knicks"/>
    <n v="113"/>
    <n v="107"/>
    <n v="0"/>
    <s v="Phoenix Suns"/>
    <n v="128"/>
    <n v="112"/>
    <n v="0"/>
    <n v="241"/>
    <n v="219"/>
    <n v="0"/>
    <n v="15"/>
    <n v="5"/>
    <n v="1"/>
    <n v="2"/>
    <s v="ene"/>
  </r>
  <r>
    <x v="78"/>
    <s v="Sacramento Kings @ Golden State Warriors"/>
    <s v="Sacramento Kings"/>
    <n v="113"/>
    <n v="103"/>
    <n v="0"/>
    <s v="Golden State Warriors"/>
    <n v="135"/>
    <n v="137"/>
    <n v="1"/>
    <n v="248"/>
    <n v="240"/>
    <n v="0"/>
    <n v="22"/>
    <n v="34"/>
    <n v="1"/>
    <n v="2"/>
    <s v="ene"/>
  </r>
  <r>
    <x v="78"/>
    <s v="Houston Rockets @ Portland Trail Blazers"/>
    <s v="Houston Rockets"/>
    <n v="135"/>
    <n v="105"/>
    <n v="0"/>
    <s v="Portland Trail Blazers"/>
    <n v="118"/>
    <n v="111"/>
    <n v="0"/>
    <n v="253"/>
    <n v="216"/>
    <n v="0"/>
    <n v="-17"/>
    <n v="6"/>
    <n v="0"/>
    <n v="2"/>
    <s v="ene"/>
  </r>
  <r>
    <x v="78"/>
    <s v="Milwaukee Bucks @ Los Angeles Lakers"/>
    <s v="Milwaukee Bucks"/>
    <n v="118"/>
    <n v="105"/>
    <n v="0"/>
    <s v="Los Angeles Lakers"/>
    <n v="124"/>
    <n v="101"/>
    <n v="0"/>
    <n v="242"/>
    <n v="206"/>
    <n v="0"/>
    <n v="6"/>
    <n v="-4"/>
    <n v="0"/>
    <n v="2"/>
    <s v="ene"/>
  </r>
  <r>
    <x v="79"/>
    <s v="Minnesota Timberwolves @ Cleveland Cavaliers"/>
    <s v="Minnesota Timberwolves"/>
    <n v="129"/>
    <n v="134"/>
    <n v="1"/>
    <s v="Cleveland Cavaliers"/>
    <n v="122"/>
    <n v="146"/>
    <n v="1"/>
    <n v="251"/>
    <n v="280"/>
    <n v="1"/>
    <n v="-7"/>
    <n v="12"/>
    <n v="0"/>
    <n v="2"/>
    <s v="ene"/>
  </r>
  <r>
    <x v="79"/>
    <s v="Miami Heat @ Indiana Pacers"/>
    <s v="Miami Heat"/>
    <n v="114"/>
    <n v="99"/>
    <n v="0"/>
    <s v="Indiana Pacers"/>
    <n v="111"/>
    <n v="123"/>
    <n v="1"/>
    <n v="225"/>
    <n v="222"/>
    <n v="0"/>
    <n v="-3"/>
    <n v="24"/>
    <n v="0"/>
    <n v="2"/>
    <s v="ene"/>
  </r>
  <r>
    <x v="79"/>
    <s v="LA Clippers @ Detroit Pistons"/>
    <s v="LA Clippers"/>
    <n v="106"/>
    <n v="98"/>
    <n v="0"/>
    <s v="Detroit Pistons"/>
    <n v="116"/>
    <n v="92"/>
    <n v="0"/>
    <n v="222"/>
    <n v="190"/>
    <n v="0"/>
    <n v="10"/>
    <n v="-6"/>
    <n v="0"/>
    <n v="2"/>
    <s v="ene"/>
  </r>
  <r>
    <x v="79"/>
    <s v="San Antonio Spurs @ Boston Celtics"/>
    <s v="San Antonio Spurs"/>
    <n v="115"/>
    <n v="100"/>
    <n v="0"/>
    <s v="Boston Celtics"/>
    <n v="135"/>
    <n v="95"/>
    <n v="0"/>
    <n v="250"/>
    <n v="195"/>
    <n v="0"/>
    <n v="20"/>
    <n v="-5"/>
    <n v="0"/>
    <n v="2"/>
    <s v="ene"/>
  </r>
  <r>
    <x v="79"/>
    <s v="Dallas Mavericks @ Chicago Bulls"/>
    <s v="Dallas Mavericks"/>
    <n v="120"/>
    <n v="107"/>
    <n v="0"/>
    <s v="Chicago Bulls"/>
    <n v="109"/>
    <n v="125"/>
    <n v="1"/>
    <n v="229"/>
    <n v="232"/>
    <n v="1"/>
    <n v="-11"/>
    <n v="18"/>
    <n v="0"/>
    <n v="2"/>
    <s v="ene"/>
  </r>
  <r>
    <x v="79"/>
    <s v="Charlotte Hornets @ Utah Jazz"/>
    <s v="Charlotte Hornets"/>
    <n v="118"/>
    <n v="150"/>
    <n v="1"/>
    <s v="Utah Jazz"/>
    <n v="131"/>
    <n v="95"/>
    <n v="0"/>
    <n v="249"/>
    <n v="245"/>
    <n v="0"/>
    <n v="13"/>
    <n v="-55"/>
    <n v="0"/>
    <n v="2"/>
    <s v="ene"/>
  </r>
  <r>
    <x v="80"/>
    <s v="New Orleans Pelicans @ Orlando Magic"/>
    <s v="New Orleans Pelicans"/>
    <n v="128"/>
    <n v="118"/>
    <n v="0"/>
    <s v="Orlando Magic"/>
    <n v="123"/>
    <n v="128"/>
    <n v="1"/>
    <n v="251"/>
    <n v="246"/>
    <n v="0"/>
    <n v="-5"/>
    <n v="10"/>
    <n v="0"/>
    <n v="2"/>
    <s v="ene"/>
  </r>
  <r>
    <x v="80"/>
    <s v="Brooklyn Nets @ Memphis Grizzlies"/>
    <s v="Brooklyn Nets"/>
    <n v="111"/>
    <n v="98"/>
    <n v="0"/>
    <s v="Memphis Grizzlies"/>
    <n v="121"/>
    <n v="103"/>
    <n v="0"/>
    <n v="232"/>
    <n v="201"/>
    <n v="0"/>
    <n v="10"/>
    <n v="5"/>
    <n v="1"/>
    <n v="2"/>
    <s v="ene"/>
  </r>
  <r>
    <x v="80"/>
    <s v="Philadelphia 76ers @ Toronto Raptors"/>
    <s v="Philadelphia 76ers"/>
    <n v="109"/>
    <n v="115"/>
    <n v="1"/>
    <s v="Toronto Raptors"/>
    <n v="113"/>
    <n v="116"/>
    <n v="1"/>
    <n v="222"/>
    <n v="231"/>
    <n v="1"/>
    <n v="4"/>
    <n v="1"/>
    <n v="1"/>
    <n v="2"/>
    <s v="ene"/>
  </r>
  <r>
    <x v="80"/>
    <s v="New York Knicks @ Portland Trail Blazers"/>
    <s v="New York Knicks"/>
    <n v="122"/>
    <n v="123"/>
    <n v="1"/>
    <s v="Portland Trail Blazers"/>
    <n v="128"/>
    <n v="114"/>
    <n v="0"/>
    <n v="250"/>
    <n v="237"/>
    <n v="0"/>
    <n v="6"/>
    <n v="-9"/>
    <n v="0"/>
    <n v="2"/>
    <s v="ene"/>
  </r>
  <r>
    <x v="80"/>
    <s v="San Antonio Spurs @ Minnesota Timberwolves"/>
    <s v="San Antonio Spurs"/>
    <n v="110"/>
    <n v="103"/>
    <n v="0"/>
    <s v="Minnesota Timberwolves"/>
    <n v="126"/>
    <n v="104"/>
    <n v="0"/>
    <n v="236"/>
    <n v="207"/>
    <n v="0"/>
    <n v="16"/>
    <n v="1"/>
    <n v="1"/>
    <n v="2"/>
    <s v="ene"/>
  </r>
  <r>
    <x v="80"/>
    <s v="Miami Heat @ Oklahoma City Thunder"/>
    <s v="Miami Heat"/>
    <n v="106"/>
    <n v="112"/>
    <n v="1"/>
    <s v="Oklahoma City Thunder"/>
    <n v="116"/>
    <n v="124"/>
    <n v="1"/>
    <n v="222"/>
    <n v="236"/>
    <n v="1"/>
    <n v="10"/>
    <n v="12"/>
    <n v="1"/>
    <n v="2"/>
    <s v="ene"/>
  </r>
  <r>
    <x v="80"/>
    <s v="Milwaukee Bucks @ Denver Nuggets"/>
    <s v="Milwaukee Bucks"/>
    <n v="114"/>
    <n v="104"/>
    <n v="0"/>
    <s v="Denver Nuggets"/>
    <n v="118"/>
    <n v="108"/>
    <n v="0"/>
    <n v="232"/>
    <n v="212"/>
    <n v="0"/>
    <n v="4"/>
    <n v="4"/>
    <n v="1"/>
    <n v="2"/>
    <s v="ene"/>
  </r>
  <r>
    <x v="80"/>
    <s v="Washington Wizards @ Phoenix Suns"/>
    <s v="Washington Wizards"/>
    <n v="108"/>
    <n v="93"/>
    <n v="0"/>
    <s v="Phoenix Suns"/>
    <n v="129"/>
    <n v="112"/>
    <n v="0"/>
    <n v="237"/>
    <n v="205"/>
    <n v="0"/>
    <n v="21"/>
    <n v="19"/>
    <n v="1"/>
    <n v="2"/>
    <s v="ene"/>
  </r>
  <r>
    <x v="80"/>
    <s v="Atlanta Hawks @ Golden State Warriors"/>
    <s v="Atlanta Hawks"/>
    <n v="135"/>
    <n v="124"/>
    <n v="0"/>
    <s v="Golden State Warriors"/>
    <n v="138"/>
    <n v="111"/>
    <n v="0"/>
    <n v="273"/>
    <n v="235"/>
    <n v="0"/>
    <n v="3"/>
    <n v="-13"/>
    <n v="0"/>
    <n v="2"/>
    <s v="ene"/>
  </r>
  <r>
    <x v="80"/>
    <s v="Houston Rockets @ Sacramento Kings"/>
    <s v="Houston Rockets"/>
    <n v="120"/>
    <n v="98"/>
    <n v="0"/>
    <s v="Sacramento Kings"/>
    <n v="123"/>
    <n v="111"/>
    <n v="0"/>
    <n v="243"/>
    <n v="209"/>
    <n v="0"/>
    <n v="3"/>
    <n v="13"/>
    <n v="1"/>
    <n v="2"/>
    <s v="ene"/>
  </r>
  <r>
    <x v="81"/>
    <s v="Utah Jazz @ Cleveland Cavaliers"/>
    <s v="Utah Jazz"/>
    <n v="128"/>
    <n v="123"/>
    <n v="0"/>
    <s v="Cleveland Cavaliers"/>
    <n v="122"/>
    <n v="112"/>
    <n v="0"/>
    <n v="250"/>
    <n v="235"/>
    <n v="0"/>
    <n v="-6"/>
    <n v="-11"/>
    <n v="1"/>
    <n v="3"/>
    <s v="ene"/>
  </r>
  <r>
    <x v="81"/>
    <s v="Boston Celtics @ Indiana Pacers"/>
    <s v="Boston Celtics"/>
    <n v="112"/>
    <n v="96"/>
    <n v="0"/>
    <s v="Indiana Pacers"/>
    <n v="119"/>
    <n v="98"/>
    <n v="0"/>
    <n v="231"/>
    <n v="194"/>
    <n v="0"/>
    <n v="7"/>
    <n v="2"/>
    <n v="1"/>
    <n v="3"/>
    <s v="ene"/>
  </r>
  <r>
    <x v="81"/>
    <s v="Philadelphia 76ers @ Toronto Raptors"/>
    <s v="Philadelphia 76ers"/>
    <n v="109"/>
    <n v="115"/>
    <n v="1"/>
    <s v="Toronto Raptors"/>
    <n v="125"/>
    <n v="102"/>
    <n v="0"/>
    <n v="234"/>
    <n v="217"/>
    <n v="0"/>
    <n v="16"/>
    <n v="-13"/>
    <n v="0"/>
    <n v="3"/>
    <s v="ene"/>
  </r>
  <r>
    <x v="81"/>
    <s v="Brooklyn Nets @ Dallas Mavericks"/>
    <s v="Brooklyn Nets"/>
    <n v="109"/>
    <n v="105"/>
    <n v="0"/>
    <s v="Dallas Mavericks"/>
    <n v="116"/>
    <n v="113"/>
    <n v="0"/>
    <n v="225"/>
    <n v="218"/>
    <n v="0"/>
    <n v="7"/>
    <n v="8"/>
    <n v="1"/>
    <n v="3"/>
    <s v="ene"/>
  </r>
  <r>
    <x v="81"/>
    <s v="Los Angeles Lakers @ Sacramento Kings"/>
    <s v="Los Angeles Lakers"/>
    <n v="123"/>
    <n v="112"/>
    <n v="0"/>
    <s v="Sacramento Kings"/>
    <n v="127"/>
    <n v="124"/>
    <n v="0"/>
    <n v="250"/>
    <n v="236"/>
    <n v="0"/>
    <n v="4"/>
    <n v="12"/>
    <n v="1"/>
    <n v="3"/>
    <s v="ene"/>
  </r>
  <r>
    <x v="81"/>
    <s v="Charlotte Hornets @ LA Clippers"/>
    <s v="Charlotte Hornets"/>
    <n v="114"/>
    <n v="109"/>
    <n v="0"/>
    <s v="LA Clippers"/>
    <n v="111"/>
    <n v="117"/>
    <n v="1"/>
    <n v="225"/>
    <n v="226"/>
    <n v="1"/>
    <n v="-3"/>
    <n v="8"/>
    <n v="0"/>
    <n v="3"/>
    <s v="ene"/>
  </r>
  <r>
    <x v="82"/>
    <s v="Phoenix Suns @ Miami Heat"/>
    <s v="Phoenix Suns"/>
    <n v="124"/>
    <n v="121"/>
    <n v="0"/>
    <s v="Miami Heat"/>
    <n v="119"/>
    <n v="127"/>
    <n v="1"/>
    <n v="243"/>
    <n v="248"/>
    <n v="1"/>
    <n v="-5"/>
    <n v="6"/>
    <n v="0"/>
    <n v="3"/>
    <s v="ene"/>
  </r>
  <r>
    <x v="82"/>
    <s v="Chicago Bulls @ Houston Rockets"/>
    <s v="Chicago Bulls"/>
    <n v="113"/>
    <n v="113"/>
    <n v="0"/>
    <s v="Houston Rockets"/>
    <n v="123"/>
    <n v="119"/>
    <n v="0"/>
    <n v="236"/>
    <n v="232"/>
    <n v="0"/>
    <n v="10"/>
    <n v="6"/>
    <n v="1"/>
    <n v="3"/>
    <s v="ene"/>
  </r>
  <r>
    <x v="82"/>
    <s v="Minnesota Timberwolves @ Milwaukee Bucks"/>
    <s v="Minnesota Timberwolves"/>
    <n v="110"/>
    <n v="139"/>
    <n v="1"/>
    <s v="Milwaukee Bucks"/>
    <n v="120"/>
    <n v="106"/>
    <n v="0"/>
    <n v="230"/>
    <n v="245"/>
    <n v="1"/>
    <n v="10"/>
    <n v="-33"/>
    <n v="0"/>
    <n v="3"/>
    <s v="ene"/>
  </r>
  <r>
    <x v="82"/>
    <s v="Denver Nuggets @ New Orleans Pelicans"/>
    <s v="Denver Nuggets"/>
    <n v="128"/>
    <n v="122"/>
    <n v="0"/>
    <s v="New Orleans Pelicans"/>
    <n v="132"/>
    <n v="116"/>
    <n v="0"/>
    <n v="260"/>
    <n v="238"/>
    <n v="0"/>
    <n v="4"/>
    <n v="-6"/>
    <n v="0"/>
    <n v="3"/>
    <s v="ene"/>
  </r>
  <r>
    <x v="82"/>
    <s v="San Antonio Spurs @ Oklahoma City Thunder"/>
    <s v="San Antonio Spurs"/>
    <n v="108"/>
    <n v="98"/>
    <n v="0"/>
    <s v="Oklahoma City Thunder"/>
    <n v="127"/>
    <n v="119"/>
    <n v="0"/>
    <n v="235"/>
    <n v="217"/>
    <n v="0"/>
    <n v="19"/>
    <n v="21"/>
    <n v="1"/>
    <n v="3"/>
    <s v="ene"/>
  </r>
  <r>
    <x v="82"/>
    <s v="Atlanta Hawks @ Los Angeles Lakers"/>
    <s v="Atlanta Hawks"/>
    <n v="112"/>
    <n v="116"/>
    <n v="1"/>
    <s v="Los Angeles Lakers"/>
    <n v="122"/>
    <n v="141"/>
    <n v="1"/>
    <n v="234"/>
    <n v="257"/>
    <n v="1"/>
    <n v="10"/>
    <n v="25"/>
    <n v="1"/>
    <n v="3"/>
    <s v="ene"/>
  </r>
  <r>
    <x v="82"/>
    <s v="Portland Trail Blazers @ Golden State Warriors"/>
    <s v="Portland Trail Blazers"/>
    <n v="118"/>
    <n v="97"/>
    <n v="0"/>
    <s v="Golden State Warriors"/>
    <n v="131"/>
    <n v="119"/>
    <n v="0"/>
    <n v="249"/>
    <n v="216"/>
    <n v="0"/>
    <n v="13"/>
    <n v="22"/>
    <n v="1"/>
    <n v="3"/>
    <s v="ene"/>
  </r>
  <r>
    <x v="83"/>
    <s v="Toronto Raptors @ Indiana Pacers"/>
    <s v="Toronto Raptors"/>
    <n v="128"/>
    <n v="115"/>
    <n v="0"/>
    <s v="Indiana Pacers"/>
    <n v="115"/>
    <n v="101"/>
    <n v="0"/>
    <n v="243"/>
    <n v="216"/>
    <n v="0"/>
    <n v="-13"/>
    <n v="-14"/>
    <n v="1"/>
    <n v="3"/>
    <s v="ene"/>
  </r>
  <r>
    <x v="83"/>
    <s v="Cleveland Cavaliers @ Philadelphia 76ers"/>
    <s v="Cleveland Cavaliers"/>
    <n v="115"/>
    <n v="133"/>
    <n v="1"/>
    <s v="Philadelphia 76ers"/>
    <n v="118"/>
    <n v="107"/>
    <n v="0"/>
    <n v="233"/>
    <n v="240"/>
    <n v="1"/>
    <n v="3"/>
    <n v="-26"/>
    <n v="0"/>
    <n v="3"/>
    <s v="ene"/>
  </r>
  <r>
    <x v="83"/>
    <s v="Utah Jazz @ Chicago Bulls"/>
    <s v="Utah Jazz"/>
    <n v="113"/>
    <n v="126"/>
    <n v="1"/>
    <s v="Chicago Bulls"/>
    <n v="121"/>
    <n v="128"/>
    <n v="1"/>
    <n v="234"/>
    <n v="254"/>
    <n v="1"/>
    <n v="8"/>
    <n v="2"/>
    <n v="1"/>
    <n v="3"/>
    <s v="ene"/>
  </r>
  <r>
    <x v="83"/>
    <s v="Brooklyn Nets @ New Orleans Pelicans"/>
    <s v="Brooklyn Nets"/>
    <n v="118"/>
    <n v="113"/>
    <n v="0"/>
    <s v="New Orleans Pelicans"/>
    <n v="135"/>
    <n v="116"/>
    <n v="0"/>
    <n v="253"/>
    <n v="229"/>
    <n v="0"/>
    <n v="17"/>
    <n v="3"/>
    <n v="1"/>
    <n v="3"/>
    <s v="ene"/>
  </r>
  <r>
    <x v="83"/>
    <s v="Denver Nuggets @ Dallas Mavericks"/>
    <s v="Denver Nuggets"/>
    <n v="114"/>
    <n v="118"/>
    <n v="1"/>
    <s v="Dallas Mavericks"/>
    <n v="110"/>
    <n v="109"/>
    <n v="0"/>
    <n v="224"/>
    <n v="227"/>
    <n v="1"/>
    <n v="-4"/>
    <n v="-9"/>
    <n v="1"/>
    <n v="3"/>
    <s v="ene"/>
  </r>
  <r>
    <x v="83"/>
    <s v="New York Knicks @ Sacramento Kings"/>
    <s v="New York Knicks"/>
    <n v="115"/>
    <n v="101"/>
    <n v="0"/>
    <s v="Sacramento Kings"/>
    <n v="120"/>
    <n v="112"/>
    <n v="0"/>
    <n v="235"/>
    <n v="213"/>
    <n v="0"/>
    <n v="5"/>
    <n v="11"/>
    <n v="1"/>
    <n v="3"/>
    <s v="ene"/>
  </r>
  <r>
    <x v="83"/>
    <s v="Washington Wizards @ LA Clippers"/>
    <s v="Washington Wizards"/>
    <n v="111"/>
    <n v="105"/>
    <n v="0"/>
    <s v="LA Clippers"/>
    <n v="128"/>
    <n v="119"/>
    <n v="0"/>
    <n v="239"/>
    <n v="224"/>
    <n v="0"/>
    <n v="17"/>
    <n v="14"/>
    <n v="1"/>
    <n v="3"/>
    <s v="ene"/>
  </r>
  <r>
    <x v="84"/>
    <s v="Memphis Grizzlies @ Orlando Magic"/>
    <s v="Memphis Grizzlies"/>
    <n v="127"/>
    <n v="111"/>
    <n v="0"/>
    <s v="Orlando Magic"/>
    <n v="118"/>
    <n v="118"/>
    <n v="0"/>
    <n v="245"/>
    <n v="229"/>
    <n v="0"/>
    <n v="-9"/>
    <n v="7"/>
    <n v="0"/>
    <n v="3"/>
    <s v="ene"/>
  </r>
  <r>
    <x v="84"/>
    <s v="Phoenix Suns @ Detroit Pistons"/>
    <s v="Phoenix Suns"/>
    <n v="115"/>
    <n v="105"/>
    <n v="0"/>
    <s v="Detroit Pistons"/>
    <n v="118"/>
    <n v="108"/>
    <n v="0"/>
    <n v="233"/>
    <n v="213"/>
    <n v="0"/>
    <n v="3"/>
    <n v="3"/>
    <n v="1"/>
    <n v="3"/>
    <s v="ene"/>
  </r>
  <r>
    <x v="84"/>
    <s v="Boston Celtics @ Miami Heat"/>
    <s v="Boston Celtics"/>
    <n v="111"/>
    <n v="119"/>
    <n v="1"/>
    <s v="Miami Heat"/>
    <n v="110"/>
    <n v="114"/>
    <n v="1"/>
    <n v="221"/>
    <n v="233"/>
    <n v="1"/>
    <n v="-1"/>
    <n v="-5"/>
    <n v="1"/>
    <n v="3"/>
    <s v="ene"/>
  </r>
  <r>
    <x v="84"/>
    <s v="Oklahoma City Thunder @ Houston Rockets"/>
    <s v="Oklahoma City Thunder"/>
    <n v="116"/>
    <n v="111"/>
    <n v="0"/>
    <s v="Houston Rockets"/>
    <n v="121"/>
    <n v="91"/>
    <n v="0"/>
    <n v="237"/>
    <n v="202"/>
    <n v="0"/>
    <n v="5"/>
    <n v="-20"/>
    <n v="0"/>
    <n v="3"/>
    <s v="ene"/>
  </r>
  <r>
    <x v="84"/>
    <s v="Milwaukee Bucks @ San Antonio Spurs"/>
    <s v="Milwaukee Bucks"/>
    <n v="121"/>
    <n v="101"/>
    <n v="0"/>
    <s v="San Antonio Spurs"/>
    <n v="116"/>
    <n v="119"/>
    <n v="1"/>
    <n v="237"/>
    <n v="220"/>
    <n v="0"/>
    <n v="-5"/>
    <n v="18"/>
    <n v="0"/>
    <n v="3"/>
    <s v="ene"/>
  </r>
  <r>
    <x v="84"/>
    <s v="Utah Jazz @ Dallas Mavericks"/>
    <s v="Utah Jazz"/>
    <n v="119"/>
    <n v="122"/>
    <n v="1"/>
    <s v="Dallas Mavericks"/>
    <n v="124"/>
    <n v="144"/>
    <n v="1"/>
    <n v="243"/>
    <n v="266"/>
    <n v="1"/>
    <n v="5"/>
    <n v="22"/>
    <n v="1"/>
    <n v="3"/>
    <s v="ene"/>
  </r>
  <r>
    <x v="84"/>
    <s v="New York Knicks @ Golden State Warriors"/>
    <s v="New York Knicks"/>
    <n v="128"/>
    <n v="113"/>
    <n v="0"/>
    <s v="Golden State Warriors"/>
    <n v="125"/>
    <n v="126"/>
    <n v="1"/>
    <n v="253"/>
    <n v="239"/>
    <n v="0"/>
    <n v="-3"/>
    <n v="13"/>
    <n v="0"/>
    <n v="3"/>
    <s v="ene"/>
  </r>
  <r>
    <x v="84"/>
    <s v="Atlanta Hawks @ Portland Trail Blazers"/>
    <s v="Atlanta Hawks"/>
    <n v="112"/>
    <n v="101"/>
    <n v="0"/>
    <s v="Portland Trail Blazers"/>
    <n v="109"/>
    <n v="117"/>
    <n v="1"/>
    <n v="221"/>
    <n v="218"/>
    <n v="0"/>
    <n v="-3"/>
    <n v="16"/>
    <n v="0"/>
    <n v="3"/>
    <s v="ene"/>
  </r>
  <r>
    <x v="84"/>
    <s v="Charlotte Hornets @ Los Angeles Lakers"/>
    <s v="Charlotte Hornets"/>
    <n v="118"/>
    <n v="135"/>
    <n v="1"/>
    <s v="Los Angeles Lakers"/>
    <n v="121"/>
    <n v="117"/>
    <n v="0"/>
    <n v="239"/>
    <n v="252"/>
    <n v="1"/>
    <n v="3"/>
    <n v="-18"/>
    <n v="0"/>
    <n v="3"/>
    <s v="ene"/>
  </r>
  <r>
    <x v="85"/>
    <s v="New Orleans Pelicans @ Indiana Pacers"/>
    <s v="New Orleans Pelicans"/>
    <n v="129"/>
    <n v="119"/>
    <n v="0"/>
    <s v="Indiana Pacers"/>
    <n v="124"/>
    <n v="127"/>
    <n v="1"/>
    <n v="253"/>
    <n v="246"/>
    <n v="0"/>
    <n v="-5"/>
    <n v="8"/>
    <n v="0"/>
    <n v="3"/>
    <s v="ene"/>
  </r>
  <r>
    <x v="85"/>
    <s v="Cleveland Cavaliers @ Philadelphia 76ers"/>
    <s v="Cleveland Cavaliers"/>
    <n v="116"/>
    <n v="117"/>
    <n v="1"/>
    <s v="Philadelphia 76ers"/>
    <n v="119"/>
    <n v="115"/>
    <n v="0"/>
    <n v="235"/>
    <n v="232"/>
    <n v="0"/>
    <n v="3"/>
    <n v="-2"/>
    <n v="0"/>
    <n v="3"/>
    <s v="ene"/>
  </r>
  <r>
    <x v="85"/>
    <s v="Chicago Bulls @ Brooklyn Nets"/>
    <s v="Chicago Bulls"/>
    <n v="107"/>
    <n v="109"/>
    <n v="1"/>
    <s v="Brooklyn Nets"/>
    <n v="112"/>
    <n v="112"/>
    <n v="0"/>
    <n v="219"/>
    <n v="221"/>
    <n v="1"/>
    <n v="5"/>
    <n v="3"/>
    <n v="1"/>
    <n v="3"/>
    <s v="ene"/>
  </r>
  <r>
    <x v="85"/>
    <s v="LA Clippers @ Toronto Raptors"/>
    <s v="LA Clippers"/>
    <n v="111"/>
    <n v="121"/>
    <n v="1"/>
    <s v="Toronto Raptors"/>
    <n v="119"/>
    <n v="117"/>
    <n v="0"/>
    <n v="230"/>
    <n v="238"/>
    <n v="1"/>
    <n v="8"/>
    <n v="-4"/>
    <n v="0"/>
    <n v="3"/>
    <s v="ene"/>
  </r>
  <r>
    <x v="85"/>
    <s v="Minnesota Timberwolves @ Houston Rockets"/>
    <s v="Minnesota Timberwolves"/>
    <n v="109"/>
    <n v="105"/>
    <n v="0"/>
    <s v="Houston Rockets"/>
    <n v="119"/>
    <n v="110"/>
    <n v="0"/>
    <n v="228"/>
    <n v="215"/>
    <n v="0"/>
    <n v="10"/>
    <n v="5"/>
    <n v="1"/>
    <n v="3"/>
    <s v="ene"/>
  </r>
  <r>
    <x v="85"/>
    <s v="Washington Wizards @ Sacramento Kings"/>
    <s v="Washington Wizards"/>
    <n v="115"/>
    <n v="115"/>
    <n v="0"/>
    <s v="Sacramento Kings"/>
    <n v="120"/>
    <n v="128"/>
    <n v="1"/>
    <n v="235"/>
    <n v="243"/>
    <n v="1"/>
    <n v="5"/>
    <n v="13"/>
    <n v="1"/>
    <n v="3"/>
    <s v="ene"/>
  </r>
  <r>
    <x v="86"/>
    <s v="Utah Jazz @ Dallas Mavericks"/>
    <s v="Utah Jazz"/>
    <n v="127"/>
    <n v="120"/>
    <n v="0"/>
    <s v="Dallas Mavericks"/>
    <n v="122"/>
    <n v="138"/>
    <n v="1"/>
    <n v="249"/>
    <n v="258"/>
    <n v="1"/>
    <n v="-5"/>
    <n v="18"/>
    <n v="0"/>
    <n v="3"/>
    <s v="ene"/>
  </r>
  <r>
    <x v="86"/>
    <s v="Boston Celtics @ Atlanta Hawks"/>
    <s v="Boston Celtics"/>
    <n v="114"/>
    <n v="132"/>
    <n v="1"/>
    <s v="Atlanta Hawks"/>
    <n v="118"/>
    <n v="106"/>
    <n v="0"/>
    <n v="232"/>
    <n v="238"/>
    <n v="1"/>
    <n v="4"/>
    <n v="-26"/>
    <n v="0"/>
    <n v="3"/>
    <s v="ene"/>
  </r>
  <r>
    <x v="86"/>
    <s v="Indiana Pacers @ Detroit Pistons"/>
    <s v="Indiana Pacers"/>
    <n v="103"/>
    <n v="78"/>
    <n v="0"/>
    <s v="Detroit Pistons"/>
    <n v="128"/>
    <n v="121"/>
    <n v="0"/>
    <n v="231"/>
    <n v="199"/>
    <n v="0"/>
    <n v="25"/>
    <n v="43"/>
    <n v="1"/>
    <n v="3"/>
    <s v="ene"/>
  </r>
  <r>
    <x v="86"/>
    <s v="Phoenix Suns @ New York Knicks"/>
    <s v="Phoenix Suns"/>
    <n v="123"/>
    <n v="106"/>
    <n v="0"/>
    <s v="New York Knicks"/>
    <n v="134"/>
    <n v="99"/>
    <n v="0"/>
    <n v="257"/>
    <n v="205"/>
    <n v="0"/>
    <n v="11"/>
    <n v="-7"/>
    <n v="0"/>
    <n v="3"/>
    <s v="ene"/>
  </r>
  <r>
    <x v="86"/>
    <s v="Oklahoma City Thunder @ Miami Heat"/>
    <s v="Oklahoma City Thunder"/>
    <n v="117"/>
    <n v="120"/>
    <n v="1"/>
    <s v="Miami Heat"/>
    <n v="107"/>
    <n v="122"/>
    <n v="1"/>
    <n v="224"/>
    <n v="242"/>
    <n v="1"/>
    <n v="-10"/>
    <n v="2"/>
    <n v="0"/>
    <n v="3"/>
    <s v="ene"/>
  </r>
  <r>
    <x v="86"/>
    <s v="Minnesota Timberwolves @ San Antonio Spurs"/>
    <s v="Minnesota Timberwolves"/>
    <n v="121"/>
    <n v="123"/>
    <n v="1"/>
    <s v="San Antonio Spurs"/>
    <n v="133"/>
    <n v="126"/>
    <n v="0"/>
    <n v="254"/>
    <n v="249"/>
    <n v="0"/>
    <n v="12"/>
    <n v="3"/>
    <n v="1"/>
    <n v="3"/>
    <s v="ene"/>
  </r>
  <r>
    <x v="86"/>
    <s v="Charlotte Hornets @ Golden State Warriors"/>
    <s v="Charlotte Hornets"/>
    <n v="125"/>
    <n v="116"/>
    <n v="0"/>
    <s v="Golden State Warriors"/>
    <n v="129"/>
    <n v="136"/>
    <n v="1"/>
    <n v="254"/>
    <n v="252"/>
    <n v="0"/>
    <n v="4"/>
    <n v="20"/>
    <n v="1"/>
    <n v="3"/>
    <s v="ene"/>
  </r>
  <r>
    <x v="86"/>
    <s v="Washington Wizards @ Denver Nuggets"/>
    <s v="Washington Wizards"/>
    <n v="106"/>
    <n v="115"/>
    <n v="1"/>
    <s v="Denver Nuggets"/>
    <n v="126"/>
    <n v="121"/>
    <n v="0"/>
    <n v="232"/>
    <n v="236"/>
    <n v="1"/>
    <n v="20"/>
    <n v="6"/>
    <n v="1"/>
    <n v="3"/>
    <s v="ene"/>
  </r>
  <r>
    <x v="86"/>
    <s v="Los Angeles Lakers @ Portland Trail Blazers"/>
    <s v="Los Angeles Lakers"/>
    <n v="121"/>
    <n v="116"/>
    <n v="0"/>
    <s v="Portland Trail Blazers"/>
    <n v="117"/>
    <n v="132"/>
    <n v="1"/>
    <n v="238"/>
    <n v="248"/>
    <n v="1"/>
    <n v="-4"/>
    <n v="16"/>
    <n v="0"/>
    <n v="3"/>
    <s v="ene"/>
  </r>
  <r>
    <x v="87"/>
    <s v="Orlando Magic @ Memphis Grizzlies"/>
    <s v="Orlando Magic"/>
    <n v="125"/>
    <n v="109"/>
    <n v="0"/>
    <s v="Memphis Grizzlies"/>
    <n v="121"/>
    <n v="126"/>
    <n v="1"/>
    <n v="246"/>
    <n v="235"/>
    <n v="0"/>
    <n v="-4"/>
    <n v="17"/>
    <n v="0"/>
    <n v="3"/>
    <s v="ene"/>
  </r>
  <r>
    <x v="87"/>
    <s v="Brooklyn Nets @ Chicago Bulls"/>
    <s v="Brooklyn Nets"/>
    <n v="113"/>
    <n v="102"/>
    <n v="0"/>
    <s v="Chicago Bulls"/>
    <n v="120"/>
    <n v="124"/>
    <n v="1"/>
    <n v="233"/>
    <n v="226"/>
    <n v="0"/>
    <n v="7"/>
    <n v="22"/>
    <n v="1"/>
    <n v="3"/>
    <s v="ene"/>
  </r>
  <r>
    <x v="87"/>
    <s v="New Orleans Pelicans @ Houston Rockets"/>
    <s v="New Orleans Pelicans"/>
    <n v="111"/>
    <n v="110"/>
    <n v="0"/>
    <s v="Houston Rockets"/>
    <n v="125"/>
    <n v="119"/>
    <n v="0"/>
    <n v="236"/>
    <n v="229"/>
    <n v="0"/>
    <n v="14"/>
    <n v="9"/>
    <n v="1"/>
    <n v="3"/>
    <s v="ene"/>
  </r>
  <r>
    <x v="87"/>
    <s v="Charlotte Hornets @ Denver Nuggets"/>
    <s v="Charlotte Hornets"/>
    <n v="115"/>
    <n v="110"/>
    <n v="0"/>
    <s v="Denver Nuggets"/>
    <n v="122"/>
    <n v="87"/>
    <n v="0"/>
    <n v="237"/>
    <n v="197"/>
    <n v="0"/>
    <n v="7"/>
    <n v="-23"/>
    <n v="0"/>
    <n v="3"/>
    <s v="ene"/>
  </r>
  <r>
    <x v="87"/>
    <s v="Portland Trail Blazers @ Sacramento Kings"/>
    <s v="Portland Trail Blazers"/>
    <n v="112"/>
    <n v="117"/>
    <n v="1"/>
    <s v="Sacramento Kings"/>
    <n v="116"/>
    <n v="110"/>
    <n v="0"/>
    <n v="228"/>
    <n v="227"/>
    <n v="0"/>
    <n v="4"/>
    <n v="-7"/>
    <n v="0"/>
    <n v="3"/>
    <s v="ene"/>
  </r>
  <r>
    <x v="87"/>
    <s v="Toronto Raptors @ Los Angeles Lakers"/>
    <s v="Toronto Raptors"/>
    <n v="110"/>
    <n v="93"/>
    <n v="0"/>
    <s v="Los Angeles Lakers"/>
    <n v="116"/>
    <n v="110"/>
    <n v="0"/>
    <n v="226"/>
    <n v="203"/>
    <n v="0"/>
    <n v="6"/>
    <n v="17"/>
    <n v="1"/>
    <n v="3"/>
    <s v="ene"/>
  </r>
  <r>
    <x v="88"/>
    <s v="Milwaukee Bucks @ Atlanta Hawks"/>
    <s v="Milwaukee Bucks"/>
    <n v="129"/>
    <n v="112"/>
    <n v="0"/>
    <s v="Atlanta Hawks"/>
    <n v="123"/>
    <n v="110"/>
    <n v="0"/>
    <n v="252"/>
    <n v="222"/>
    <n v="0"/>
    <n v="-6"/>
    <n v="-2"/>
    <n v="1"/>
    <n v="4"/>
    <s v="ene"/>
  </r>
  <r>
    <x v="88"/>
    <s v="Oklahoma City Thunder @ Cleveland Cavaliers"/>
    <s v="Oklahoma City Thunder"/>
    <n v="116"/>
    <n v="136"/>
    <n v="1"/>
    <s v="Cleveland Cavaliers"/>
    <n v="112"/>
    <n v="104"/>
    <n v="0"/>
    <n v="228"/>
    <n v="240"/>
    <n v="1"/>
    <n v="-4"/>
    <n v="-32"/>
    <n v="1"/>
    <n v="4"/>
    <s v="ene"/>
  </r>
  <r>
    <x v="88"/>
    <s v="LA Clippers @ Washington Wizards"/>
    <s v="LA Clippers"/>
    <n v="110"/>
    <n v="110"/>
    <n v="0"/>
    <s v="Washington Wizards"/>
    <n v="126"/>
    <n v="106"/>
    <n v="0"/>
    <n v="236"/>
    <n v="216"/>
    <n v="0"/>
    <n v="16"/>
    <n v="-4"/>
    <n v="0"/>
    <n v="4"/>
    <s v="ene"/>
  </r>
  <r>
    <x v="88"/>
    <s v="Dallas Mavericks @ New York Knicks"/>
    <s v="Dallas Mavericks"/>
    <n v="121"/>
    <n v="114"/>
    <n v="0"/>
    <s v="New York Knicks"/>
    <n v="136"/>
    <n v="97"/>
    <n v="0"/>
    <n v="257"/>
    <n v="211"/>
    <n v="0"/>
    <n v="15"/>
    <n v="-17"/>
    <n v="0"/>
    <n v="4"/>
    <s v="ene"/>
  </r>
  <r>
    <x v="88"/>
    <s v="Utah Jazz @ San Antonio Spurs"/>
    <s v="Utah Jazz"/>
    <n v="133"/>
    <n v="110"/>
    <n v="0"/>
    <s v="San Antonio Spurs"/>
    <n v="125"/>
    <n v="123"/>
    <n v="0"/>
    <n v="258"/>
    <n v="233"/>
    <n v="0"/>
    <n v="-8"/>
    <n v="13"/>
    <n v="0"/>
    <n v="4"/>
    <s v="ene"/>
  </r>
  <r>
    <x v="88"/>
    <s v="Indiana Pacers @ Philadelphia 76ers"/>
    <s v="Indiana Pacers"/>
    <n v="110"/>
    <n v="104"/>
    <n v="0"/>
    <s v="Philadelphia 76ers"/>
    <n v="121"/>
    <n v="113"/>
    <n v="0"/>
    <n v="231"/>
    <n v="217"/>
    <n v="0"/>
    <n v="11"/>
    <n v="9"/>
    <n v="1"/>
    <n v="4"/>
    <s v="ene"/>
  </r>
  <r>
    <x v="88"/>
    <s v="Phoenix Suns @ Brooklyn Nets"/>
    <s v="Phoenix Suns"/>
    <n v="115"/>
    <n v="126"/>
    <n v="1"/>
    <s v="Brooklyn Nets"/>
    <n v="107"/>
    <n v="117"/>
    <n v="1"/>
    <n v="222"/>
    <n v="243"/>
    <n v="1"/>
    <n v="-8"/>
    <n v="-9"/>
    <n v="1"/>
    <n v="4"/>
    <s v="ene"/>
  </r>
  <r>
    <x v="88"/>
    <s v="Boston Celtics @ Detroit Pistons"/>
    <s v="Boston Celtics"/>
    <n v="108"/>
    <n v="103"/>
    <n v="0"/>
    <s v="Detroit Pistons"/>
    <n v="111"/>
    <n v="104"/>
    <n v="0"/>
    <n v="219"/>
    <n v="207"/>
    <n v="0"/>
    <n v="3"/>
    <n v="1"/>
    <n v="1"/>
    <n v="4"/>
    <s v="ene"/>
  </r>
  <r>
    <x v="88"/>
    <s v="Miami Heat @ Golden State Warriors"/>
    <s v="Miami Heat"/>
    <n v="117"/>
    <n v="112"/>
    <n v="0"/>
    <s v="Golden State Warriors"/>
    <n v="124"/>
    <n v="135"/>
    <n v="1"/>
    <n v="241"/>
    <n v="247"/>
    <n v="1"/>
    <n v="7"/>
    <n v="23"/>
    <n v="1"/>
    <n v="4"/>
    <s v="ene"/>
  </r>
  <r>
    <x v="89"/>
    <s v="Phoenix Suns @ Philadelphia 76ers"/>
    <s v="Phoenix Suns"/>
    <n v="126"/>
    <n v="116"/>
    <n v="0"/>
    <s v="Philadelphia 76ers"/>
    <n v="117"/>
    <n v="110"/>
    <n v="0"/>
    <n v="243"/>
    <n v="226"/>
    <n v="0"/>
    <n v="-9"/>
    <n v="-6"/>
    <n v="1"/>
    <n v="4"/>
    <s v="ene"/>
  </r>
  <r>
    <x v="89"/>
    <s v="LA Clippers @ Chicago Bulls"/>
    <s v="LA Clippers"/>
    <n v="116"/>
    <n v="110"/>
    <n v="0"/>
    <s v="Chicago Bulls"/>
    <n v="120"/>
    <n v="138"/>
    <n v="1"/>
    <n v="236"/>
    <n v="248"/>
    <n v="1"/>
    <n v="4"/>
    <n v="28"/>
    <n v="1"/>
    <n v="4"/>
    <s v="ene"/>
  </r>
  <r>
    <x v="89"/>
    <s v="San Antonio Spurs @ Houston Rockets"/>
    <s v="San Antonio Spurs"/>
    <n v="111"/>
    <n v="105"/>
    <n v="0"/>
    <s v="Houston Rockets"/>
    <n v="126"/>
    <n v="111"/>
    <n v="0"/>
    <n v="237"/>
    <n v="216"/>
    <n v="0"/>
    <n v="15"/>
    <n v="6"/>
    <n v="1"/>
    <n v="4"/>
    <s v="ene"/>
  </r>
  <r>
    <x v="89"/>
    <s v="Minnesota Timberwolves @ Utah Jazz"/>
    <s v="Minnesota Timberwolves"/>
    <n v="124"/>
    <n v="122"/>
    <n v="0"/>
    <s v="Utah Jazz"/>
    <n v="135"/>
    <n v="127"/>
    <n v="0"/>
    <n v="259"/>
    <n v="249"/>
    <n v="0"/>
    <n v="11"/>
    <n v="5"/>
    <n v="1"/>
    <n v="4"/>
    <s v="ene"/>
  </r>
  <r>
    <x v="89"/>
    <s v="Los Angeles Lakers @ Denver Nuggets"/>
    <s v="Los Angeles Lakers"/>
    <n v="108"/>
    <n v="115"/>
    <n v="1"/>
    <s v="Denver Nuggets"/>
    <n v="116"/>
    <n v="107"/>
    <n v="0"/>
    <n v="224"/>
    <n v="222"/>
    <n v="0"/>
    <n v="8"/>
    <n v="-8"/>
    <n v="0"/>
    <n v="4"/>
    <s v="ene"/>
  </r>
  <r>
    <x v="89"/>
    <s v="Toronto Raptors @ Golden State Warriors"/>
    <s v="Toronto Raptors"/>
    <n v="111"/>
    <n v="145"/>
    <n v="1"/>
    <s v="Golden State Warriors"/>
    <n v="127"/>
    <n v="127"/>
    <n v="0"/>
    <n v="238"/>
    <n v="272"/>
    <n v="1"/>
    <n v="16"/>
    <n v="-18"/>
    <n v="0"/>
    <n v="4"/>
    <s v="ene"/>
  </r>
  <r>
    <x v="89"/>
    <s v="Miami Heat @ Sacramento Kings"/>
    <s v="Miami Heat"/>
    <n v="115"/>
    <n v="130"/>
    <n v="1"/>
    <s v="Sacramento Kings"/>
    <n v="119"/>
    <n v="117"/>
    <n v="0"/>
    <n v="234"/>
    <n v="247"/>
    <n v="1"/>
    <n v="4"/>
    <n v="-13"/>
    <n v="0"/>
    <n v="4"/>
    <s v="ene"/>
  </r>
  <r>
    <x v="90"/>
    <s v="Cleveland Cavaliers @ Charlotte Hornets"/>
    <s v="Cleveland Cavaliers"/>
    <n v="130"/>
    <n v="94"/>
    <n v="0"/>
    <s v="Charlotte Hornets"/>
    <n v="115"/>
    <n v="87"/>
    <n v="0"/>
    <n v="245"/>
    <n v="181"/>
    <n v="0"/>
    <n v="-15"/>
    <n v="-7"/>
    <n v="1"/>
    <n v="4"/>
    <s v="ene"/>
  </r>
  <r>
    <x v="90"/>
    <s v="Indiana Pacers @ Boston Celtics"/>
    <s v="Indiana Pacers"/>
    <n v="109"/>
    <n v="104"/>
    <n v="0"/>
    <s v="Boston Celtics"/>
    <n v="123"/>
    <n v="119"/>
    <n v="0"/>
    <n v="232"/>
    <n v="223"/>
    <n v="0"/>
    <n v="14"/>
    <n v="15"/>
    <n v="1"/>
    <n v="4"/>
    <s v="ene"/>
  </r>
  <r>
    <x v="90"/>
    <s v="Brooklyn Nets @ New York Knicks"/>
    <s v="Brooklyn Nets"/>
    <n v="113"/>
    <n v="66"/>
    <n v="0"/>
    <s v="New York Knicks"/>
    <n v="128"/>
    <n v="120"/>
    <n v="0"/>
    <n v="241"/>
    <n v="186"/>
    <n v="0"/>
    <n v="15"/>
    <n v="54"/>
    <n v="1"/>
    <n v="4"/>
    <s v="ene"/>
  </r>
  <r>
    <x v="90"/>
    <s v="Atlanta Hawks @ Memphis Grizzlies"/>
    <s v="Atlanta Hawks"/>
    <n v="118"/>
    <n v="124"/>
    <n v="1"/>
    <s v="Memphis Grizzlies"/>
    <n v="123"/>
    <n v="122"/>
    <n v="0"/>
    <n v="241"/>
    <n v="246"/>
    <n v="1"/>
    <n v="5"/>
    <n v="-2"/>
    <n v="0"/>
    <n v="4"/>
    <s v="ene"/>
  </r>
  <r>
    <x v="90"/>
    <s v="Detroit Pistons @ New Orleans Pelicans"/>
    <s v="Detroit Pistons"/>
    <n v="114"/>
    <n v="112"/>
    <n v="0"/>
    <s v="New Orleans Pelicans"/>
    <n v="124"/>
    <n v="104"/>
    <n v="0"/>
    <n v="238"/>
    <n v="216"/>
    <n v="0"/>
    <n v="10"/>
    <n v="-8"/>
    <n v="0"/>
    <n v="4"/>
    <s v="ene"/>
  </r>
  <r>
    <x v="90"/>
    <s v="Oklahoma City Thunder @ Milwaukee Bucks"/>
    <s v="Oklahoma City Thunder"/>
    <n v="111"/>
    <n v="122"/>
    <n v="1"/>
    <s v="Milwaukee Bucks"/>
    <n v="115"/>
    <n v="102"/>
    <n v="0"/>
    <n v="226"/>
    <n v="224"/>
    <n v="0"/>
    <n v="4"/>
    <n v="-20"/>
    <n v="0"/>
    <n v="4"/>
    <s v="ene"/>
  </r>
  <r>
    <x v="90"/>
    <s v="Toronto Raptors @ Sacramento Kings"/>
    <s v="Toronto Raptors"/>
    <n v="121"/>
    <n v="122"/>
    <n v="1"/>
    <s v="Sacramento Kings"/>
    <n v="114"/>
    <n v="109"/>
    <n v="0"/>
    <n v="235"/>
    <n v="231"/>
    <n v="0"/>
    <n v="-7"/>
    <n v="-13"/>
    <n v="1"/>
    <n v="4"/>
    <s v="ene"/>
  </r>
  <r>
    <x v="91"/>
    <s v="Charlotte Hornets @ Orlando Magic"/>
    <s v="Charlotte Hornets"/>
    <n v="124"/>
    <n v="124"/>
    <n v="0"/>
    <s v="Orlando Magic"/>
    <n v="120"/>
    <n v="97"/>
    <n v="0"/>
    <n v="244"/>
    <n v="221"/>
    <n v="0"/>
    <n v="-4"/>
    <n v="-27"/>
    <n v="1"/>
    <n v="4"/>
    <s v="ene"/>
  </r>
  <r>
    <x v="91"/>
    <s v="Houston Rockets @ Philadelphia 76ers"/>
    <s v="Houston Rockets"/>
    <n v="113"/>
    <n v="122"/>
    <n v="1"/>
    <s v="Philadelphia 76ers"/>
    <n v="117"/>
    <n v="128"/>
    <n v="1"/>
    <n v="230"/>
    <n v="250"/>
    <n v="1"/>
    <n v="4"/>
    <n v="6"/>
    <n v="1"/>
    <n v="4"/>
    <s v="ene"/>
  </r>
  <r>
    <x v="91"/>
    <s v="Denver Nuggets @ Washington Wizards"/>
    <s v="Denver Nuggets"/>
    <n v="120"/>
    <n v="107"/>
    <n v="0"/>
    <s v="Washington Wizards"/>
    <n v="123"/>
    <n v="97"/>
    <n v="0"/>
    <n v="243"/>
    <n v="204"/>
    <n v="0"/>
    <n v="3"/>
    <n v="-10"/>
    <n v="0"/>
    <n v="4"/>
    <s v="ene"/>
  </r>
  <r>
    <x v="91"/>
    <s v="Golden State Warriors @ Dallas Mavericks"/>
    <s v="Golden State Warriors"/>
    <n v="116"/>
    <n v="115"/>
    <n v="0"/>
    <s v="Dallas Mavericks"/>
    <n v="128"/>
    <n v="123"/>
    <n v="0"/>
    <n v="244"/>
    <n v="238"/>
    <n v="0"/>
    <n v="12"/>
    <n v="8"/>
    <n v="1"/>
    <n v="4"/>
    <s v="ene"/>
  </r>
  <r>
    <x v="91"/>
    <s v="Chicago Bulls @ Minnesota Timberwolves"/>
    <s v="Chicago Bulls"/>
    <n v="108"/>
    <n v="120"/>
    <n v="1"/>
    <s v="Minnesota Timberwolves"/>
    <n v="120"/>
    <n v="115"/>
    <n v="0"/>
    <n v="228"/>
    <n v="235"/>
    <n v="1"/>
    <n v="12"/>
    <n v="-5"/>
    <n v="0"/>
    <n v="4"/>
    <s v="ene"/>
  </r>
  <r>
    <x v="91"/>
    <s v="San Antonio Spurs @ Utah Jazz"/>
    <s v="San Antonio Spurs"/>
    <n v="124"/>
    <n v="126"/>
    <n v="1"/>
    <s v="Utah Jazz"/>
    <n v="130"/>
    <n v="109"/>
    <n v="0"/>
    <n v="254"/>
    <n v="235"/>
    <n v="0"/>
    <n v="6"/>
    <n v="-17"/>
    <n v="0"/>
    <n v="4"/>
    <s v="ene"/>
  </r>
  <r>
    <x v="91"/>
    <s v="Los Angeles Lakers @ LA Clippers"/>
    <s v="Los Angeles Lakers"/>
    <n v="113"/>
    <n v="104"/>
    <n v="0"/>
    <s v="LA Clippers"/>
    <n v="117"/>
    <n v="112"/>
    <n v="0"/>
    <n v="230"/>
    <n v="216"/>
    <n v="0"/>
    <n v="4"/>
    <n v="8"/>
    <n v="1"/>
    <n v="4"/>
    <s v="ene"/>
  </r>
  <r>
    <x v="91"/>
    <s v="Miami Heat @ Portland Trail Blazers"/>
    <s v="Miami Heat"/>
    <n v="108"/>
    <n v="110"/>
    <n v="1"/>
    <s v="Portland Trail Blazers"/>
    <n v="116"/>
    <n v="127"/>
    <n v="1"/>
    <n v="224"/>
    <n v="237"/>
    <n v="1"/>
    <n v="8"/>
    <n v="17"/>
    <n v="1"/>
    <n v="4"/>
    <s v="ene"/>
  </r>
  <r>
    <x v="92"/>
    <s v="Houston Rockets @ Detroit Pistons"/>
    <s v="Houston Rockets"/>
    <n v="128"/>
    <n v="111"/>
    <n v="0"/>
    <s v="Detroit Pistons"/>
    <n v="119"/>
    <n v="104"/>
    <n v="0"/>
    <n v="247"/>
    <n v="215"/>
    <n v="0"/>
    <n v="-9"/>
    <n v="-7"/>
    <n v="1"/>
    <n v="4"/>
    <s v="ene"/>
  </r>
  <r>
    <x v="92"/>
    <s v="Phoenix Suns @ Atlanta Hawks"/>
    <s v="Phoenix Suns"/>
    <n v="118"/>
    <n v="103"/>
    <n v="0"/>
    <s v="Atlanta Hawks"/>
    <n v="122"/>
    <n v="110"/>
    <n v="0"/>
    <n v="240"/>
    <n v="213"/>
    <n v="0"/>
    <n v="4"/>
    <n v="7"/>
    <n v="1"/>
    <n v="4"/>
    <s v="ene"/>
  </r>
  <r>
    <x v="92"/>
    <s v="Boston Celtics @ Brooklyn Nets"/>
    <s v="Boston Celtics"/>
    <n v="111"/>
    <n v="130"/>
    <n v="1"/>
    <s v="Brooklyn Nets"/>
    <n v="108"/>
    <n v="126"/>
    <n v="1"/>
    <n v="219"/>
    <n v="256"/>
    <n v="1"/>
    <n v="-3"/>
    <n v="-4"/>
    <n v="1"/>
    <n v="4"/>
    <s v="ene"/>
  </r>
  <r>
    <x v="92"/>
    <s v="Sacramento Kings @ Cleveland Cavaliers"/>
    <s v="Sacramento Kings"/>
    <n v="116"/>
    <n v="118"/>
    <n v="1"/>
    <s v="Cleveland Cavaliers"/>
    <n v="122"/>
    <n v="123"/>
    <n v="1"/>
    <n v="238"/>
    <n v="241"/>
    <n v="1"/>
    <n v="6"/>
    <n v="5"/>
    <n v="1"/>
    <n v="4"/>
    <s v="ene"/>
  </r>
  <r>
    <x v="92"/>
    <s v="New Orleans Pelicans @ Memphis Grizzlies"/>
    <s v="New Orleans Pelicans"/>
    <n v="110"/>
    <n v="133"/>
    <n v="1"/>
    <s v="Memphis Grizzlies"/>
    <n v="122"/>
    <n v="127"/>
    <n v="1"/>
    <n v="232"/>
    <n v="260"/>
    <n v="1"/>
    <n v="12"/>
    <n v="-6"/>
    <n v="0"/>
    <n v="4"/>
    <s v="ene"/>
  </r>
  <r>
    <x v="92"/>
    <s v="Indiana Pacers @ Oklahoma City Thunder"/>
    <s v="Indiana Pacers"/>
    <n v="108"/>
    <n v="117"/>
    <n v="1"/>
    <s v="Oklahoma City Thunder"/>
    <n v="123"/>
    <n v="114"/>
    <n v="0"/>
    <n v="231"/>
    <n v="231"/>
    <n v="0"/>
    <n v="15"/>
    <n v="-3"/>
    <n v="0"/>
    <n v="4"/>
    <s v="ene"/>
  </r>
  <r>
    <x v="92"/>
    <s v="Denver Nuggets @ Milwaukee Bucks"/>
    <s v="Denver Nuggets"/>
    <n v="110"/>
    <n v="102"/>
    <n v="0"/>
    <s v="Milwaukee Bucks"/>
    <n v="113"/>
    <n v="100"/>
    <n v="0"/>
    <n v="223"/>
    <n v="202"/>
    <n v="0"/>
    <n v="3"/>
    <n v="-2"/>
    <n v="0"/>
    <n v="4"/>
    <s v="ene"/>
  </r>
  <r>
    <x v="92"/>
    <s v="Toronto Raptors @ Portland Trail Blazers"/>
    <s v="Toronto Raptors"/>
    <n v="109"/>
    <n v="110"/>
    <n v="1"/>
    <s v="Portland Trail Blazers"/>
    <n v="118"/>
    <n v="98"/>
    <n v="0"/>
    <n v="227"/>
    <n v="208"/>
    <n v="0"/>
    <n v="9"/>
    <n v="-12"/>
    <n v="0"/>
    <n v="4"/>
    <s v="ene"/>
  </r>
  <r>
    <x v="93"/>
    <s v="Washington Wizards @ Charlotte Hornets"/>
    <s v="Washington Wizards"/>
    <n v="113"/>
    <n v="115"/>
    <n v="1"/>
    <s v="Charlotte Hornets"/>
    <n v="119"/>
    <n v="119"/>
    <n v="0"/>
    <n v="232"/>
    <n v="234"/>
    <n v="1"/>
    <n v="6"/>
    <n v="4"/>
    <n v="1"/>
    <n v="4"/>
    <s v="ene"/>
  </r>
  <r>
    <x v="93"/>
    <s v="New York Knicks @ Philadelphia 76ers"/>
    <s v="New York Knicks"/>
    <n v="113"/>
    <n v="112"/>
    <n v="0"/>
    <s v="Philadelphia 76ers"/>
    <n v="111"/>
    <n v="109"/>
    <n v="0"/>
    <n v="224"/>
    <n v="221"/>
    <n v="0"/>
    <n v="-2"/>
    <n v="-3"/>
    <n v="1"/>
    <n v="4"/>
    <s v="ene"/>
  </r>
  <r>
    <x v="93"/>
    <s v="Cleveland Cavaliers @ Orlando Magic"/>
    <s v="Cleveland Cavaliers"/>
    <n v="110"/>
    <n v="119"/>
    <n v="1"/>
    <s v="Orlando Magic"/>
    <n v="115"/>
    <n v="105"/>
    <n v="0"/>
    <n v="225"/>
    <n v="224"/>
    <n v="0"/>
    <n v="5"/>
    <n v="-14"/>
    <n v="0"/>
    <n v="4"/>
    <s v="ene"/>
  </r>
  <r>
    <x v="93"/>
    <s v="Boston Celtics @ Chicago Bulls"/>
    <s v="Boston Celtics"/>
    <n v="118"/>
    <n v="111"/>
    <n v="0"/>
    <s v="Chicago Bulls"/>
    <n v="113"/>
    <n v="114"/>
    <n v="1"/>
    <n v="231"/>
    <n v="225"/>
    <n v="0"/>
    <n v="-5"/>
    <n v="3"/>
    <n v="0"/>
    <n v="4"/>
    <s v="ene"/>
  </r>
  <r>
    <x v="93"/>
    <s v="Los Angeles Lakers @ Dallas Mavericks"/>
    <s v="Los Angeles Lakers"/>
    <n v="115"/>
    <n v="116"/>
    <n v="1"/>
    <s v="Dallas Mavericks"/>
    <n v="117"/>
    <n v="110"/>
    <n v="0"/>
    <n v="232"/>
    <n v="226"/>
    <n v="0"/>
    <n v="2"/>
    <n v="-6"/>
    <n v="0"/>
    <n v="4"/>
    <s v="ene"/>
  </r>
  <r>
    <x v="93"/>
    <s v="Miami Heat @ Utah Jazz"/>
    <s v="Miami Heat"/>
    <n v="114"/>
    <n v="147"/>
    <n v="1"/>
    <s v="Utah Jazz"/>
    <n v="115"/>
    <n v="116"/>
    <n v="1"/>
    <n v="229"/>
    <n v="263"/>
    <n v="1"/>
    <n v="1"/>
    <n v="-31"/>
    <n v="0"/>
    <n v="4"/>
    <s v="ene"/>
  </r>
  <r>
    <x v="94"/>
    <s v="Sacramento Kings @ Detroit Pistons"/>
    <s v="Sacramento Kings"/>
    <n v="113"/>
    <n v="116"/>
    <n v="1"/>
    <s v="Detroit Pistons"/>
    <n v="116"/>
    <n v="139"/>
    <n v="1"/>
    <n v="229"/>
    <n v="255"/>
    <n v="1"/>
    <n v="3"/>
    <n v="23"/>
    <n v="1"/>
    <n v="4"/>
    <s v="ene"/>
  </r>
  <r>
    <x v="94"/>
    <s v="Golden State Warriors @ Minnesota Timberwolves"/>
    <s v="Golden State Warriors"/>
    <n v="116"/>
    <n v="111"/>
    <n v="0"/>
    <s v="Minnesota Timberwolves"/>
    <n v="119"/>
    <n v="85"/>
    <n v="0"/>
    <n v="235"/>
    <n v="196"/>
    <n v="0"/>
    <n v="3"/>
    <n v="-26"/>
    <n v="0"/>
    <n v="4"/>
    <s v="ene"/>
  </r>
  <r>
    <x v="94"/>
    <s v="Toronto Raptors @ Oklahoma City Thunder"/>
    <s v="Toronto Raptors"/>
    <n v="112"/>
    <n v="103"/>
    <n v="0"/>
    <s v="Oklahoma City Thunder"/>
    <n v="119"/>
    <n v="101"/>
    <n v="0"/>
    <n v="231"/>
    <n v="204"/>
    <n v="0"/>
    <n v="7"/>
    <n v="-2"/>
    <n v="0"/>
    <n v="4"/>
    <s v="ene"/>
  </r>
  <r>
    <x v="94"/>
    <s v="New Orleans Pelicans @ San Antonio Spurs"/>
    <s v="New Orleans Pelicans"/>
    <n v="116"/>
    <n v="104"/>
    <n v="0"/>
    <s v="San Antonio Spurs"/>
    <n v="120"/>
    <n v="95"/>
    <n v="0"/>
    <n v="236"/>
    <n v="199"/>
    <n v="0"/>
    <n v="4"/>
    <n v="-9"/>
    <n v="0"/>
    <n v="4"/>
    <s v="ene"/>
  </r>
  <r>
    <x v="94"/>
    <s v="Miami Heat @ Phoenix Suns"/>
    <s v="Miami Heat"/>
    <n v="111"/>
    <n v="111"/>
    <n v="0"/>
    <s v="Phoenix Suns"/>
    <n v="113"/>
    <n v="102"/>
    <n v="0"/>
    <n v="224"/>
    <n v="213"/>
    <n v="0"/>
    <n v="2"/>
    <n v="-9"/>
    <n v="0"/>
    <n v="4"/>
    <s v="ene"/>
  </r>
  <r>
    <x v="94"/>
    <s v="Brooklyn Nets @ LA Clippers"/>
    <s v="Brooklyn Nets"/>
    <n v="111"/>
    <n v="89"/>
    <n v="0"/>
    <s v="LA Clippers"/>
    <n v="113"/>
    <n v="126"/>
    <n v="1"/>
    <n v="224"/>
    <n v="215"/>
    <n v="0"/>
    <n v="2"/>
    <n v="37"/>
    <n v="1"/>
    <n v="4"/>
    <s v="ene"/>
  </r>
  <r>
    <x v="95"/>
    <s v="Indiana Pacers @ Atlanta Hawks"/>
    <s v="Indiana Pacers"/>
    <n v="115"/>
    <n v="116"/>
    <n v="1"/>
    <s v="Atlanta Hawks"/>
    <n v="119"/>
    <n v="132"/>
    <n v="1"/>
    <n v="234"/>
    <n v="248"/>
    <n v="1"/>
    <n v="4"/>
    <n v="16"/>
    <n v="1"/>
    <n v="5"/>
    <s v="ene"/>
  </r>
  <r>
    <x v="95"/>
    <s v="Philadelphia 76ers @ Charlotte Hornets"/>
    <s v="Philadelphia 76ers"/>
    <n v="115"/>
    <n v="93"/>
    <n v="0"/>
    <s v="Charlotte Hornets"/>
    <n v="115"/>
    <n v="130"/>
    <n v="1"/>
    <n v="230"/>
    <n v="223"/>
    <n v="0"/>
    <n v="0"/>
    <n v="37"/>
    <n v="0"/>
    <n v="5"/>
    <s v="ene"/>
  </r>
  <r>
    <x v="95"/>
    <s v="Orlando Magic @ Cleveland Cavaliers"/>
    <s v="Orlando Magic"/>
    <n v="112"/>
    <n v="98"/>
    <n v="0"/>
    <s v="Cleveland Cavaliers"/>
    <n v="116"/>
    <n v="114"/>
    <n v="0"/>
    <n v="228"/>
    <n v="212"/>
    <n v="0"/>
    <n v="4"/>
    <n v="16"/>
    <n v="1"/>
    <n v="5"/>
    <s v="ene"/>
  </r>
  <r>
    <x v="95"/>
    <s v="Portland Trail Blazers @ Boston Celtics"/>
    <s v="Portland Trail Blazers"/>
    <n v="111"/>
    <n v="94"/>
    <n v="0"/>
    <s v="Boston Celtics"/>
    <n v="116"/>
    <n v="102"/>
    <n v="0"/>
    <n v="227"/>
    <n v="196"/>
    <n v="0"/>
    <n v="5"/>
    <n v="8"/>
    <n v="1"/>
    <n v="5"/>
    <s v="ene"/>
  </r>
  <r>
    <x v="95"/>
    <s v="Los Angeles Lakers @ Chicago Bulls"/>
    <s v="Los Angeles Lakers"/>
    <n v="119"/>
    <n v="129"/>
    <n v="1"/>
    <s v="Chicago Bulls"/>
    <n v="120"/>
    <n v="118"/>
    <n v="0"/>
    <n v="239"/>
    <n v="247"/>
    <n v="1"/>
    <n v="1"/>
    <n v="-11"/>
    <n v="0"/>
    <n v="5"/>
    <s v="ene"/>
  </r>
  <r>
    <x v="95"/>
    <s v="Memphis Grizzlies @ Houston Rockets"/>
    <s v="Memphis Grizzlies"/>
    <n v="114"/>
    <n v="99"/>
    <n v="0"/>
    <s v="Houston Rockets"/>
    <n v="120"/>
    <n v="108"/>
    <n v="0"/>
    <n v="234"/>
    <n v="207"/>
    <n v="0"/>
    <n v="6"/>
    <n v="9"/>
    <n v="1"/>
    <n v="5"/>
    <s v="ene"/>
  </r>
  <r>
    <x v="95"/>
    <s v="Golden State Warriors @ Minnesota Timberwolves"/>
    <s v="Golden State Warriors"/>
    <n v="114"/>
    <n v="83"/>
    <n v="0"/>
    <s v="Minnesota Timberwolves"/>
    <n v="116"/>
    <n v="108"/>
    <n v="0"/>
    <n v="230"/>
    <n v="191"/>
    <n v="0"/>
    <n v="2"/>
    <n v="25"/>
    <n v="1"/>
    <n v="5"/>
    <s v="ene"/>
  </r>
  <r>
    <x v="96"/>
    <s v="Portland Trail Blazers @ Washington Wizards"/>
    <s v="Portland Trail Blazers"/>
    <n v="115"/>
    <n v="111"/>
    <n v="0"/>
    <s v="Washington Wizards"/>
    <n v="113"/>
    <n v="115"/>
    <n v="1"/>
    <n v="228"/>
    <n v="226"/>
    <n v="0"/>
    <n v="-2"/>
    <n v="4"/>
    <n v="0"/>
    <n v="5"/>
    <s v="ene"/>
  </r>
  <r>
    <x v="96"/>
    <s v="Sacramento Kings @ New York Knicks"/>
    <s v="Sacramento Kings"/>
    <n v="111"/>
    <n v="87"/>
    <n v="0"/>
    <s v="New York Knicks"/>
    <n v="119"/>
    <n v="103"/>
    <n v="0"/>
    <n v="230"/>
    <n v="190"/>
    <n v="0"/>
    <n v="8"/>
    <n v="16"/>
    <n v="1"/>
    <n v="5"/>
    <s v="ene"/>
  </r>
  <r>
    <x v="96"/>
    <s v="Milwaukee Bucks @ Philadelphia 76ers"/>
    <s v="Milwaukee Bucks"/>
    <n v="113"/>
    <n v="122"/>
    <n v="1"/>
    <s v="Philadelphia 76ers"/>
    <n v="117"/>
    <n v="139"/>
    <n v="1"/>
    <n v="230"/>
    <n v="261"/>
    <n v="1"/>
    <n v="4"/>
    <n v="17"/>
    <n v="1"/>
    <n v="5"/>
    <s v="ene"/>
  </r>
  <r>
    <x v="96"/>
    <s v="New Orleans Pelicans @ Oklahoma City Thunder"/>
    <s v="New Orleans Pelicans"/>
    <n v="109"/>
    <n v="95"/>
    <n v="0"/>
    <s v="Oklahoma City Thunder"/>
    <n v="120"/>
    <n v="104"/>
    <n v="0"/>
    <n v="229"/>
    <n v="199"/>
    <n v="0"/>
    <n v="11"/>
    <n v="9"/>
    <n v="1"/>
    <n v="5"/>
    <s v="ene"/>
  </r>
  <r>
    <x v="96"/>
    <s v="Detroit Pistons @ Denver Nuggets"/>
    <s v="Detroit Pistons"/>
    <n v="112"/>
    <n v="109"/>
    <n v="0"/>
    <s v="Denver Nuggets"/>
    <n v="116"/>
    <n v="107"/>
    <n v="0"/>
    <n v="228"/>
    <n v="216"/>
    <n v="0"/>
    <n v="4"/>
    <n v="-2"/>
    <n v="0"/>
    <n v="5"/>
    <s v="ene"/>
  </r>
  <r>
    <x v="96"/>
    <s v="Brooklyn Nets @ Phoenix Suns"/>
    <s v="Brooklyn Nets"/>
    <n v="109"/>
    <n v="102"/>
    <n v="0"/>
    <s v="Phoenix Suns"/>
    <n v="113"/>
    <n v="106"/>
    <n v="0"/>
    <n v="222"/>
    <n v="208"/>
    <n v="0"/>
    <n v="4"/>
    <n v="4"/>
    <n v="1"/>
    <n v="5"/>
    <s v="ene"/>
  </r>
  <r>
    <x v="96"/>
    <s v="LA Clippers @ Utah Jazz"/>
    <s v="LA Clippers"/>
    <n v="117"/>
    <n v="115"/>
    <n v="0"/>
    <s v="Utah Jazz"/>
    <n v="117"/>
    <n v="103"/>
    <n v="0"/>
    <n v="234"/>
    <n v="218"/>
    <n v="0"/>
    <n v="0"/>
    <n v="-12"/>
    <n v="0"/>
    <n v="5"/>
    <s v="ene"/>
  </r>
  <r>
    <x v="97"/>
    <s v="Los Angeles Lakers @ Cleveland Cavaliers"/>
    <s v="Los Angeles Lakers"/>
    <n v="114"/>
    <n v="99"/>
    <n v="0"/>
    <s v="Cleveland Cavaliers"/>
    <n v="115"/>
    <n v="129"/>
    <n v="1"/>
    <n v="229"/>
    <n v="228"/>
    <n v="0"/>
    <n v="1"/>
    <n v="30"/>
    <n v="1"/>
    <n v="5"/>
    <s v="ene"/>
  </r>
  <r>
    <x v="97"/>
    <s v="Chicago Bulls @ Indiana Pacers"/>
    <s v="Chicago Bulls"/>
    <n v="115"/>
    <n v="110"/>
    <n v="0"/>
    <s v="Indiana Pacers"/>
    <n v="116"/>
    <n v="113"/>
    <n v="0"/>
    <n v="231"/>
    <n v="223"/>
    <n v="0"/>
    <n v="1"/>
    <n v="3"/>
    <n v="1"/>
    <n v="5"/>
    <s v="ene"/>
  </r>
  <r>
    <x v="97"/>
    <s v="Atlanta Hawks @ Boston Celtics"/>
    <s v="Atlanta Hawks"/>
    <n v="112"/>
    <n v="117"/>
    <n v="1"/>
    <s v="Boston Celtics"/>
    <n v="120"/>
    <n v="106"/>
    <n v="0"/>
    <n v="232"/>
    <n v="223"/>
    <n v="0"/>
    <n v="8"/>
    <n v="-11"/>
    <n v="0"/>
    <n v="5"/>
    <s v="ene"/>
  </r>
  <r>
    <x v="97"/>
    <s v="Orlando Magic @ Miami Heat"/>
    <s v="Orlando Magic"/>
    <n v="110"/>
    <n v="133"/>
    <n v="1"/>
    <s v="Miami Heat"/>
    <n v="118"/>
    <n v="124"/>
    <n v="1"/>
    <n v="228"/>
    <n v="257"/>
    <n v="1"/>
    <n v="8"/>
    <n v="-9"/>
    <n v="0"/>
    <n v="5"/>
    <s v="ene"/>
  </r>
  <r>
    <x v="97"/>
    <s v="New York Knicks @ Toronto Raptors"/>
    <s v="New York Knicks"/>
    <n v="112"/>
    <n v="119"/>
    <n v="1"/>
    <s v="Toronto Raptors"/>
    <n v="111"/>
    <n v="92"/>
    <n v="0"/>
    <n v="223"/>
    <n v="211"/>
    <n v="0"/>
    <n v="-1"/>
    <n v="-27"/>
    <n v="1"/>
    <n v="5"/>
    <s v="ene"/>
  </r>
  <r>
    <x v="97"/>
    <s v="Charlotte Hornets @ Memphis Grizzlies"/>
    <s v="Charlotte Hornets"/>
    <n v="117"/>
    <n v="112"/>
    <n v="0"/>
    <s v="Memphis Grizzlies"/>
    <n v="117"/>
    <n v="97"/>
    <n v="0"/>
    <n v="234"/>
    <n v="209"/>
    <n v="0"/>
    <n v="0"/>
    <n v="-15"/>
    <n v="0"/>
    <n v="5"/>
    <s v="ene"/>
  </r>
  <r>
    <x v="97"/>
    <s v="Minnesota Timberwolves @ Dallas Mavericks"/>
    <s v="Minnesota Timberwolves"/>
    <n v="116"/>
    <n v="118"/>
    <n v="1"/>
    <s v="Dallas Mavericks"/>
    <n v="117"/>
    <n v="105"/>
    <n v="0"/>
    <n v="233"/>
    <n v="223"/>
    <n v="0"/>
    <n v="1"/>
    <n v="-13"/>
    <n v="0"/>
    <n v="5"/>
    <s v="ene"/>
  </r>
  <r>
    <x v="97"/>
    <s v="Golden State Warriors @ Utah Jazz"/>
    <s v="Golden State Warriors"/>
    <n v="118"/>
    <n v="140"/>
    <n v="1"/>
    <s v="Utah Jazz"/>
    <n v="116"/>
    <n v="124"/>
    <n v="1"/>
    <n v="234"/>
    <n v="264"/>
    <n v="1"/>
    <n v="-2"/>
    <n v="-16"/>
    <n v="1"/>
    <n v="5"/>
    <s v="ene"/>
  </r>
  <r>
    <x v="97"/>
    <s v="San Antonio Spurs @ Houston Rockets"/>
    <s v="San Antonio Spurs"/>
    <n v="113"/>
    <n v="111"/>
    <n v="0"/>
    <s v="Houston Rockets"/>
    <n v="116"/>
    <n v="99"/>
    <n v="0"/>
    <n v="229"/>
    <n v="210"/>
    <n v="0"/>
    <n v="3"/>
    <n v="-12"/>
    <n v="0"/>
    <n v="5"/>
    <s v="ene"/>
  </r>
  <r>
    <x v="98"/>
    <s v="Sacramento Kings @ Philadelphia 76ers"/>
    <s v="Sacramento Kings"/>
    <n v="109"/>
    <n v="111"/>
    <n v="1"/>
    <s v="Philadelphia 76ers"/>
    <n v="118"/>
    <n v="113"/>
    <n v="0"/>
    <n v="227"/>
    <n v="224"/>
    <n v="0"/>
    <n v="9"/>
    <n v="2"/>
    <n v="1"/>
    <n v="5"/>
    <s v="ene"/>
  </r>
  <r>
    <x v="98"/>
    <s v="Milwaukee Bucks @ Washington Wizards"/>
    <s v="Milwaukee Bucks"/>
    <n v="119"/>
    <n v="99"/>
    <n v="0"/>
    <s v="Washington Wizards"/>
    <n v="114"/>
    <n v="109"/>
    <n v="0"/>
    <n v="233"/>
    <n v="208"/>
    <n v="0"/>
    <n v="-5"/>
    <n v="10"/>
    <n v="0"/>
    <n v="5"/>
    <s v="ene"/>
  </r>
  <r>
    <x v="98"/>
    <s v="Houston Rockets @ Atlanta Hawks"/>
    <s v="Houston Rockets"/>
    <n v="118"/>
    <n v="104"/>
    <n v="0"/>
    <s v="Atlanta Hawks"/>
    <n v="117"/>
    <n v="86"/>
    <n v="0"/>
    <n v="235"/>
    <n v="190"/>
    <n v="0"/>
    <n v="-1"/>
    <n v="-18"/>
    <n v="1"/>
    <n v="5"/>
    <s v="ene"/>
  </r>
  <r>
    <x v="98"/>
    <s v="Miami Heat @ Chicago Bulls"/>
    <s v="Miami Heat"/>
    <n v="112"/>
    <n v="116"/>
    <n v="1"/>
    <s v="Chicago Bulls"/>
    <n v="117"/>
    <n v="113"/>
    <n v="0"/>
    <n v="229"/>
    <n v="229"/>
    <n v="0"/>
    <n v="5"/>
    <n v="-3"/>
    <n v="0"/>
    <n v="5"/>
    <s v="ene"/>
  </r>
  <r>
    <x v="98"/>
    <s v="Charlotte Hornets @ Dallas Mavericks"/>
    <s v="Charlotte Hornets"/>
    <n v="114"/>
    <n v="123"/>
    <n v="1"/>
    <s v="Dallas Mavericks"/>
    <n v="114"/>
    <n v="121"/>
    <n v="1"/>
    <n v="228"/>
    <n v="244"/>
    <n v="1"/>
    <n v="0"/>
    <n v="-2"/>
    <n v="0"/>
    <n v="5"/>
    <s v="ene"/>
  </r>
  <r>
    <x v="98"/>
    <s v="Brooklyn Nets @ Denver Nuggets"/>
    <s v="Brooklyn Nets"/>
    <n v="108"/>
    <n v="103"/>
    <n v="0"/>
    <s v="Denver Nuggets"/>
    <n v="116"/>
    <n v="107"/>
    <n v="0"/>
    <n v="224"/>
    <n v="210"/>
    <n v="0"/>
    <n v="8"/>
    <n v="4"/>
    <n v="1"/>
    <n v="5"/>
    <s v="ene"/>
  </r>
  <r>
    <x v="98"/>
    <s v="Detroit Pistons @ Phoenix Suns"/>
    <s v="Detroit Pistons"/>
    <n v="114"/>
    <n v="96"/>
    <n v="0"/>
    <s v="Phoenix Suns"/>
    <n v="114"/>
    <n v="114"/>
    <n v="0"/>
    <n v="228"/>
    <n v="210"/>
    <n v="0"/>
    <n v="0"/>
    <n v="18"/>
    <n v="0"/>
    <n v="5"/>
    <s v="ene"/>
  </r>
  <r>
    <x v="98"/>
    <s v="Oklahoma City Thunder @ Minnesota Timberwolves"/>
    <s v="Oklahoma City Thunder"/>
    <n v="115"/>
    <n v="111"/>
    <n v="0"/>
    <s v="Minnesota Timberwolves"/>
    <n v="112"/>
    <n v="123"/>
    <n v="1"/>
    <n v="227"/>
    <n v="234"/>
    <n v="1"/>
    <n v="-3"/>
    <n v="12"/>
    <n v="0"/>
    <n v="5"/>
    <s v="ene"/>
  </r>
  <r>
    <x v="99"/>
    <s v="Los Angeles Lakers @ Washington Wizards"/>
    <s v="Los Angeles Lakers"/>
    <n v="122"/>
    <n v="142"/>
    <n v="1"/>
    <s v="Washington Wizards"/>
    <n v="116"/>
    <n v="111"/>
    <n v="0"/>
    <n v="238"/>
    <n v="253"/>
    <n v="1"/>
    <n v="-6"/>
    <n v="-31"/>
    <n v="1"/>
    <n v="5"/>
    <s v="ene"/>
  </r>
  <r>
    <x v="99"/>
    <s v="Toronto Raptors @ Orlando Magic"/>
    <s v="Toronto Raptors"/>
    <n v="111"/>
    <n v="120"/>
    <n v="1"/>
    <s v="Orlando Magic"/>
    <n v="112"/>
    <n v="130"/>
    <n v="1"/>
    <n v="223"/>
    <n v="250"/>
    <n v="1"/>
    <n v="1"/>
    <n v="10"/>
    <n v="1"/>
    <n v="5"/>
    <s v="ene"/>
  </r>
  <r>
    <x v="99"/>
    <s v="Sacramento Kings @ Boston Celtics"/>
    <s v="Sacramento Kings"/>
    <n v="106"/>
    <n v="93"/>
    <n v="0"/>
    <s v="Boston Celtics"/>
    <n v="118"/>
    <n v="112"/>
    <n v="0"/>
    <n v="224"/>
    <n v="205"/>
    <n v="0"/>
    <n v="12"/>
    <n v="19"/>
    <n v="1"/>
    <n v="5"/>
    <s v="ene"/>
  </r>
  <r>
    <x v="99"/>
    <s v="Portland Trail Blazers @ New York Knicks"/>
    <s v="Portland Trail Blazers"/>
    <n v="110"/>
    <n v="97"/>
    <n v="0"/>
    <s v="New York Knicks"/>
    <n v="116"/>
    <n v="127"/>
    <n v="1"/>
    <n v="226"/>
    <n v="224"/>
    <n v="0"/>
    <n v="6"/>
    <n v="30"/>
    <n v="1"/>
    <n v="5"/>
    <s v="ene"/>
  </r>
  <r>
    <x v="99"/>
    <s v="Memphis Grizzlies @ New Orleans Pelicans"/>
    <s v="Memphis Grizzlies"/>
    <n v="117"/>
    <n v="106"/>
    <n v="0"/>
    <s v="New Orleans Pelicans"/>
    <n v="117"/>
    <n v="114"/>
    <n v="0"/>
    <n v="234"/>
    <n v="220"/>
    <n v="0"/>
    <n v="0"/>
    <n v="8"/>
    <n v="0"/>
    <n v="5"/>
    <s v="ene"/>
  </r>
  <r>
    <x v="99"/>
    <s v="Cleveland Cavaliers @ Phoenix Suns"/>
    <s v="Cleveland Cavaliers"/>
    <n v="114"/>
    <n v="113"/>
    <n v="0"/>
    <s v="Phoenix Suns"/>
    <n v="114"/>
    <n v="126"/>
    <n v="1"/>
    <n v="228"/>
    <n v="239"/>
    <n v="1"/>
    <n v="0"/>
    <n v="13"/>
    <n v="0"/>
    <n v="5"/>
    <s v="ene"/>
  </r>
  <r>
    <x v="99"/>
    <s v="LA Clippers @ Denver Nuggets"/>
    <s v="LA Clippers"/>
    <n v="110"/>
    <n v="109"/>
    <n v="0"/>
    <s v="Denver Nuggets"/>
    <n v="112"/>
    <n v="122"/>
    <n v="1"/>
    <n v="222"/>
    <n v="231"/>
    <n v="1"/>
    <n v="2"/>
    <n v="13"/>
    <n v="1"/>
    <n v="5"/>
    <s v="ene"/>
  </r>
  <r>
    <x v="99"/>
    <s v="Brooklyn Nets @ Utah Jazz"/>
    <s v="Brooklyn Nets"/>
    <n v="110"/>
    <n v="109"/>
    <n v="0"/>
    <s v="Utah Jazz"/>
    <n v="114"/>
    <n v="99"/>
    <n v="0"/>
    <n v="224"/>
    <n v="208"/>
    <n v="0"/>
    <n v="4"/>
    <n v="-10"/>
    <n v="0"/>
    <n v="5"/>
    <s v="ene"/>
  </r>
  <r>
    <x v="99"/>
    <s v="Detroit Pistons @ Golden State Warriors"/>
    <s v="Detroit Pistons"/>
    <n v="113"/>
    <n v="131"/>
    <n v="1"/>
    <s v="Golden State Warriors"/>
    <n v="119"/>
    <n v="124"/>
    <n v="1"/>
    <n v="232"/>
    <n v="255"/>
    <n v="1"/>
    <n v="6"/>
    <n v="-7"/>
    <n v="0"/>
    <n v="5"/>
    <s v="ene"/>
  </r>
  <r>
    <x v="100"/>
    <s v="San Antonio Spurs @ Charlotte Hornets"/>
    <s v="San Antonio Spurs"/>
    <n v="119"/>
    <n v="106"/>
    <n v="0"/>
    <s v="Charlotte Hornets"/>
    <n v="113"/>
    <n v="111"/>
    <n v="0"/>
    <n v="232"/>
    <n v="217"/>
    <n v="0"/>
    <n v="-6"/>
    <n v="5"/>
    <n v="0"/>
    <n v="5"/>
    <s v="ene"/>
  </r>
  <r>
    <x v="100"/>
    <s v="Atlanta Hawks @ Indiana Pacers"/>
    <s v="Atlanta Hawks"/>
    <n v="117"/>
    <n v="124"/>
    <n v="1"/>
    <s v="Indiana Pacers"/>
    <n v="119"/>
    <n v="129"/>
    <n v="1"/>
    <n v="236"/>
    <n v="253"/>
    <n v="1"/>
    <n v="2"/>
    <n v="5"/>
    <n v="1"/>
    <n v="5"/>
    <s v="ene"/>
  </r>
  <r>
    <x v="100"/>
    <s v="New Orleans Pelicans @ Philadelphia 76ers"/>
    <s v="New Orleans Pelicans"/>
    <n v="110"/>
    <n v="114"/>
    <n v="1"/>
    <s v="Philadelphia 76ers"/>
    <n v="119"/>
    <n v="124"/>
    <n v="1"/>
    <n v="229"/>
    <n v="238"/>
    <n v="1"/>
    <n v="9"/>
    <n v="10"/>
    <n v="1"/>
    <n v="5"/>
    <s v="ene"/>
  </r>
  <r>
    <x v="100"/>
    <s v="Chicago Bulls @ Miami Heat"/>
    <s v="Chicago Bulls"/>
    <n v="114"/>
    <n v="125"/>
    <n v="1"/>
    <s v="Miami Heat"/>
    <n v="120"/>
    <n v="118"/>
    <n v="0"/>
    <n v="234"/>
    <n v="243"/>
    <n v="1"/>
    <n v="6"/>
    <n v="-7"/>
    <n v="0"/>
    <n v="5"/>
    <s v="ene"/>
  </r>
  <r>
    <x v="100"/>
    <s v="Minnesota Timberwolves @ Memphis Grizzlies"/>
    <s v="Minnesota Timberwolves"/>
    <n v="120"/>
    <n v="131"/>
    <n v="1"/>
    <s v="Memphis Grizzlies"/>
    <n v="116"/>
    <n v="114"/>
    <n v="0"/>
    <n v="236"/>
    <n v="245"/>
    <n v="1"/>
    <n v="-4"/>
    <n v="-17"/>
    <n v="1"/>
    <n v="5"/>
    <s v="ene"/>
  </r>
  <r>
    <x v="100"/>
    <s v="Dallas Mavericks @ Houston Rockets"/>
    <s v="Dallas Mavericks"/>
    <n v="111"/>
    <n v="107"/>
    <n v="0"/>
    <s v="Houston Rockets"/>
    <n v="116"/>
    <n v="111"/>
    <n v="0"/>
    <n v="227"/>
    <n v="218"/>
    <n v="0"/>
    <n v="5"/>
    <n v="4"/>
    <n v="1"/>
    <n v="5"/>
    <s v="ene"/>
  </r>
  <r>
    <x v="101"/>
    <s v="Milwaukee Bucks @ Boston Celtics"/>
    <s v="Milwaukee Bucks"/>
    <n v="108"/>
    <n v="79"/>
    <n v="0"/>
    <s v="Boston Celtics"/>
    <n v="118"/>
    <n v="107"/>
    <n v="0"/>
    <n v="226"/>
    <n v="186"/>
    <n v="0"/>
    <n v="10"/>
    <n v="28"/>
    <n v="1"/>
    <n v="5"/>
    <s v="feb"/>
  </r>
  <r>
    <x v="101"/>
    <s v="Brooklyn Nets @ Detroit Pistons"/>
    <s v="Brooklyn Nets"/>
    <n v="110"/>
    <n v="77"/>
    <n v="0"/>
    <s v="Detroit Pistons"/>
    <n v="108"/>
    <n v="130"/>
    <n v="1"/>
    <n v="218"/>
    <n v="207"/>
    <n v="0"/>
    <n v="-2"/>
    <n v="53"/>
    <n v="0"/>
    <n v="5"/>
    <s v="feb"/>
  </r>
  <r>
    <x v="101"/>
    <s v="Chicago Bulls @ Miami Heat"/>
    <s v="Chicago Bulls"/>
    <n v="111"/>
    <n v="91"/>
    <n v="0"/>
    <s v="Miami Heat"/>
    <n v="118"/>
    <n v="134"/>
    <n v="1"/>
    <n v="229"/>
    <n v="225"/>
    <n v="0"/>
    <n v="7"/>
    <n v="43"/>
    <n v="1"/>
    <n v="5"/>
    <s v="feb"/>
  </r>
  <r>
    <x v="101"/>
    <s v="Utah Jazz @ Toronto Raptors"/>
    <s v="Utah Jazz"/>
    <n v="114"/>
    <n v="100"/>
    <n v="0"/>
    <s v="Toronto Raptors"/>
    <n v="120"/>
    <n v="107"/>
    <n v="0"/>
    <n v="234"/>
    <n v="207"/>
    <n v="0"/>
    <n v="6"/>
    <n v="7"/>
    <n v="1"/>
    <n v="5"/>
    <s v="feb"/>
  </r>
  <r>
    <x v="101"/>
    <s v="Sacramento Kings @ Washington Wizards"/>
    <s v="Sacramento Kings"/>
    <n v="117"/>
    <n v="112"/>
    <n v="0"/>
    <s v="Washington Wizards"/>
    <n v="118"/>
    <n v="116"/>
    <n v="0"/>
    <n v="235"/>
    <n v="228"/>
    <n v="0"/>
    <n v="1"/>
    <n v="4"/>
    <n v="1"/>
    <n v="5"/>
    <s v="feb"/>
  </r>
  <r>
    <x v="101"/>
    <s v="Orlando Magic @ San Antonio Spurs"/>
    <s v="Orlando Magic"/>
    <n v="111"/>
    <n v="103"/>
    <n v="0"/>
    <s v="San Antonio Spurs"/>
    <n v="115"/>
    <n v="112"/>
    <n v="0"/>
    <n v="226"/>
    <n v="215"/>
    <n v="0"/>
    <n v="4"/>
    <n v="9"/>
    <n v="1"/>
    <n v="5"/>
    <s v="feb"/>
  </r>
  <r>
    <x v="101"/>
    <s v="Los Angeles Lakers @ New York Knicks"/>
    <s v="Los Angeles Lakers"/>
    <n v="114"/>
    <n v="100"/>
    <n v="0"/>
    <s v="New York Knicks"/>
    <n v="115"/>
    <n v="112"/>
    <n v="0"/>
    <n v="229"/>
    <n v="212"/>
    <n v="0"/>
    <n v="1"/>
    <n v="12"/>
    <n v="1"/>
    <n v="5"/>
    <s v="feb"/>
  </r>
  <r>
    <x v="101"/>
    <s v="LA Clippers @ Phoenix Suns"/>
    <s v="LA Clippers"/>
    <n v="113"/>
    <n v="117"/>
    <n v="1"/>
    <s v="Phoenix Suns"/>
    <n v="113"/>
    <n v="93"/>
    <n v="0"/>
    <n v="226"/>
    <n v="210"/>
    <n v="0"/>
    <n v="0"/>
    <n v="-24"/>
    <n v="0"/>
    <n v="5"/>
    <s v="feb"/>
  </r>
  <r>
    <x v="101"/>
    <s v="Cleveland Cavaliers @ Portland Trail Blazers"/>
    <s v="Cleveland Cavaliers"/>
    <n v="119"/>
    <n v="130"/>
    <n v="1"/>
    <s v="Portland Trail Blazers"/>
    <n v="116"/>
    <n v="111"/>
    <n v="0"/>
    <n v="235"/>
    <n v="241"/>
    <n v="1"/>
    <n v="-3"/>
    <n v="-19"/>
    <n v="1"/>
    <n v="5"/>
    <s v="feb"/>
  </r>
  <r>
    <x v="101"/>
    <s v="Oklahoma City Thunder @ Denver Nuggets"/>
    <s v="Oklahoma City Thunder"/>
    <n v="114"/>
    <n v="121"/>
    <n v="1"/>
    <s v="Denver Nuggets"/>
    <n v="115"/>
    <n v="111"/>
    <n v="0"/>
    <n v="229"/>
    <n v="232"/>
    <n v="1"/>
    <n v="1"/>
    <n v="-10"/>
    <n v="0"/>
    <n v="5"/>
    <s v="feb"/>
  </r>
  <r>
    <x v="102"/>
    <s v="New Orleans Pelicans @ Charlotte Hornets"/>
    <s v="New Orleans Pelicans"/>
    <n v="117"/>
    <n v="95"/>
    <n v="0"/>
    <s v="Charlotte Hornets"/>
    <n v="120"/>
    <n v="102"/>
    <n v="0"/>
    <n v="237"/>
    <n v="197"/>
    <n v="0"/>
    <n v="3"/>
    <n v="7"/>
    <n v="1"/>
    <n v="6"/>
    <s v="feb"/>
  </r>
  <r>
    <x v="102"/>
    <s v="Houston Rockets @ Indiana Pacers"/>
    <s v="Houston Rockets"/>
    <n v="119"/>
    <n v="118"/>
    <n v="0"/>
    <s v="Indiana Pacers"/>
    <n v="111"/>
    <n v="114"/>
    <n v="1"/>
    <n v="230"/>
    <n v="232"/>
    <n v="1"/>
    <n v="-8"/>
    <n v="-4"/>
    <n v="1"/>
    <n v="6"/>
    <s v="feb"/>
  </r>
  <r>
    <x v="102"/>
    <s v="Minnesota Timberwolves @ Memphis Grizzlies"/>
    <s v="Minnesota Timberwolves"/>
    <n v="119"/>
    <n v="128"/>
    <n v="1"/>
    <s v="Memphis Grizzlies"/>
    <n v="116"/>
    <n v="137"/>
    <n v="1"/>
    <n v="235"/>
    <n v="265"/>
    <n v="1"/>
    <n v="-3"/>
    <n v="9"/>
    <n v="0"/>
    <n v="6"/>
    <s v="feb"/>
  </r>
  <r>
    <x v="102"/>
    <s v="Philadelphia 76ers @ LA Clippers"/>
    <s v="Philadelphia 76ers"/>
    <n v="115"/>
    <n v="128"/>
    <n v="1"/>
    <s v="LA Clippers"/>
    <n v="116"/>
    <n v="113"/>
    <n v="0"/>
    <n v="231"/>
    <n v="241"/>
    <n v="1"/>
    <n v="1"/>
    <n v="-15"/>
    <n v="0"/>
    <n v="6"/>
    <s v="feb"/>
  </r>
  <r>
    <x v="103"/>
    <s v="Denver Nuggets @ Detroit Pistons"/>
    <s v="Denver Nuggets"/>
    <n v="117"/>
    <n v="121"/>
    <n v="1"/>
    <s v="Detroit Pistons"/>
    <n v="112"/>
    <n v="124"/>
    <n v="1"/>
    <n v="229"/>
    <n v="245"/>
    <n v="1"/>
    <n v="-5"/>
    <n v="3"/>
    <n v="0"/>
    <n v="6"/>
    <s v="feb"/>
  </r>
  <r>
    <x v="103"/>
    <s v="Utah Jazz @ Indiana Pacers"/>
    <s v="Utah Jazz"/>
    <n v="118"/>
    <n v="131"/>
    <n v="1"/>
    <s v="Indiana Pacers"/>
    <n v="115"/>
    <n v="122"/>
    <n v="1"/>
    <n v="233"/>
    <n v="253"/>
    <n v="1"/>
    <n v="-3"/>
    <n v="-9"/>
    <n v="1"/>
    <n v="6"/>
    <s v="feb"/>
  </r>
  <r>
    <x v="103"/>
    <s v="New York Knicks @ Washington Wizards"/>
    <s v="New York Knicks"/>
    <n v="120"/>
    <n v="132"/>
    <n v="1"/>
    <s v="Washington Wizards"/>
    <n v="113"/>
    <n v="101"/>
    <n v="0"/>
    <n v="233"/>
    <n v="233"/>
    <n v="0"/>
    <n v="-7"/>
    <n v="-31"/>
    <n v="1"/>
    <n v="6"/>
    <s v="feb"/>
  </r>
  <r>
    <x v="103"/>
    <s v="Los Angeles Lakers @ Brooklyn Nets"/>
    <s v="Los Angeles Lakers"/>
    <n v="115"/>
    <n v="125"/>
    <n v="1"/>
    <s v="Brooklyn Nets"/>
    <n v="114"/>
    <n v="109"/>
    <n v="0"/>
    <n v="229"/>
    <n v="234"/>
    <n v="1"/>
    <n v="-1"/>
    <n v="-16"/>
    <n v="1"/>
    <n v="6"/>
    <s v="feb"/>
  </r>
  <r>
    <x v="103"/>
    <s v="Atlanta Hawks @ Miami Heat"/>
    <s v="Atlanta Hawks"/>
    <n v="114"/>
    <n v="127"/>
    <n v="1"/>
    <s v="Miami Heat"/>
    <n v="120"/>
    <n v="115"/>
    <n v="0"/>
    <n v="234"/>
    <n v="242"/>
    <n v="1"/>
    <n v="6"/>
    <n v="-12"/>
    <n v="0"/>
    <n v="6"/>
    <s v="feb"/>
  </r>
  <r>
    <x v="103"/>
    <s v="Boston Celtics @ Dallas Mavericks"/>
    <s v="Boston Celtics"/>
    <n v="114"/>
    <n v="110"/>
    <n v="0"/>
    <s v="Dallas Mavericks"/>
    <n v="110"/>
    <n v="100"/>
    <n v="0"/>
    <n v="224"/>
    <n v="210"/>
    <n v="0"/>
    <n v="-4"/>
    <n v="-10"/>
    <n v="1"/>
    <n v="6"/>
    <s v="feb"/>
  </r>
  <r>
    <x v="103"/>
    <s v="Chicago Bulls @ Milwaukee Bucks"/>
    <s v="Chicago Bulls"/>
    <n v="110"/>
    <n v="115"/>
    <n v="1"/>
    <s v="Milwaukee Bucks"/>
    <n v="118"/>
    <n v="131"/>
    <n v="1"/>
    <n v="228"/>
    <n v="246"/>
    <n v="1"/>
    <n v="8"/>
    <n v="16"/>
    <n v="1"/>
    <n v="6"/>
    <s v="feb"/>
  </r>
  <r>
    <x v="103"/>
    <s v="Orlando Magic @ Oklahoma City Thunder"/>
    <s v="Orlando Magic"/>
    <n v="106"/>
    <n v="92"/>
    <n v="0"/>
    <s v="Oklahoma City Thunder"/>
    <n v="120"/>
    <n v="128"/>
    <n v="1"/>
    <n v="226"/>
    <n v="220"/>
    <n v="0"/>
    <n v="14"/>
    <n v="36"/>
    <n v="1"/>
    <n v="6"/>
    <s v="feb"/>
  </r>
  <r>
    <x v="103"/>
    <s v="Philadelphia 76ers @ Golden State Warriors"/>
    <s v="Philadelphia 76ers"/>
    <n v="113"/>
    <n v="113"/>
    <n v="0"/>
    <s v="Golden State Warriors"/>
    <n v="117"/>
    <n v="94"/>
    <n v="0"/>
    <n v="230"/>
    <n v="207"/>
    <n v="0"/>
    <n v="4"/>
    <n v="-19"/>
    <n v="0"/>
    <n v="6"/>
    <s v="feb"/>
  </r>
  <r>
    <x v="103"/>
    <s v="Phoenix Suns @ Portland Trail Blazers"/>
    <s v="Phoenix Suns"/>
    <n v="116"/>
    <n v="130"/>
    <n v="1"/>
    <s v="Portland Trail Blazers"/>
    <n v="115"/>
    <n v="125"/>
    <n v="1"/>
    <n v="231"/>
    <n v="255"/>
    <n v="1"/>
    <n v="-1"/>
    <n v="-5"/>
    <n v="1"/>
    <n v="6"/>
    <s v="feb"/>
  </r>
  <r>
    <x v="104"/>
    <s v="Denver Nuggets @ New York Knicks"/>
    <s v="Denver Nuggets"/>
    <n v="114"/>
    <n v="127"/>
    <n v="1"/>
    <s v="New York Knicks"/>
    <n v="112"/>
    <n v="134"/>
    <n v="1"/>
    <n v="226"/>
    <n v="261"/>
    <n v="1"/>
    <n v="-2"/>
    <n v="7"/>
    <n v="0"/>
    <n v="6"/>
    <s v="feb"/>
  </r>
  <r>
    <x v="104"/>
    <s v="Minnesota Timberwolves @ Toronto Raptors"/>
    <s v="Minnesota Timberwolves"/>
    <n v="117"/>
    <n v="128"/>
    <n v="1"/>
    <s v="Toronto Raptors"/>
    <n v="119"/>
    <n v="126"/>
    <n v="1"/>
    <n v="236"/>
    <n v="254"/>
    <n v="1"/>
    <n v="2"/>
    <n v="-2"/>
    <n v="0"/>
    <n v="6"/>
    <s v="feb"/>
  </r>
  <r>
    <x v="104"/>
    <s v="Boston Celtics @ Houston Rockets"/>
    <s v="Boston Celtics"/>
    <n v="111"/>
    <n v="114"/>
    <n v="1"/>
    <s v="Houston Rockets"/>
    <n v="110"/>
    <n v="93"/>
    <n v="0"/>
    <n v="221"/>
    <n v="207"/>
    <n v="0"/>
    <n v="-1"/>
    <n v="-21"/>
    <n v="1"/>
    <n v="6"/>
    <s v="feb"/>
  </r>
  <r>
    <x v="104"/>
    <s v="New Orleans Pelicans @ Milwaukee Bucks"/>
    <s v="New Orleans Pelicans"/>
    <n v="108"/>
    <n v="137"/>
    <n v="1"/>
    <s v="Milwaukee Bucks"/>
    <n v="118"/>
    <n v="141"/>
    <n v="1"/>
    <n v="226"/>
    <n v="278"/>
    <n v="1"/>
    <n v="10"/>
    <n v="4"/>
    <n v="1"/>
    <n v="6"/>
    <s v="feb"/>
  </r>
  <r>
    <x v="104"/>
    <s v="Oklahoma City Thunder @ San Antonio Spurs"/>
    <s v="Oklahoma City Thunder"/>
    <n v="115"/>
    <n v="106"/>
    <n v="0"/>
    <s v="San Antonio Spurs"/>
    <n v="113"/>
    <n v="116"/>
    <n v="1"/>
    <n v="228"/>
    <n v="222"/>
    <n v="0"/>
    <n v="-2"/>
    <n v="10"/>
    <n v="0"/>
    <n v="6"/>
    <s v="feb"/>
  </r>
  <r>
    <x v="104"/>
    <s v="Memphis Grizzlies @ Sacramento Kings"/>
    <s v="Memphis Grizzlies"/>
    <n v="117"/>
    <n v="129"/>
    <n v="1"/>
    <s v="Sacramento Kings"/>
    <n v="113"/>
    <n v="125"/>
    <n v="1"/>
    <n v="230"/>
    <n v="254"/>
    <n v="1"/>
    <n v="-4"/>
    <n v="-4"/>
    <n v="1"/>
    <n v="6"/>
    <s v="feb"/>
  </r>
  <r>
    <x v="104"/>
    <s v="Cleveland Cavaliers @ LA Clippers"/>
    <s v="Cleveland Cavaliers"/>
    <n v="114"/>
    <n v="124"/>
    <n v="1"/>
    <s v="LA Clippers"/>
    <n v="118"/>
    <n v="91"/>
    <n v="0"/>
    <n v="232"/>
    <n v="215"/>
    <n v="0"/>
    <n v="4"/>
    <n v="-33"/>
    <n v="0"/>
    <n v="6"/>
    <s v="feb"/>
  </r>
  <r>
    <x v="105"/>
    <s v="Washington Wizards @ Detroit Pistons"/>
    <s v="Washington Wizards"/>
    <n v="112"/>
    <n v="126"/>
    <n v="1"/>
    <s v="Detroit Pistons"/>
    <n v="121"/>
    <n v="117"/>
    <n v="0"/>
    <n v="233"/>
    <n v="243"/>
    <n v="1"/>
    <n v="9"/>
    <n v="-9"/>
    <n v="0"/>
    <n v="6"/>
    <s v="feb"/>
  </r>
  <r>
    <x v="105"/>
    <s v="Brooklyn Nets @ Orlando Magic"/>
    <s v="Brooklyn Nets"/>
    <n v="108"/>
    <n v="98"/>
    <n v="0"/>
    <s v="Orlando Magic"/>
    <n v="107"/>
    <n v="118"/>
    <n v="1"/>
    <n v="215"/>
    <n v="216"/>
    <n v="1"/>
    <n v="-1"/>
    <n v="20"/>
    <n v="0"/>
    <n v="6"/>
    <s v="feb"/>
  </r>
  <r>
    <x v="105"/>
    <s v="Utah Jazz @ Atlanta Hawks"/>
    <s v="Utah Jazz"/>
    <n v="118"/>
    <n v="119"/>
    <n v="1"/>
    <s v="Atlanta Hawks"/>
    <n v="119"/>
    <n v="121"/>
    <n v="1"/>
    <n v="237"/>
    <n v="240"/>
    <n v="1"/>
    <n v="1"/>
    <n v="2"/>
    <n v="1"/>
    <n v="6"/>
    <s v="feb"/>
  </r>
  <r>
    <x v="105"/>
    <s v="Chicago Bulls @ Toronto Raptors"/>
    <s v="Chicago Bulls"/>
    <n v="110"/>
    <n v="107"/>
    <n v="0"/>
    <s v="Toronto Raptors"/>
    <n v="118"/>
    <n v="123"/>
    <n v="1"/>
    <n v="228"/>
    <n v="230"/>
    <n v="1"/>
    <n v="8"/>
    <n v="16"/>
    <n v="1"/>
    <n v="6"/>
    <s v="feb"/>
  </r>
  <r>
    <x v="105"/>
    <s v="Charlotte Hornets @ Houston Rockets"/>
    <s v="Charlotte Hornets"/>
    <n v="108"/>
    <n v="109"/>
    <n v="1"/>
    <s v="Houston Rockets"/>
    <n v="116"/>
    <n v="99"/>
    <n v="0"/>
    <n v="224"/>
    <n v="208"/>
    <n v="0"/>
    <n v="8"/>
    <n v="-10"/>
    <n v="0"/>
    <n v="6"/>
    <s v="feb"/>
  </r>
  <r>
    <x v="105"/>
    <s v="San Antonio Spurs @ Dallas Mavericks"/>
    <s v="San Antonio Spurs"/>
    <n v="113"/>
    <n v="135"/>
    <n v="1"/>
    <s v="Dallas Mavericks"/>
    <n v="112"/>
    <n v="123"/>
    <n v="1"/>
    <n v="225"/>
    <n v="258"/>
    <n v="1"/>
    <n v="-1"/>
    <n v="-12"/>
    <n v="1"/>
    <n v="6"/>
    <s v="feb"/>
  </r>
  <r>
    <x v="105"/>
    <s v="Golden State Warriors @ Phoenix Suns"/>
    <s v="Golden State Warriors"/>
    <n v="115"/>
    <n v="101"/>
    <n v="0"/>
    <s v="Phoenix Suns"/>
    <n v="115"/>
    <n v="97"/>
    <n v="0"/>
    <n v="230"/>
    <n v="198"/>
    <n v="0"/>
    <n v="0"/>
    <n v="-4"/>
    <n v="0"/>
    <n v="6"/>
    <s v="feb"/>
  </r>
  <r>
    <x v="105"/>
    <s v="Philadelphia 76ers @ Los Angeles Lakers"/>
    <s v="Philadelphia 76ers"/>
    <n v="113"/>
    <n v="115"/>
    <n v="1"/>
    <s v="Los Angeles Lakers"/>
    <n v="116"/>
    <n v="119"/>
    <n v="1"/>
    <n v="229"/>
    <n v="234"/>
    <n v="1"/>
    <n v="3"/>
    <n v="4"/>
    <n v="1"/>
    <n v="6"/>
    <s v="feb"/>
  </r>
  <r>
    <x v="106"/>
    <s v="Miami Heat @ Boston Celtics"/>
    <s v="Miami Heat"/>
    <n v="107"/>
    <n v="96"/>
    <n v="0"/>
    <s v="Boston Celtics"/>
    <n v="114"/>
    <n v="98"/>
    <n v="0"/>
    <n v="221"/>
    <n v="194"/>
    <n v="0"/>
    <n v="7"/>
    <n v="2"/>
    <n v="1"/>
    <n v="6"/>
    <s v="feb"/>
  </r>
  <r>
    <x v="106"/>
    <s v="New York Knicks @ Detroit Pistons"/>
    <s v="New York Knicks"/>
    <n v="112"/>
    <n v="80"/>
    <n v="0"/>
    <s v="Detroit Pistons"/>
    <n v="113"/>
    <n v="118"/>
    <n v="1"/>
    <n v="225"/>
    <n v="198"/>
    <n v="0"/>
    <n v="1"/>
    <n v="38"/>
    <n v="1"/>
    <n v="6"/>
    <s v="feb"/>
  </r>
  <r>
    <x v="106"/>
    <s v="Indiana Pacers @ Milwaukee Bucks"/>
    <s v="Indiana Pacers"/>
    <n v="108"/>
    <n v="99"/>
    <n v="0"/>
    <s v="Milwaukee Bucks"/>
    <n v="119"/>
    <n v="105"/>
    <n v="0"/>
    <n v="227"/>
    <n v="204"/>
    <n v="0"/>
    <n v="11"/>
    <n v="6"/>
    <n v="1"/>
    <n v="6"/>
    <s v="feb"/>
  </r>
  <r>
    <x v="106"/>
    <s v="New Orleans Pelicans @ Minnesota Timberwolves"/>
    <s v="New Orleans Pelicans"/>
    <n v="113"/>
    <n v="119"/>
    <n v="1"/>
    <s v="Minnesota Timberwolves"/>
    <n v="120"/>
    <n v="115"/>
    <n v="0"/>
    <n v="233"/>
    <n v="234"/>
    <n v="1"/>
    <n v="7"/>
    <n v="-4"/>
    <n v="0"/>
    <n v="6"/>
    <s v="feb"/>
  </r>
  <r>
    <x v="106"/>
    <s v="Memphis Grizzlies @ Portland Trail Blazers"/>
    <s v="Memphis Grizzlies"/>
    <n v="117"/>
    <n v="115"/>
    <n v="0"/>
    <s v="Portland Trail Blazers"/>
    <n v="117"/>
    <n v="135"/>
    <n v="1"/>
    <n v="234"/>
    <n v="250"/>
    <n v="1"/>
    <n v="0"/>
    <n v="20"/>
    <n v="0"/>
    <n v="6"/>
    <s v="feb"/>
  </r>
  <r>
    <x v="106"/>
    <s v="LA Clippers @ Sacramento Kings"/>
    <s v="LA Clippers"/>
    <n v="117"/>
    <n v="114"/>
    <n v="0"/>
    <s v="Sacramento Kings"/>
    <n v="115"/>
    <n v="111"/>
    <n v="0"/>
    <n v="232"/>
    <n v="225"/>
    <n v="0"/>
    <n v="-2"/>
    <n v="-3"/>
    <n v="1"/>
    <n v="6"/>
    <s v="feb"/>
  </r>
  <r>
    <x v="107"/>
    <s v="Washington Wizards @ Brooklyn Nets"/>
    <s v="Washington Wizards"/>
    <n v="111"/>
    <n v="113"/>
    <n v="1"/>
    <s v="Brooklyn Nets"/>
    <n v="119"/>
    <n v="127"/>
    <n v="1"/>
    <n v="230"/>
    <n v="240"/>
    <n v="1"/>
    <n v="8"/>
    <n v="14"/>
    <n v="1"/>
    <n v="6"/>
    <s v="feb"/>
  </r>
  <r>
    <x v="107"/>
    <s v="Houston Rockets @ Oklahoma City Thunder"/>
    <s v="Houston Rockets"/>
    <n v="109"/>
    <n v="112"/>
    <n v="1"/>
    <s v="Oklahoma City Thunder"/>
    <n v="117"/>
    <n v="106"/>
    <n v="0"/>
    <n v="226"/>
    <n v="218"/>
    <n v="0"/>
    <n v="8"/>
    <n v="-6"/>
    <n v="0"/>
    <n v="6"/>
    <s v="feb"/>
  </r>
  <r>
    <x v="107"/>
    <s v="Dallas Mavericks @ San Antonio Spurs"/>
    <s v="Dallas Mavericks"/>
    <n v="114"/>
    <n v="125"/>
    <n v="1"/>
    <s v="San Antonio Spurs"/>
    <n v="118"/>
    <n v="138"/>
    <n v="1"/>
    <n v="232"/>
    <n v="263"/>
    <n v="1"/>
    <n v="4"/>
    <n v="13"/>
    <n v="1"/>
    <n v="6"/>
    <s v="feb"/>
  </r>
  <r>
    <x v="107"/>
    <s v="Utah Jazz @ Orlando Magic"/>
    <s v="Utah Jazz"/>
    <n v="115"/>
    <n v="117"/>
    <n v="1"/>
    <s v="Orlando Magic"/>
    <n v="120"/>
    <n v="120"/>
    <n v="0"/>
    <n v="235"/>
    <n v="237"/>
    <n v="1"/>
    <n v="5"/>
    <n v="3"/>
    <n v="1"/>
    <n v="6"/>
    <s v="feb"/>
  </r>
  <r>
    <x v="107"/>
    <s v="Charlotte Hornets @ Atlanta Hawks"/>
    <s v="Charlotte Hornets"/>
    <n v="115"/>
    <n v="126"/>
    <n v="1"/>
    <s v="Atlanta Hawks"/>
    <n v="117"/>
    <n v="119"/>
    <n v="1"/>
    <n v="232"/>
    <n v="245"/>
    <n v="1"/>
    <n v="2"/>
    <n v="-7"/>
    <n v="0"/>
    <n v="6"/>
    <s v="feb"/>
  </r>
  <r>
    <x v="107"/>
    <s v="Denver Nuggets @ Chicago Bulls"/>
    <s v="Denver Nuggets"/>
    <n v="118"/>
    <n v="136"/>
    <n v="1"/>
    <s v="Chicago Bulls"/>
    <n v="117"/>
    <n v="120"/>
    <n v="1"/>
    <n v="235"/>
    <n v="256"/>
    <n v="1"/>
    <n v="-1"/>
    <n v="-16"/>
    <n v="1"/>
    <n v="6"/>
    <s v="feb"/>
  </r>
  <r>
    <x v="107"/>
    <s v="Golden State Warriors @ Los Angeles Lakers"/>
    <s v="Golden State Warriors"/>
    <n v="115"/>
    <n v="99"/>
    <n v="0"/>
    <s v="Los Angeles Lakers"/>
    <n v="116"/>
    <n v="105"/>
    <n v="0"/>
    <n v="231"/>
    <n v="204"/>
    <n v="0"/>
    <n v="1"/>
    <n v="6"/>
    <n v="1"/>
    <n v="6"/>
    <s v="feb"/>
  </r>
  <r>
    <x v="107"/>
    <s v="Philadelphia 76ers @ Phoenix Suns"/>
    <s v="Philadelphia 76ers"/>
    <n v="111"/>
    <n v="109"/>
    <n v="0"/>
    <s v="Phoenix Suns"/>
    <n v="112"/>
    <n v="103"/>
    <n v="0"/>
    <n v="223"/>
    <n v="212"/>
    <n v="0"/>
    <n v="1"/>
    <n v="-6"/>
    <n v="0"/>
    <n v="6"/>
    <s v="feb"/>
  </r>
  <r>
    <x v="107"/>
    <s v="Memphis Grizzlies @ Portland Trail Blazers"/>
    <s v="Memphis Grizzlies"/>
    <n v="116"/>
    <n v="115"/>
    <n v="0"/>
    <s v="Portland Trail Blazers"/>
    <n v="117"/>
    <n v="122"/>
    <n v="1"/>
    <n v="233"/>
    <n v="237"/>
    <n v="1"/>
    <n v="1"/>
    <n v="7"/>
    <n v="1"/>
    <n v="6"/>
    <s v="feb"/>
  </r>
  <r>
    <x v="107"/>
    <s v="Cleveland Cavaliers @ Sacramento Kings"/>
    <s v="Cleveland Cavaliers"/>
    <n v="118"/>
    <n v="132"/>
    <n v="1"/>
    <s v="Sacramento Kings"/>
    <n v="112"/>
    <n v="126"/>
    <n v="1"/>
    <n v="230"/>
    <n v="258"/>
    <n v="1"/>
    <n v="-6"/>
    <n v="-6"/>
    <n v="1"/>
    <n v="6"/>
    <s v="feb"/>
  </r>
  <r>
    <x v="108"/>
    <s v="New York Knicks @ Boston Celtics"/>
    <s v="New York Knicks"/>
    <n v="104"/>
    <n v="111"/>
    <n v="1"/>
    <s v="Boston Celtics"/>
    <n v="113"/>
    <n v="89"/>
    <n v="0"/>
    <n v="217"/>
    <n v="200"/>
    <n v="0"/>
    <n v="9"/>
    <n v="-22"/>
    <n v="0"/>
    <n v="6"/>
    <s v="feb"/>
  </r>
  <r>
    <x v="108"/>
    <s v="Miami Heat @ Washington Wizards"/>
    <s v="Miami Heat"/>
    <n v="118"/>
    <n v="132"/>
    <n v="1"/>
    <s v="Washington Wizards"/>
    <n v="113"/>
    <n v="101"/>
    <n v="0"/>
    <n v="231"/>
    <n v="233"/>
    <n v="1"/>
    <n v="-5"/>
    <n v="-31"/>
    <n v="1"/>
    <n v="6"/>
    <s v="feb"/>
  </r>
  <r>
    <x v="108"/>
    <s v="Indiana Pacers @ Toronto Raptors"/>
    <s v="Indiana Pacers"/>
    <n v="110"/>
    <n v="104"/>
    <n v="0"/>
    <s v="Toronto Raptors"/>
    <n v="118"/>
    <n v="122"/>
    <n v="1"/>
    <n v="228"/>
    <n v="226"/>
    <n v="0"/>
    <n v="8"/>
    <n v="18"/>
    <n v="1"/>
    <n v="6"/>
    <s v="feb"/>
  </r>
  <r>
    <x v="108"/>
    <s v="LA Clippers @ Minnesota Timberwolves"/>
    <s v="LA Clippers"/>
    <n v="114"/>
    <n v="115"/>
    <n v="1"/>
    <s v="Minnesota Timberwolves"/>
    <n v="118"/>
    <n v="96"/>
    <n v="0"/>
    <n v="232"/>
    <n v="211"/>
    <n v="0"/>
    <n v="4"/>
    <n v="-19"/>
    <n v="0"/>
    <n v="6"/>
    <s v="feb"/>
  </r>
  <r>
    <x v="109"/>
    <s v="Detroit Pistons @ Charlotte Hornets"/>
    <s v="Detroit Pistons"/>
    <n v="115"/>
    <n v="110"/>
    <n v="0"/>
    <s v="Charlotte Hornets"/>
    <n v="111"/>
    <n v="104"/>
    <n v="0"/>
    <n v="226"/>
    <n v="214"/>
    <n v="0"/>
    <n v="-4"/>
    <n v="-6"/>
    <n v="1"/>
    <n v="7"/>
    <s v="feb"/>
  </r>
  <r>
    <x v="109"/>
    <s v="Chicago Bulls @ Brooklyn Nets"/>
    <s v="Chicago Bulls"/>
    <n v="110"/>
    <n v="115"/>
    <n v="1"/>
    <s v="Brooklyn Nets"/>
    <n v="114"/>
    <n v="123"/>
    <n v="1"/>
    <n v="224"/>
    <n v="238"/>
    <n v="1"/>
    <n v="4"/>
    <n v="8"/>
    <n v="1"/>
    <n v="7"/>
    <s v="feb"/>
  </r>
  <r>
    <x v="109"/>
    <s v="Utah Jazz @ Miami Heat"/>
    <s v="Utah Jazz"/>
    <n v="115"/>
    <n v="115"/>
    <n v="0"/>
    <s v="Miami Heat"/>
    <n v="119"/>
    <n v="111"/>
    <n v="0"/>
    <n v="234"/>
    <n v="226"/>
    <n v="0"/>
    <n v="4"/>
    <n v="-4"/>
    <n v="0"/>
    <n v="7"/>
    <s v="feb"/>
  </r>
  <r>
    <x v="109"/>
    <s v="Milwaukee Bucks @ Orlando Magic"/>
    <s v="Milwaukee Bucks"/>
    <n v="113"/>
    <n v="99"/>
    <n v="0"/>
    <s v="Orlando Magic"/>
    <n v="116"/>
    <n v="118"/>
    <n v="1"/>
    <n v="229"/>
    <n v="217"/>
    <n v="0"/>
    <n v="3"/>
    <n v="19"/>
    <n v="1"/>
    <n v="7"/>
    <s v="feb"/>
  </r>
  <r>
    <x v="109"/>
    <s v="Atlanta Hawks @ Minnesota Timberwolves"/>
    <s v="Atlanta Hawks"/>
    <n v="116"/>
    <n v="106"/>
    <n v="0"/>
    <s v="Minnesota Timberwolves"/>
    <n v="122"/>
    <n v="138"/>
    <n v="1"/>
    <n v="238"/>
    <n v="244"/>
    <n v="1"/>
    <n v="6"/>
    <n v="32"/>
    <n v="1"/>
    <n v="7"/>
    <s v="feb"/>
  </r>
  <r>
    <x v="109"/>
    <s v="Sacramento Kings @ New Orleans Pelicans"/>
    <s v="Sacramento Kings"/>
    <n v="113"/>
    <n v="94"/>
    <n v="0"/>
    <s v="New Orleans Pelicans"/>
    <n v="120"/>
    <n v="120"/>
    <n v="0"/>
    <n v="233"/>
    <n v="214"/>
    <n v="0"/>
    <n v="7"/>
    <n v="26"/>
    <n v="1"/>
    <n v="7"/>
    <s v="feb"/>
  </r>
  <r>
    <x v="109"/>
    <s v="Cleveland Cavaliers @ Denver Nuggets"/>
    <s v="Cleveland Cavaliers"/>
    <n v="112"/>
    <n v="119"/>
    <n v="1"/>
    <s v="Denver Nuggets"/>
    <n v="116"/>
    <n v="117"/>
    <n v="1"/>
    <n v="228"/>
    <n v="236"/>
    <n v="1"/>
    <n v="4"/>
    <n v="-2"/>
    <n v="0"/>
    <n v="7"/>
    <s v="feb"/>
  </r>
  <r>
    <x v="109"/>
    <s v="Memphis Grizzlies @ Golden State Warriors"/>
    <s v="Memphis Grizzlies"/>
    <n v="113"/>
    <n v="113"/>
    <n v="0"/>
    <s v="Golden State Warriors"/>
    <n v="119"/>
    <n v="114"/>
    <n v="0"/>
    <n v="232"/>
    <n v="227"/>
    <n v="0"/>
    <n v="6"/>
    <n v="1"/>
    <n v="1"/>
    <n v="7"/>
    <s v="feb"/>
  </r>
  <r>
    <x v="109"/>
    <s v="Oklahoma City Thunder @ Los Angeles Lakers"/>
    <s v="Oklahoma City Thunder"/>
    <n v="117"/>
    <n v="119"/>
    <n v="1"/>
    <s v="Los Angeles Lakers"/>
    <n v="116"/>
    <n v="110"/>
    <n v="0"/>
    <n v="233"/>
    <n v="229"/>
    <n v="0"/>
    <n v="-1"/>
    <n v="-9"/>
    <n v="1"/>
    <n v="7"/>
    <s v="feb"/>
  </r>
  <r>
    <x v="109"/>
    <s v="Philadelphia 76ers @ Portland Trail Blazers"/>
    <s v="Philadelphia 76ers"/>
    <n v="117"/>
    <n v="118"/>
    <n v="1"/>
    <s v="Portland Trail Blazers"/>
    <n v="116"/>
    <n v="135"/>
    <n v="1"/>
    <n v="233"/>
    <n v="253"/>
    <n v="1"/>
    <n v="-1"/>
    <n v="17"/>
    <n v="0"/>
    <n v="7"/>
    <s v="feb"/>
  </r>
  <r>
    <x v="110"/>
    <s v="Indiana Pacers @ New York Knicks"/>
    <s v="Indiana Pacers"/>
    <n v="109"/>
    <n v="137"/>
    <n v="1"/>
    <s v="New York Knicks"/>
    <n v="117"/>
    <n v="134"/>
    <n v="1"/>
    <n v="226"/>
    <n v="271"/>
    <n v="1"/>
    <n v="8"/>
    <n v="-3"/>
    <n v="0"/>
    <n v="7"/>
    <s v="feb"/>
  </r>
  <r>
    <x v="110"/>
    <s v="LA Clippers @ Houston Rockets"/>
    <s v="LA Clippers"/>
    <n v="111"/>
    <n v="95"/>
    <n v="0"/>
    <s v="Houston Rockets"/>
    <n v="115"/>
    <n v="102"/>
    <n v="0"/>
    <n v="226"/>
    <n v="197"/>
    <n v="0"/>
    <n v="4"/>
    <n v="7"/>
    <n v="1"/>
    <n v="7"/>
    <s v="feb"/>
  </r>
  <r>
    <x v="110"/>
    <s v="Dallas Mavericks @ Phoenix Suns"/>
    <s v="Dallas Mavericks"/>
    <n v="109"/>
    <n v="111"/>
    <n v="1"/>
    <s v="Phoenix Suns"/>
    <n v="115"/>
    <n v="120"/>
    <n v="1"/>
    <n v="224"/>
    <n v="231"/>
    <n v="1"/>
    <n v="6"/>
    <n v="9"/>
    <n v="1"/>
    <n v="7"/>
    <s v="feb"/>
  </r>
  <r>
    <x v="110"/>
    <s v="San Antonio Spurs @ Los Angeles Lakers"/>
    <s v="San Antonio Spurs"/>
    <n v="116"/>
    <n v="136"/>
    <n v="1"/>
    <s v="Los Angeles Lakers"/>
    <n v="118"/>
    <n v="108"/>
    <n v="0"/>
    <n v="234"/>
    <n v="244"/>
    <n v="1"/>
    <n v="2"/>
    <n v="-28"/>
    <n v="0"/>
    <n v="7"/>
    <s v="feb"/>
  </r>
  <r>
    <x v="111"/>
    <s v="Atlanta Hawks @ Charlotte Hornets"/>
    <s v="Atlanta Hawks"/>
    <n v="118"/>
    <n v="107"/>
    <n v="0"/>
    <s v="Charlotte Hornets"/>
    <n v="118"/>
    <n v="110"/>
    <n v="0"/>
    <n v="236"/>
    <n v="217"/>
    <n v="0"/>
    <n v="0"/>
    <n v="3"/>
    <n v="0"/>
    <n v="7"/>
    <s v="feb"/>
  </r>
  <r>
    <x v="111"/>
    <s v="Washington Wizards @ Cleveland Cavaliers"/>
    <s v="Washington Wizards"/>
    <n v="111"/>
    <n v="113"/>
    <n v="1"/>
    <s v="Cleveland Cavaliers"/>
    <n v="121"/>
    <n v="138"/>
    <n v="1"/>
    <n v="232"/>
    <n v="251"/>
    <n v="1"/>
    <n v="10"/>
    <n v="25"/>
    <n v="1"/>
    <n v="7"/>
    <s v="feb"/>
  </r>
  <r>
    <x v="111"/>
    <s v="Milwaukee Bucks @ Orlando Magic"/>
    <s v="Milwaukee Bucks"/>
    <n v="112"/>
    <n v="116"/>
    <n v="1"/>
    <s v="Orlando Magic"/>
    <n v="113"/>
    <n v="108"/>
    <n v="0"/>
    <n v="225"/>
    <n v="224"/>
    <n v="0"/>
    <n v="1"/>
    <n v="-8"/>
    <n v="0"/>
    <n v="7"/>
    <s v="feb"/>
  </r>
  <r>
    <x v="111"/>
    <s v="Chicago Bulls @ Boston Celtics"/>
    <s v="Chicago Bulls"/>
    <n v="105"/>
    <n v="104"/>
    <n v="0"/>
    <s v="Boston Celtics"/>
    <n v="116"/>
    <n v="124"/>
    <n v="1"/>
    <n v="221"/>
    <n v="228"/>
    <n v="1"/>
    <n v="11"/>
    <n v="20"/>
    <n v="1"/>
    <n v="7"/>
    <s v="feb"/>
  </r>
  <r>
    <x v="111"/>
    <s v="Indiana Pacers @ Brooklyn Nets"/>
    <s v="Indiana Pacers"/>
    <n v="113"/>
    <n v="115"/>
    <n v="1"/>
    <s v="Brooklyn Nets"/>
    <n v="117"/>
    <n v="110"/>
    <n v="0"/>
    <n v="230"/>
    <n v="225"/>
    <n v="0"/>
    <n v="4"/>
    <n v="-5"/>
    <n v="0"/>
    <n v="7"/>
    <s v="feb"/>
  </r>
  <r>
    <x v="111"/>
    <s v="New York Knicks @ Philadelphia 76ers"/>
    <s v="New York Knicks"/>
    <n v="111"/>
    <n v="138"/>
    <n v="1"/>
    <s v="Philadelphia 76ers"/>
    <n v="111"/>
    <n v="89"/>
    <n v="0"/>
    <n v="222"/>
    <n v="227"/>
    <n v="1"/>
    <n v="0"/>
    <n v="-49"/>
    <n v="0"/>
    <n v="7"/>
    <s v="feb"/>
  </r>
  <r>
    <x v="111"/>
    <s v="Detroit Pistons @ Toronto Raptors"/>
    <s v="Detroit Pistons"/>
    <n v="112"/>
    <n v="113"/>
    <n v="1"/>
    <s v="Toronto Raptors"/>
    <n v="114"/>
    <n v="95"/>
    <n v="0"/>
    <n v="226"/>
    <n v="208"/>
    <n v="0"/>
    <n v="2"/>
    <n v="-18"/>
    <n v="0"/>
    <n v="7"/>
    <s v="feb"/>
  </r>
  <r>
    <x v="111"/>
    <s v="LA Clippers @ Houston Rockets"/>
    <s v="LA Clippers"/>
    <n v="107"/>
    <n v="105"/>
    <n v="0"/>
    <s v="Houston Rockets"/>
    <n v="112"/>
    <n v="102"/>
    <n v="0"/>
    <n v="219"/>
    <n v="207"/>
    <n v="0"/>
    <n v="5"/>
    <n v="-3"/>
    <n v="0"/>
    <n v="7"/>
    <s v="feb"/>
  </r>
  <r>
    <x v="111"/>
    <s v="Portland Trail Blazers @ Minnesota Timberwolves"/>
    <s v="Portland Trail Blazers"/>
    <n v="111"/>
    <n v="109"/>
    <n v="0"/>
    <s v="Minnesota Timberwolves"/>
    <n v="120"/>
    <n v="133"/>
    <n v="1"/>
    <n v="231"/>
    <n v="242"/>
    <n v="1"/>
    <n v="9"/>
    <n v="24"/>
    <n v="1"/>
    <n v="7"/>
    <s v="feb"/>
  </r>
  <r>
    <x v="111"/>
    <s v="Miami Heat @ New Orleans Pelicans"/>
    <s v="Miami Heat"/>
    <n v="114"/>
    <n v="123"/>
    <n v="1"/>
    <s v="New Orleans Pelicans"/>
    <n v="115"/>
    <n v="111"/>
    <n v="0"/>
    <n v="229"/>
    <n v="234"/>
    <n v="1"/>
    <n v="1"/>
    <n v="-12"/>
    <n v="0"/>
    <n v="7"/>
    <s v="feb"/>
  </r>
  <r>
    <x v="111"/>
    <s v="Oklahoma City Thunder @ Phoenix Suns"/>
    <s v="Oklahoma City Thunder"/>
    <n v="113"/>
    <n v="136"/>
    <n v="1"/>
    <s v="Phoenix Suns"/>
    <n v="110"/>
    <n v="109"/>
    <n v="0"/>
    <n v="223"/>
    <n v="245"/>
    <n v="1"/>
    <n v="-3"/>
    <n v="-27"/>
    <n v="1"/>
    <n v="7"/>
    <s v="feb"/>
  </r>
  <r>
    <x v="111"/>
    <s v="Sacramento Kings @ Utah Jazz"/>
    <s v="Sacramento Kings"/>
    <n v="114"/>
    <n v="93"/>
    <n v="0"/>
    <s v="Utah Jazz"/>
    <n v="116"/>
    <n v="121"/>
    <n v="1"/>
    <n v="230"/>
    <n v="214"/>
    <n v="0"/>
    <n v="2"/>
    <n v="28"/>
    <n v="1"/>
    <n v="7"/>
    <s v="feb"/>
  </r>
  <r>
    <x v="111"/>
    <s v="Memphis Grizzlies @ Denver Nuggets"/>
    <s v="Memphis Grizzlies"/>
    <n v="110"/>
    <n v="116"/>
    <n v="1"/>
    <s v="Denver Nuggets"/>
    <n v="117"/>
    <n v="122"/>
    <n v="1"/>
    <n v="227"/>
    <n v="238"/>
    <n v="1"/>
    <n v="7"/>
    <n v="6"/>
    <n v="1"/>
    <n v="7"/>
    <s v="feb"/>
  </r>
  <r>
    <x v="111"/>
    <s v="San Antonio Spurs @ Golden State Warriors"/>
    <s v="San Antonio Spurs"/>
    <n v="113"/>
    <n v="126"/>
    <n v="1"/>
    <s v="Golden State Warriors"/>
    <n v="120"/>
    <n v="113"/>
    <n v="0"/>
    <n v="233"/>
    <n v="239"/>
    <n v="1"/>
    <n v="7"/>
    <n v="-13"/>
    <n v="0"/>
    <n v="7"/>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AF0EC-71EB-4196-AE5F-AF241A3A4E95}" name="TablaDinámica1" cacheId="3273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I114" firstHeaderRow="0" firstDataRow="1" firstDataCol="1"/>
  <pivotFields count="18">
    <pivotField axis="axisRow" compact="0" numFmtId="175" outline="0" showAll="0" defaultSubtota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numFmtId="176" outline="0" showAll="0"/>
    <pivotField compact="0" numFmtId="176" outline="0" showAll="0"/>
    <pivotField dataField="1" compact="0" outline="0" showAll="0"/>
    <pivotField compact="0" outline="0" showAll="0"/>
    <pivotField compact="0" outline="0" showAll="0"/>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t="grand">
      <x/>
    </i>
  </rowItems>
  <colFields count="1">
    <field x="-2"/>
  </colFields>
  <colItems count="8">
    <i>
      <x/>
    </i>
    <i i="1">
      <x v="1"/>
    </i>
    <i i="2">
      <x v="2"/>
    </i>
    <i i="3">
      <x v="3"/>
    </i>
    <i i="4">
      <x v="4"/>
    </i>
    <i i="5">
      <x v="5"/>
    </i>
    <i i="6">
      <x v="6"/>
    </i>
    <i i="7">
      <x v="7"/>
    </i>
  </colItems>
  <dataFields count="8">
    <dataField name="Suma de OU_V" fld="5" baseField="0" baseItem="0"/>
    <dataField name="Promedio de OU_V2" fld="5" subtotal="average" baseField="0" baseItem="0" numFmtId="10"/>
    <dataField name="Suma de O/U_H" fld="9" baseField="0" baseItem="0"/>
    <dataField name="Promedio de O/U_H2" fld="9" subtotal="average" baseField="0" baseItem="0" numFmtId="10"/>
    <dataField name="Suma de O/U_T" fld="12" baseField="0" baseItem="0"/>
    <dataField name="Promedio de O/U_T2" fld="12" subtotal="average" baseField="0" baseItem="0" numFmtId="10"/>
    <dataField name="Suma de W/L" fld="15" baseField="0" baseItem="0"/>
    <dataField name="Promedio de W/L2" fld="15" subtotal="average" baseField="0" baseItem="0" numFmtId="10"/>
  </dataFields>
  <formats count="7">
    <format dxfId="108">
      <pivotArea outline="0" fieldPosition="0">
        <references count="1">
          <reference field="4294967294" count="1" selected="0">
            <x v="1"/>
          </reference>
        </references>
      </pivotArea>
    </format>
    <format dxfId="109">
      <pivotArea outline="0" fieldPosition="0">
        <references count="1">
          <reference field="4294967294" count="1" selected="0">
            <x v="3"/>
          </reference>
        </references>
      </pivotArea>
    </format>
    <format dxfId="110">
      <pivotArea dataOnly="0" labelOnly="1" outline="0" fieldPosition="0">
        <references count="1">
          <reference field="4294967294" count="1">
            <x v="3"/>
          </reference>
        </references>
      </pivotArea>
    </format>
    <format dxfId="111">
      <pivotArea outline="0" fieldPosition="0">
        <references count="1">
          <reference field="4294967294" count="1" selected="0">
            <x v="5"/>
          </reference>
        </references>
      </pivotArea>
    </format>
    <format dxfId="112">
      <pivotArea dataOnly="0" labelOnly="1" outline="0" fieldPosition="0">
        <references count="1">
          <reference field="4294967294" count="1">
            <x v="5"/>
          </reference>
        </references>
      </pivotArea>
    </format>
    <format dxfId="113">
      <pivotArea outline="0" fieldPosition="0">
        <references count="1">
          <reference field="4294967294" count="1" selected="0">
            <x v="7"/>
          </reference>
        </references>
      </pivotArea>
    </format>
    <format dxfId="114">
      <pivotArea dataOnly="0" labelOnly="1"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26C3AB-C572-4FC5-829B-111E1568469F}" name="tblResultadosNBA" displayName="tblResultadosNBA" ref="A1:R818" totalsRowShown="0" headerRowDxfId="84" tableBorderDxfId="83">
  <autoFilter ref="A1:R818" xr:uid="{A926C3AB-C572-4FC5-829B-111E1568469F}"/>
  <tableColumns count="18">
    <tableColumn id="1" xr3:uid="{E168EA17-18EF-4F5F-BD44-5C6A4C4FE4BE}" name="Fecha" dataDxfId="82"/>
    <tableColumn id="2" xr3:uid="{32C87629-52F8-4F70-999E-CA1085015CC1}" name="Partido" dataDxfId="81"/>
    <tableColumn id="3" xr3:uid="{6F3A312C-7586-4CC0-8574-50A9721DEFBE}" name="Visitante" dataDxfId="80">
      <calculatedColumnFormula>LEFT(B2,FIND("@",B2)-2)</calculatedColumnFormula>
    </tableColumn>
    <tableColumn id="4" xr3:uid="{5AD825E0-E276-4161-82EC-E46B681A04B4}" name="Pro" dataDxfId="79"/>
    <tableColumn id="5" xr3:uid="{6CE5C59D-10AA-4E65-8D14-63FBDAE904B9}" name="Real" dataDxfId="78"/>
    <tableColumn id="6" xr3:uid="{B021D272-BF10-4E2C-BDE1-3549ADA86B5E}" name="OU_V" dataDxfId="77">
      <calculatedColumnFormula>IF(E2&gt;D2, 1, 0)</calculatedColumnFormula>
    </tableColumn>
    <tableColumn id="7" xr3:uid="{0C2B7FBE-A2A3-40A3-9664-2DBF0AE8AB4F}" name="Home" dataDxfId="76">
      <calculatedColumnFormula>MID(B2,FIND("@",B2)+2,LEN(B2)-FIND("@",B2)-1)</calculatedColumnFormula>
    </tableColumn>
    <tableColumn id="8" xr3:uid="{877CE7B3-8308-4B3C-9712-A2CEA3D213A7}" name="Pro2" dataDxfId="75"/>
    <tableColumn id="9" xr3:uid="{A33F3FAD-0D0B-449E-A136-89D8CA224CD8}" name="Real3" dataDxfId="74"/>
    <tableColumn id="10" xr3:uid="{B7ACE3A1-C8B6-4C37-8FDE-819D339D45D5}" name="O/U_H" dataDxfId="73">
      <calculatedColumnFormula>IF(I2&gt;H2, 1, 0)</calculatedColumnFormula>
    </tableColumn>
    <tableColumn id="11" xr3:uid="{B6165181-8C34-46FD-967A-1F4909D8780A}" name="Tot" dataDxfId="72">
      <calculatedColumnFormula>+D2+H2</calculatedColumnFormula>
    </tableColumn>
    <tableColumn id="12" xr3:uid="{2E4D19A4-D930-4120-BE99-1EAF6B69BBE8}" name="Tot R" dataDxfId="71">
      <calculatedColumnFormula>E2+I2</calculatedColumnFormula>
    </tableColumn>
    <tableColumn id="13" xr3:uid="{366C4CE8-8F55-43F2-AEC2-3D56D0D5882F}" name="O/U_T" dataDxfId="70">
      <calculatedColumnFormula>IF(L2&gt;K2, 1, 0)</calculatedColumnFormula>
    </tableColumn>
    <tableColumn id="14" xr3:uid="{FAF92BB6-E6FA-42A8-B4D6-B6392F82C24C}" name="Dif" dataDxfId="69">
      <calculatedColumnFormula>(+H2-D2)</calculatedColumnFormula>
    </tableColumn>
    <tableColumn id="15" xr3:uid="{0A22922F-3530-40CD-9247-809D3A4D5578}" name="Real4" dataDxfId="68">
      <calculatedColumnFormula>I2-E2</calculatedColumnFormula>
    </tableColumn>
    <tableColumn id="16" xr3:uid="{C4230C36-83A4-47D2-8CED-9237A056754B}" name="W/L">
      <calculatedColumnFormula>IF(OR(AND(N2&gt;0,O2&gt;0),AND(N2&lt;0,O2&lt;0)),1,0)</calculatedColumnFormula>
    </tableColumn>
    <tableColumn id="17" xr3:uid="{0472C5F6-0511-4787-B8F0-7CBE80548494}" name="Semana" dataDxfId="67">
      <calculatedColumnFormula>WEEKNUM(tblResultadosNBA[[#This Row],[Fecha]],2)</calculatedColumnFormula>
    </tableColumn>
    <tableColumn id="18" xr3:uid="{A5E7F369-5EC8-42B1-BC6B-C8AAC6587105}" name="Mes" dataDxfId="66">
      <calculatedColumnFormula>TEXT(tblResultadosNBA[[#This Row],[Fecha]],"mmm")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N37" totalsRowShown="0" headerRowDxfId="17" dataDxfId="16">
  <tableColumns count="14">
    <tableColumn id="1" xr3:uid="{00000000-0010-0000-0000-000001000000}" name="Period" dataDxfId="15"/>
    <tableColumn id="2" xr3:uid="{00000000-0010-0000-0000-000002000000}" name="Date of Period Start" dataDxfId="14">
      <calculatedColumnFormula>DATE(YEAR(B1),MONTH(B1)+$P$8,DAY(B1))</calculatedColumnFormula>
    </tableColumn>
    <tableColumn id="15" xr3:uid="{00000000-0010-0000-0000-00000F000000}" name=" Date of End Period " dataDxfId="13">
      <calculatedColumnFormula>DATE(YEAR(B2),MONTH(B2)+$P$8-1,DAY(B2))</calculatedColumnFormula>
    </tableColumn>
    <tableColumn id="3" xr3:uid="{00000000-0010-0000-0000-000003000000}" name="Bankroll required for Withdrawl" dataDxfId="12">
      <calculatedColumnFormula>+F1+G1</calculatedColumnFormula>
    </tableColumn>
    <tableColumn id="4" xr3:uid="{00000000-0010-0000-0000-000004000000}" name="Withdrawal" dataDxfId="11" dataCellStyle="Euro">
      <calculatedColumnFormula>+G1*$P$10</calculatedColumnFormula>
    </tableColumn>
    <tableColumn id="5" xr3:uid="{00000000-0010-0000-0000-000005000000}" name="Bankroll after Withdrawal" dataDxfId="10" dataCellStyle="Euro">
      <calculatedColumnFormula>+F1+G1-E2</calculatedColumnFormula>
    </tableColumn>
    <tableColumn id="6" xr3:uid="{00000000-0010-0000-0000-000006000000}" name="Profit required for withdawal" dataDxfId="9" dataCellStyle="Euro">
      <calculatedColumnFormula>+F2*$P$9</calculatedColumnFormula>
    </tableColumn>
    <tableColumn id="7" xr3:uid="{00000000-0010-0000-0000-000007000000}" name="Days on the Period" dataDxfId="8"/>
    <tableColumn id="8" xr3:uid="{00000000-0010-0000-0000-000008000000}" name="% Growth per day" dataDxfId="7" dataCellStyle="Percent 2"/>
    <tableColumn id="9" xr3:uid="{00000000-0010-0000-0000-000009000000}" name="$ Profit per day" dataDxfId="6"/>
    <tableColumn id="14" xr3:uid="{00000000-0010-0000-0000-00000E000000}" name="UNITS required per day to win" dataDxfId="5"/>
    <tableColumn id="11" xr3:uid="{00000000-0010-0000-0000-00000B000000}" name="Stake per pick (1 UNIT)" dataDxfId="4"/>
    <tableColumn id="12" xr3:uid="{00000000-0010-0000-0000-00000C000000}" name="Profit to look for per serie" dataDxfId="3"/>
    <tableColumn id="13" xr3:uid="{00000000-0010-0000-0000-00000D000000}" name="Max allowed lost PICK per serie" dataDxfId="2"/>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2CCB-DBC6-4244-9B77-F3C59CC7B318}">
  <sheetPr>
    <tabColor rgb="FF00B050"/>
  </sheetPr>
  <dimension ref="A1:P1095"/>
  <sheetViews>
    <sheetView tabSelected="1" topLeftCell="A1029" workbookViewId="0">
      <selection activeCell="C994" sqref="C994:G1035"/>
    </sheetView>
  </sheetViews>
  <sheetFormatPr defaultColWidth="9.140625" defaultRowHeight="15"/>
  <cols>
    <col min="1" max="1" width="4.140625" style="186" customWidth="1"/>
    <col min="2" max="2" width="32.5703125" customWidth="1"/>
    <col min="3" max="3" width="8.42578125" customWidth="1"/>
    <col min="4" max="4" width="9.140625" style="186" customWidth="1"/>
    <col min="5" max="5" width="13.7109375" style="186" customWidth="1"/>
    <col min="6" max="6" width="9" style="186" bestFit="1" customWidth="1"/>
    <col min="7" max="7" width="7.85546875" style="186" customWidth="1"/>
    <col min="8" max="8" width="46.28515625" customWidth="1"/>
    <col min="9" max="9" width="11.7109375" bestFit="1" customWidth="1"/>
    <col min="10" max="10" width="9.5703125" bestFit="1" customWidth="1"/>
    <col min="11" max="11" width="14.140625" bestFit="1" customWidth="1"/>
    <col min="13" max="13" width="14" bestFit="1" customWidth="1"/>
  </cols>
  <sheetData>
    <row r="1" spans="2:16">
      <c r="B1" s="210" t="s">
        <v>0</v>
      </c>
      <c r="C1" s="366" t="s">
        <v>1</v>
      </c>
      <c r="D1" s="497" t="s">
        <v>2</v>
      </c>
      <c r="E1" s="498" t="s">
        <v>3</v>
      </c>
      <c r="F1" s="499" t="s">
        <v>4</v>
      </c>
      <c r="G1" s="500" t="s">
        <v>5</v>
      </c>
      <c r="H1" s="367" t="s">
        <v>1</v>
      </c>
      <c r="I1" s="250" t="s">
        <v>6</v>
      </c>
      <c r="J1" s="250" t="s">
        <v>7</v>
      </c>
      <c r="K1" s="250" t="s">
        <v>8</v>
      </c>
      <c r="L1" t="s">
        <v>9</v>
      </c>
    </row>
    <row r="2" spans="2:16">
      <c r="B2" s="601">
        <v>45971</v>
      </c>
      <c r="C2" s="265"/>
      <c r="D2" s="262"/>
      <c r="E2" s="163"/>
      <c r="F2" s="193"/>
      <c r="G2" s="163"/>
      <c r="H2" s="304" t="s">
        <v>10</v>
      </c>
      <c r="I2" s="2"/>
      <c r="J2" s="2"/>
      <c r="K2" s="154"/>
      <c r="O2" s="58"/>
      <c r="P2" s="58"/>
    </row>
    <row r="3" spans="2:16">
      <c r="B3" s="601"/>
      <c r="C3" s="155"/>
      <c r="D3" s="152"/>
      <c r="E3" s="151"/>
      <c r="F3" s="156"/>
      <c r="G3" s="151"/>
      <c r="H3" s="147" t="s">
        <v>11</v>
      </c>
      <c r="I3" s="2"/>
      <c r="O3" s="58"/>
      <c r="P3" s="58"/>
    </row>
    <row r="4" spans="2:16">
      <c r="B4" s="601"/>
      <c r="C4" s="155"/>
      <c r="D4" s="152"/>
      <c r="E4" s="151"/>
      <c r="F4" s="156"/>
      <c r="G4" s="151"/>
      <c r="H4" s="147" t="s">
        <v>12</v>
      </c>
      <c r="I4" s="2"/>
      <c r="J4" s="2"/>
      <c r="O4" s="58"/>
      <c r="P4" s="58"/>
    </row>
    <row r="5" spans="2:16">
      <c r="B5" s="601"/>
      <c r="C5" s="155"/>
      <c r="D5" s="152"/>
      <c r="E5" s="151"/>
      <c r="F5" s="156"/>
      <c r="G5" s="151"/>
      <c r="H5" s="147" t="s">
        <v>13</v>
      </c>
      <c r="I5" s="2"/>
      <c r="J5" s="2"/>
      <c r="O5" s="58"/>
      <c r="P5" s="58"/>
    </row>
    <row r="6" spans="2:16">
      <c r="B6" s="601"/>
      <c r="C6" s="155"/>
      <c r="D6" s="152"/>
      <c r="E6" s="152"/>
      <c r="F6" s="192"/>
      <c r="G6" s="165"/>
      <c r="H6" s="147" t="s">
        <v>14</v>
      </c>
      <c r="I6" s="2"/>
      <c r="J6" s="2"/>
      <c r="O6" s="58"/>
      <c r="P6" s="58"/>
    </row>
    <row r="7" spans="2:16">
      <c r="B7" s="601"/>
      <c r="C7" s="265"/>
      <c r="D7" s="262"/>
      <c r="E7" s="163"/>
      <c r="F7" s="193"/>
      <c r="G7" s="164"/>
      <c r="H7" s="304" t="s">
        <v>15</v>
      </c>
      <c r="I7" s="2"/>
      <c r="J7" s="2"/>
      <c r="O7" s="58"/>
      <c r="P7" s="58"/>
    </row>
    <row r="8" spans="2:16">
      <c r="B8" s="601"/>
      <c r="C8" s="155"/>
      <c r="D8" s="152"/>
      <c r="E8" s="151"/>
      <c r="F8" s="156"/>
      <c r="G8" s="151"/>
      <c r="H8" s="147" t="s">
        <v>16</v>
      </c>
      <c r="I8" s="2"/>
      <c r="J8" s="2"/>
      <c r="O8" s="58"/>
      <c r="P8" s="58"/>
    </row>
    <row r="9" spans="2:16">
      <c r="B9" s="601"/>
      <c r="C9" s="155"/>
      <c r="D9" s="152"/>
      <c r="E9" s="151"/>
      <c r="F9" s="156"/>
      <c r="G9" s="151"/>
      <c r="H9" s="147" t="s">
        <v>17</v>
      </c>
      <c r="I9" s="2"/>
      <c r="J9" s="2"/>
      <c r="O9" s="58"/>
      <c r="P9" s="58"/>
    </row>
    <row r="10" spans="2:16">
      <c r="B10" s="601"/>
      <c r="C10" s="220"/>
      <c r="D10" s="165"/>
      <c r="E10" s="165"/>
      <c r="F10" s="195"/>
      <c r="G10" s="165"/>
      <c r="H10" s="141" t="s">
        <v>18</v>
      </c>
      <c r="I10" s="2"/>
      <c r="J10" s="2"/>
      <c r="O10" s="58"/>
      <c r="P10" s="58"/>
    </row>
    <row r="11" spans="2:16">
      <c r="B11" s="601"/>
      <c r="C11" s="235"/>
      <c r="D11" s="236"/>
      <c r="E11" s="164"/>
      <c r="F11" s="197"/>
      <c r="G11" s="164"/>
      <c r="H11" s="368" t="s">
        <v>19</v>
      </c>
      <c r="I11" s="2"/>
      <c r="J11" s="2"/>
      <c r="O11" s="58"/>
      <c r="P11" s="58"/>
    </row>
    <row r="12" spans="2:16">
      <c r="B12" s="601"/>
      <c r="C12" s="155"/>
      <c r="D12" s="152"/>
      <c r="E12" s="151"/>
      <c r="F12" s="156"/>
      <c r="G12" s="151"/>
      <c r="H12" s="147" t="s">
        <v>20</v>
      </c>
      <c r="I12" s="2"/>
      <c r="J12" s="2"/>
      <c r="O12" s="58"/>
      <c r="P12" s="58"/>
    </row>
    <row r="13" spans="2:16">
      <c r="B13" s="601"/>
      <c r="C13" s="155"/>
      <c r="D13" s="152"/>
      <c r="E13" s="151"/>
      <c r="F13" s="156"/>
      <c r="G13" s="151"/>
      <c r="H13" s="147" t="s">
        <v>21</v>
      </c>
      <c r="I13" s="2"/>
      <c r="J13" s="2"/>
      <c r="O13" s="58"/>
      <c r="P13" s="58"/>
    </row>
    <row r="14" spans="2:16">
      <c r="B14" s="601"/>
      <c r="C14" s="155"/>
      <c r="D14" s="152"/>
      <c r="E14" s="151"/>
      <c r="F14" s="156"/>
      <c r="G14" s="151"/>
      <c r="H14" s="147" t="s">
        <v>22</v>
      </c>
      <c r="I14" s="2"/>
      <c r="J14" s="2"/>
      <c r="O14" s="58"/>
      <c r="P14" s="58"/>
    </row>
    <row r="15" spans="2:16">
      <c r="B15" s="601"/>
      <c r="C15" s="155"/>
      <c r="D15" s="152"/>
      <c r="E15" s="151"/>
      <c r="F15" s="156"/>
      <c r="G15" s="151"/>
      <c r="H15" s="147" t="s">
        <v>23</v>
      </c>
      <c r="I15" s="2"/>
      <c r="J15" s="2"/>
      <c r="O15" s="58"/>
      <c r="P15" s="58"/>
    </row>
    <row r="16" spans="2:16">
      <c r="B16" s="601"/>
      <c r="C16" s="370"/>
      <c r="D16" s="152"/>
      <c r="E16" s="152"/>
      <c r="F16" s="192"/>
      <c r="G16" s="152"/>
      <c r="H16" s="147" t="s">
        <v>24</v>
      </c>
      <c r="I16" s="2">
        <f>SUM(E2:E16)</f>
        <v>0</v>
      </c>
      <c r="L16" s="2" t="e">
        <f>I16/C16</f>
        <v>#DIV/0!</v>
      </c>
      <c r="O16" s="58"/>
      <c r="P16" s="58"/>
    </row>
    <row r="17" spans="2:16">
      <c r="B17" s="601">
        <v>45972</v>
      </c>
      <c r="C17" s="372"/>
      <c r="D17" s="262"/>
      <c r="E17" s="163"/>
      <c r="F17" s="193"/>
      <c r="G17" s="163"/>
      <c r="H17" s="264" t="s">
        <v>25</v>
      </c>
      <c r="I17" s="2"/>
      <c r="J17" s="2"/>
      <c r="K17" s="2"/>
      <c r="O17" s="58"/>
      <c r="P17" s="58"/>
    </row>
    <row r="18" spans="2:16">
      <c r="B18" s="605"/>
      <c r="C18" s="370"/>
      <c r="D18" s="152"/>
      <c r="E18" s="151"/>
      <c r="F18" s="156"/>
      <c r="G18" s="151"/>
      <c r="H18" s="157" t="s">
        <v>26</v>
      </c>
      <c r="I18" s="2"/>
      <c r="J18" s="2"/>
      <c r="K18" s="2"/>
      <c r="O18" s="58"/>
      <c r="P18" s="58"/>
    </row>
    <row r="19" spans="2:16">
      <c r="B19" s="605"/>
      <c r="C19" s="370"/>
      <c r="D19" s="152"/>
      <c r="E19" s="152"/>
      <c r="F19" s="192"/>
      <c r="G19" s="152"/>
      <c r="H19" s="157" t="s">
        <v>27</v>
      </c>
      <c r="I19" s="2"/>
      <c r="J19" s="2"/>
      <c r="K19" s="2"/>
      <c r="O19" s="58"/>
      <c r="P19" s="58"/>
    </row>
    <row r="20" spans="2:16">
      <c r="B20" s="605"/>
      <c r="C20" s="372"/>
      <c r="D20" s="262"/>
      <c r="E20" s="163"/>
      <c r="F20" s="193"/>
      <c r="G20" s="163"/>
      <c r="H20" s="304" t="s">
        <v>28</v>
      </c>
      <c r="I20" s="2"/>
      <c r="J20" s="2"/>
      <c r="K20" s="2"/>
      <c r="O20" s="58"/>
      <c r="P20" s="58"/>
    </row>
    <row r="21" spans="2:16">
      <c r="B21" s="605"/>
      <c r="C21" s="370"/>
      <c r="D21" s="152"/>
      <c r="E21" s="151"/>
      <c r="F21" s="156"/>
      <c r="G21" s="151"/>
      <c r="H21" s="147" t="s">
        <v>29</v>
      </c>
      <c r="I21" s="2"/>
      <c r="J21" s="2"/>
      <c r="K21" s="2"/>
      <c r="O21" s="58"/>
      <c r="P21" s="58"/>
    </row>
    <row r="22" spans="2:16">
      <c r="B22" s="605"/>
      <c r="C22" s="370"/>
      <c r="D22" s="152"/>
      <c r="E22" s="152"/>
      <c r="F22" s="192"/>
      <c r="G22" s="152"/>
      <c r="H22" s="147" t="s">
        <v>30</v>
      </c>
      <c r="I22" s="2"/>
      <c r="O22" s="58"/>
      <c r="P22" s="58"/>
    </row>
    <row r="23" spans="2:16">
      <c r="B23" s="605"/>
      <c r="C23" s="372"/>
      <c r="D23" s="262"/>
      <c r="E23" s="163"/>
      <c r="F23" s="193"/>
      <c r="G23" s="163"/>
      <c r="H23" s="304" t="s">
        <v>31</v>
      </c>
      <c r="I23" s="2"/>
      <c r="J23" s="2"/>
      <c r="K23" s="2"/>
      <c r="O23" s="58"/>
      <c r="P23" s="58"/>
    </row>
    <row r="24" spans="2:16">
      <c r="B24" s="605"/>
      <c r="C24" s="370"/>
      <c r="D24" s="152"/>
      <c r="E24" s="151"/>
      <c r="F24" s="156"/>
      <c r="G24" s="151"/>
      <c r="H24" s="147" t="s">
        <v>32</v>
      </c>
      <c r="I24" s="2"/>
      <c r="J24" s="2"/>
      <c r="K24" s="2"/>
      <c r="O24" s="58"/>
      <c r="P24" s="58"/>
    </row>
    <row r="25" spans="2:16">
      <c r="B25" s="606"/>
      <c r="C25" s="370"/>
      <c r="D25" s="152"/>
      <c r="E25" s="152"/>
      <c r="F25" s="192"/>
      <c r="G25" s="152"/>
      <c r="H25" s="147" t="s">
        <v>33</v>
      </c>
      <c r="I25" s="2">
        <f>SUM(E17:E25)</f>
        <v>0</v>
      </c>
      <c r="L25" s="2" t="e">
        <f>I25/C25</f>
        <v>#DIV/0!</v>
      </c>
      <c r="O25" s="58"/>
      <c r="P25" s="58"/>
    </row>
    <row r="26" spans="2:16">
      <c r="B26" s="602">
        <v>45973</v>
      </c>
      <c r="C26" s="372"/>
      <c r="D26" s="262"/>
      <c r="E26" s="163"/>
      <c r="F26" s="193"/>
      <c r="G26" s="163"/>
      <c r="H26" s="304" t="s">
        <v>34</v>
      </c>
      <c r="I26" s="2"/>
      <c r="J26" s="2"/>
      <c r="K26" s="2"/>
      <c r="O26" s="58"/>
      <c r="P26" s="58"/>
    </row>
    <row r="27" spans="2:16">
      <c r="B27" s="605"/>
      <c r="C27" s="370"/>
      <c r="D27" s="152"/>
      <c r="E27" s="151"/>
      <c r="F27" s="156"/>
      <c r="G27" s="151"/>
      <c r="H27" s="147" t="s">
        <v>35</v>
      </c>
      <c r="I27" s="2"/>
      <c r="J27" s="2"/>
      <c r="K27" s="2"/>
      <c r="O27" s="58"/>
      <c r="P27" s="58"/>
    </row>
    <row r="28" spans="2:16">
      <c r="B28" s="605"/>
      <c r="C28" s="370"/>
      <c r="D28" s="152"/>
      <c r="E28" s="151"/>
      <c r="F28" s="156"/>
      <c r="G28" s="151"/>
      <c r="H28" s="147" t="s">
        <v>11</v>
      </c>
      <c r="I28" s="2"/>
      <c r="J28" s="2"/>
      <c r="K28" s="2"/>
      <c r="O28" s="58"/>
      <c r="P28" s="58"/>
    </row>
    <row r="29" spans="2:16">
      <c r="B29" s="605"/>
      <c r="C29" s="370"/>
      <c r="D29" s="152"/>
      <c r="E29" s="152"/>
      <c r="F29" s="192"/>
      <c r="G29" s="152"/>
      <c r="H29" s="147" t="s">
        <v>36</v>
      </c>
      <c r="I29" s="2"/>
      <c r="J29" s="2"/>
      <c r="K29" s="2"/>
      <c r="O29" s="58"/>
      <c r="P29" s="58"/>
    </row>
    <row r="30" spans="2:16">
      <c r="B30" s="605"/>
      <c r="C30" s="372"/>
      <c r="D30" s="262"/>
      <c r="E30" s="163"/>
      <c r="F30" s="193"/>
      <c r="G30" s="163"/>
      <c r="H30" s="304" t="s">
        <v>15</v>
      </c>
      <c r="I30" s="2"/>
      <c r="J30" s="2"/>
      <c r="K30" s="2"/>
      <c r="O30" s="58"/>
      <c r="P30" s="58"/>
    </row>
    <row r="31" spans="2:16">
      <c r="B31" s="605"/>
      <c r="C31" s="370"/>
      <c r="D31" s="152"/>
      <c r="E31" s="151"/>
      <c r="F31" s="156"/>
      <c r="G31" s="151"/>
      <c r="H31" s="147" t="s">
        <v>37</v>
      </c>
      <c r="I31" s="2"/>
      <c r="J31" s="2"/>
      <c r="K31" s="2"/>
      <c r="O31" s="58"/>
      <c r="P31" s="58"/>
    </row>
    <row r="32" spans="2:16">
      <c r="B32" s="605"/>
      <c r="C32" s="370"/>
      <c r="D32" s="152"/>
      <c r="E32" s="151"/>
      <c r="F32" s="156"/>
      <c r="G32" s="151"/>
      <c r="H32" s="147" t="s">
        <v>13</v>
      </c>
      <c r="I32" s="2"/>
      <c r="J32" s="2"/>
      <c r="K32" s="2"/>
      <c r="O32" s="58"/>
      <c r="P32" s="58"/>
    </row>
    <row r="33" spans="2:16">
      <c r="B33" s="605"/>
      <c r="C33" s="370"/>
      <c r="D33" s="152"/>
      <c r="E33" s="151"/>
      <c r="F33" s="156"/>
      <c r="G33" s="151"/>
      <c r="H33" s="147" t="s">
        <v>17</v>
      </c>
      <c r="I33" s="2"/>
      <c r="J33" s="2"/>
      <c r="K33" s="2"/>
      <c r="O33" s="58"/>
      <c r="P33" s="58"/>
    </row>
    <row r="34" spans="2:16">
      <c r="B34" s="605"/>
      <c r="C34" s="370"/>
      <c r="D34" s="152"/>
      <c r="E34" s="151"/>
      <c r="F34" s="156"/>
      <c r="G34" s="151"/>
      <c r="H34" s="147" t="s">
        <v>30</v>
      </c>
      <c r="I34" s="2"/>
      <c r="J34" s="2"/>
      <c r="K34" s="2"/>
      <c r="O34" s="58"/>
      <c r="P34" s="58"/>
    </row>
    <row r="35" spans="2:16">
      <c r="B35" s="605"/>
      <c r="C35" s="220"/>
      <c r="D35" s="165"/>
      <c r="E35" s="165"/>
      <c r="F35" s="195"/>
      <c r="G35" s="165"/>
      <c r="H35" s="141" t="s">
        <v>38</v>
      </c>
      <c r="I35" s="2"/>
      <c r="J35" s="2"/>
      <c r="K35" s="2"/>
      <c r="O35" s="58"/>
      <c r="P35" s="58"/>
    </row>
    <row r="36" spans="2:16">
      <c r="B36" s="605"/>
      <c r="C36" s="373"/>
      <c r="D36" s="164"/>
      <c r="E36" s="164"/>
      <c r="F36" s="197"/>
      <c r="G36" s="164"/>
      <c r="H36" s="354" t="s">
        <v>39</v>
      </c>
      <c r="I36" s="2"/>
      <c r="J36" s="2"/>
      <c r="K36" s="2"/>
      <c r="O36" s="58"/>
      <c r="P36" s="58"/>
    </row>
    <row r="37" spans="2:16">
      <c r="B37" s="605"/>
      <c r="C37" s="374"/>
      <c r="D37" s="236"/>
      <c r="E37" s="164"/>
      <c r="F37" s="197"/>
      <c r="G37" s="164"/>
      <c r="H37" s="368" t="s">
        <v>40</v>
      </c>
      <c r="I37" s="2"/>
      <c r="J37" s="2"/>
      <c r="K37" s="2"/>
      <c r="O37" s="58"/>
      <c r="P37" s="58"/>
    </row>
    <row r="38" spans="2:16">
      <c r="B38" s="605"/>
      <c r="C38" s="370"/>
      <c r="D38" s="152"/>
      <c r="E38" s="151"/>
      <c r="F38" s="156"/>
      <c r="G38" s="151"/>
      <c r="H38" s="147" t="s">
        <v>41</v>
      </c>
      <c r="I38" s="2"/>
      <c r="J38" s="2"/>
      <c r="K38" s="2"/>
      <c r="O38" s="58"/>
      <c r="P38" s="58"/>
    </row>
    <row r="39" spans="2:16">
      <c r="B39" s="605"/>
      <c r="C39" s="370"/>
      <c r="D39" s="152"/>
      <c r="E39" s="151"/>
      <c r="F39" s="156"/>
      <c r="G39" s="151"/>
      <c r="H39" s="147" t="s">
        <v>42</v>
      </c>
      <c r="I39" s="2"/>
      <c r="J39" s="2"/>
      <c r="K39" s="2"/>
      <c r="O39" s="58"/>
      <c r="P39" s="58"/>
    </row>
    <row r="40" spans="2:16">
      <c r="B40" s="605"/>
      <c r="C40" s="370"/>
      <c r="D40" s="152"/>
      <c r="E40" s="151"/>
      <c r="F40" s="156"/>
      <c r="G40" s="151"/>
      <c r="H40" s="147" t="s">
        <v>43</v>
      </c>
      <c r="I40" s="2"/>
      <c r="J40" s="2"/>
      <c r="K40" s="2"/>
      <c r="O40" s="58"/>
      <c r="P40" s="58"/>
    </row>
    <row r="41" spans="2:16">
      <c r="B41" s="605"/>
      <c r="C41" s="370"/>
      <c r="D41" s="152"/>
      <c r="E41" s="151"/>
      <c r="F41" s="156"/>
      <c r="G41" s="151"/>
      <c r="H41" s="147" t="s">
        <v>44</v>
      </c>
      <c r="I41" s="2"/>
      <c r="J41" s="2"/>
      <c r="K41" s="2"/>
      <c r="O41" s="58"/>
      <c r="P41" s="58"/>
    </row>
    <row r="42" spans="2:16">
      <c r="B42" s="605"/>
      <c r="C42" s="370"/>
      <c r="D42" s="152"/>
      <c r="E42" s="152"/>
      <c r="F42" s="192"/>
      <c r="G42" s="152"/>
      <c r="H42" s="147" t="s">
        <v>45</v>
      </c>
      <c r="I42" s="2">
        <f>SUM(E26:E42)</f>
        <v>0</v>
      </c>
      <c r="L42" s="2" t="e">
        <f>I42/C42</f>
        <v>#DIV/0!</v>
      </c>
      <c r="O42" s="58"/>
      <c r="P42" s="58"/>
    </row>
    <row r="43" spans="2:16">
      <c r="B43" s="601">
        <v>45974</v>
      </c>
      <c r="C43" s="218"/>
      <c r="D43" s="265"/>
      <c r="E43" s="262"/>
      <c r="F43" s="269"/>
      <c r="G43" s="262"/>
      <c r="H43" s="304" t="s">
        <v>25</v>
      </c>
      <c r="I43" s="2"/>
      <c r="J43" s="2"/>
      <c r="K43" s="2"/>
      <c r="O43" s="58"/>
      <c r="P43" s="58"/>
    </row>
    <row r="44" spans="2:16">
      <c r="B44" s="602"/>
      <c r="C44" s="218"/>
      <c r="D44" s="265"/>
      <c r="E44" s="262"/>
      <c r="F44" s="269"/>
      <c r="G44" s="262"/>
      <c r="H44" s="304" t="s">
        <v>46</v>
      </c>
      <c r="I44" s="2"/>
      <c r="J44" s="2"/>
      <c r="K44" s="2"/>
      <c r="O44" s="58"/>
      <c r="P44" s="58"/>
    </row>
    <row r="45" spans="2:16">
      <c r="B45" s="602"/>
      <c r="C45" s="41"/>
      <c r="D45" s="155"/>
      <c r="E45" s="152"/>
      <c r="F45" s="192"/>
      <c r="G45" s="152"/>
      <c r="H45" s="147" t="s">
        <v>36</v>
      </c>
      <c r="I45" s="2"/>
      <c r="J45" s="2"/>
      <c r="K45" s="2"/>
      <c r="O45" s="58"/>
      <c r="P45" s="58"/>
    </row>
    <row r="46" spans="2:16">
      <c r="B46" s="602"/>
      <c r="C46" s="370"/>
      <c r="D46" s="155"/>
      <c r="E46" s="152"/>
      <c r="F46" s="192"/>
      <c r="G46" s="152"/>
      <c r="H46" s="147" t="s">
        <v>47</v>
      </c>
      <c r="I46" s="2"/>
      <c r="J46" s="2"/>
      <c r="K46" s="2"/>
      <c r="O46" s="58"/>
      <c r="P46" s="58"/>
    </row>
    <row r="47" spans="2:16">
      <c r="B47" s="602"/>
      <c r="C47" s="218"/>
      <c r="D47" s="265"/>
      <c r="E47" s="262"/>
      <c r="F47" s="269"/>
      <c r="G47" s="262"/>
      <c r="H47" s="304" t="s">
        <v>48</v>
      </c>
      <c r="I47" s="2"/>
      <c r="J47" s="2"/>
      <c r="K47" s="2"/>
      <c r="O47" s="58"/>
      <c r="P47" s="58"/>
    </row>
    <row r="48" spans="2:16">
      <c r="B48" s="602"/>
      <c r="C48" s="41"/>
      <c r="D48" s="155"/>
      <c r="E48" s="152"/>
      <c r="F48" s="192"/>
      <c r="G48" s="152"/>
      <c r="H48" s="147" t="s">
        <v>49</v>
      </c>
      <c r="I48" s="2"/>
      <c r="J48" s="2"/>
      <c r="K48" s="2"/>
      <c r="O48" s="58"/>
      <c r="P48" s="58"/>
    </row>
    <row r="49" spans="2:16">
      <c r="B49" s="602"/>
      <c r="C49" s="370"/>
      <c r="D49" s="155"/>
      <c r="E49" s="152"/>
      <c r="F49" s="192"/>
      <c r="G49" s="152"/>
      <c r="H49" s="147" t="s">
        <v>50</v>
      </c>
      <c r="I49" s="2">
        <f>SUM(E43:E49)</f>
        <v>0</v>
      </c>
      <c r="L49" s="2" t="e">
        <f>I49/C49</f>
        <v>#DIV/0!</v>
      </c>
      <c r="O49" s="58"/>
      <c r="P49" s="58"/>
    </row>
    <row r="50" spans="2:16">
      <c r="B50" s="601">
        <v>45975</v>
      </c>
      <c r="C50" s="218"/>
      <c r="D50" s="265"/>
      <c r="E50" s="262"/>
      <c r="F50" s="269"/>
      <c r="G50" s="262"/>
      <c r="H50" s="304" t="s">
        <v>16</v>
      </c>
      <c r="I50" s="2"/>
      <c r="J50" s="2"/>
      <c r="K50" s="2"/>
      <c r="O50" s="58"/>
      <c r="P50" s="58"/>
    </row>
    <row r="51" spans="2:16">
      <c r="B51" s="602"/>
      <c r="C51" s="41"/>
      <c r="D51" s="155"/>
      <c r="E51" s="152"/>
      <c r="F51" s="192"/>
      <c r="G51" s="152"/>
      <c r="H51" s="147" t="s">
        <v>28</v>
      </c>
      <c r="I51" s="2"/>
      <c r="J51" s="2"/>
      <c r="K51" s="2"/>
      <c r="O51" s="58"/>
      <c r="P51" s="58"/>
    </row>
    <row r="52" spans="2:16">
      <c r="B52" s="602"/>
      <c r="C52" s="41"/>
      <c r="D52" s="155"/>
      <c r="E52" s="152"/>
      <c r="F52" s="192"/>
      <c r="G52" s="152"/>
      <c r="H52" s="147" t="s">
        <v>51</v>
      </c>
      <c r="I52" s="2"/>
      <c r="J52" s="2"/>
      <c r="K52" s="2"/>
      <c r="O52" s="58"/>
      <c r="P52" s="58"/>
    </row>
    <row r="53" spans="2:16">
      <c r="B53" s="602"/>
      <c r="C53" s="41"/>
      <c r="D53" s="155"/>
      <c r="E53" s="152"/>
      <c r="F53" s="192"/>
      <c r="G53" s="152"/>
      <c r="H53" s="147" t="s">
        <v>52</v>
      </c>
      <c r="I53" s="2"/>
      <c r="J53" s="2"/>
      <c r="K53" s="2"/>
      <c r="O53" s="58"/>
      <c r="P53" s="58"/>
    </row>
    <row r="54" spans="2:16">
      <c r="B54" s="602"/>
      <c r="C54" s="220"/>
      <c r="D54" s="208"/>
      <c r="E54" s="165"/>
      <c r="F54" s="195"/>
      <c r="G54" s="165"/>
      <c r="H54" s="141" t="s">
        <v>27</v>
      </c>
      <c r="I54" s="2"/>
      <c r="J54" s="2"/>
      <c r="K54" s="2"/>
      <c r="O54" s="58"/>
      <c r="P54" s="58"/>
    </row>
    <row r="55" spans="2:16">
      <c r="B55" s="602"/>
      <c r="C55" s="373"/>
      <c r="D55" s="235"/>
      <c r="E55" s="236"/>
      <c r="F55" s="496"/>
      <c r="G55" s="236"/>
      <c r="H55" s="368" t="s">
        <v>53</v>
      </c>
      <c r="I55" s="2"/>
      <c r="J55" s="2"/>
      <c r="K55" s="2"/>
      <c r="O55" s="58"/>
      <c r="P55" s="58"/>
    </row>
    <row r="56" spans="2:16">
      <c r="B56" s="602"/>
      <c r="C56" s="41"/>
      <c r="D56" s="155"/>
      <c r="E56" s="152"/>
      <c r="F56" s="192"/>
      <c r="G56" s="152"/>
      <c r="H56" s="147" t="s">
        <v>13</v>
      </c>
      <c r="I56" s="2"/>
      <c r="J56" s="2"/>
      <c r="K56" s="2"/>
      <c r="O56" s="58"/>
      <c r="P56" s="58"/>
    </row>
    <row r="57" spans="2:16">
      <c r="B57" s="602"/>
      <c r="C57" s="41"/>
      <c r="D57" s="155"/>
      <c r="E57" s="152"/>
      <c r="F57" s="192"/>
      <c r="G57" s="152"/>
      <c r="H57" s="147" t="s">
        <v>17</v>
      </c>
      <c r="I57" s="2"/>
      <c r="O57" s="58"/>
      <c r="P57" s="58"/>
    </row>
    <row r="58" spans="2:16">
      <c r="B58" s="602"/>
      <c r="C58" s="370"/>
      <c r="D58" s="155"/>
      <c r="E58" s="152"/>
      <c r="F58" s="192"/>
      <c r="G58" s="152"/>
      <c r="H58" s="147" t="s">
        <v>12</v>
      </c>
      <c r="I58" s="2"/>
      <c r="J58" s="2"/>
      <c r="K58" s="2"/>
      <c r="O58" s="58"/>
      <c r="P58" s="58"/>
    </row>
    <row r="59" spans="2:16">
      <c r="B59" s="602"/>
      <c r="C59" s="218"/>
      <c r="D59" s="265"/>
      <c r="E59" s="262"/>
      <c r="F59" s="269"/>
      <c r="G59" s="262"/>
      <c r="H59" s="304" t="s">
        <v>54</v>
      </c>
      <c r="I59" s="2"/>
      <c r="J59" s="2"/>
      <c r="K59" s="2"/>
      <c r="O59" s="58"/>
      <c r="P59" s="58"/>
    </row>
    <row r="60" spans="2:16">
      <c r="B60" s="602"/>
      <c r="C60" s="41"/>
      <c r="D60" s="155"/>
      <c r="E60" s="152"/>
      <c r="F60" s="192"/>
      <c r="G60" s="152"/>
      <c r="H60" s="147" t="s">
        <v>55</v>
      </c>
      <c r="I60" s="2"/>
      <c r="J60" s="2"/>
      <c r="K60" s="2"/>
      <c r="O60" s="58"/>
      <c r="P60" s="58"/>
    </row>
    <row r="61" spans="2:16">
      <c r="B61" s="602"/>
      <c r="C61" s="41"/>
      <c r="D61" s="155"/>
      <c r="E61" s="152"/>
      <c r="F61" s="192"/>
      <c r="G61" s="152"/>
      <c r="H61" s="147" t="s">
        <v>56</v>
      </c>
      <c r="I61" s="2"/>
      <c r="J61" s="2"/>
      <c r="K61" s="2"/>
      <c r="O61" s="58"/>
      <c r="P61" s="58"/>
    </row>
    <row r="62" spans="2:16">
      <c r="B62" s="602"/>
      <c r="C62" s="41"/>
      <c r="D62" s="155"/>
      <c r="E62" s="152"/>
      <c r="F62" s="192"/>
      <c r="G62" s="152"/>
      <c r="H62" s="147" t="s">
        <v>57</v>
      </c>
      <c r="I62" s="2"/>
      <c r="J62" s="2"/>
      <c r="K62" s="2"/>
      <c r="O62" s="58"/>
      <c r="P62" s="58"/>
    </row>
    <row r="63" spans="2:16">
      <c r="B63" s="602"/>
      <c r="C63" s="370"/>
      <c r="D63" s="155"/>
      <c r="E63" s="152"/>
      <c r="F63" s="192"/>
      <c r="G63" s="152"/>
      <c r="H63" s="147" t="s">
        <v>58</v>
      </c>
      <c r="I63" s="2">
        <f>SUM(E50:E63)</f>
        <v>0</v>
      </c>
      <c r="L63" s="2" t="e">
        <f>I63/C63</f>
        <v>#DIV/0!</v>
      </c>
      <c r="O63" s="58"/>
      <c r="P63" s="58"/>
    </row>
    <row r="64" spans="2:16">
      <c r="B64" s="601">
        <v>45976</v>
      </c>
      <c r="C64" s="218"/>
      <c r="D64" s="206"/>
      <c r="E64" s="163"/>
      <c r="F64" s="193"/>
      <c r="G64" s="163"/>
      <c r="H64" s="219" t="s">
        <v>26</v>
      </c>
      <c r="I64" s="2"/>
      <c r="J64" s="2"/>
      <c r="K64" s="2"/>
      <c r="O64" s="58"/>
      <c r="P64" s="58"/>
    </row>
    <row r="65" spans="2:16">
      <c r="B65" s="602"/>
      <c r="C65" s="41"/>
      <c r="D65" s="155"/>
      <c r="E65" s="152"/>
      <c r="F65" s="192"/>
      <c r="G65" s="152"/>
      <c r="H65" s="147" t="s">
        <v>10</v>
      </c>
      <c r="I65" s="2"/>
      <c r="J65" s="2"/>
      <c r="K65" s="2"/>
      <c r="O65" s="58"/>
      <c r="P65" s="58"/>
    </row>
    <row r="66" spans="2:16">
      <c r="B66" s="602"/>
      <c r="C66" s="370"/>
      <c r="D66" s="155"/>
      <c r="E66" s="152"/>
      <c r="F66" s="192"/>
      <c r="G66" s="152"/>
      <c r="H66" s="147" t="s">
        <v>59</v>
      </c>
      <c r="I66" s="2"/>
      <c r="J66" s="2"/>
      <c r="K66" s="2"/>
      <c r="O66" s="58"/>
      <c r="P66" s="58"/>
    </row>
    <row r="67" spans="2:16">
      <c r="B67" s="602"/>
      <c r="C67" s="218"/>
      <c r="D67" s="265"/>
      <c r="E67" s="262"/>
      <c r="F67" s="269"/>
      <c r="G67" s="262"/>
      <c r="H67" s="304" t="s">
        <v>15</v>
      </c>
      <c r="I67" s="2"/>
      <c r="J67" s="2"/>
      <c r="K67" s="2"/>
      <c r="O67" s="58"/>
      <c r="P67" s="58"/>
    </row>
    <row r="68" spans="2:16">
      <c r="B68" s="602"/>
      <c r="C68" s="41"/>
      <c r="D68" s="155"/>
      <c r="E68" s="152"/>
      <c r="F68" s="192"/>
      <c r="G68" s="152"/>
      <c r="H68" s="147" t="s">
        <v>60</v>
      </c>
      <c r="I68" s="2"/>
      <c r="J68" s="2"/>
      <c r="K68" s="2"/>
      <c r="O68" s="58"/>
      <c r="P68" s="58"/>
    </row>
    <row r="69" spans="2:16">
      <c r="B69" s="602"/>
      <c r="C69" s="383"/>
      <c r="D69" s="152"/>
      <c r="E69" s="152"/>
      <c r="F69" s="192"/>
      <c r="G69" s="152"/>
      <c r="H69" s="376" t="s">
        <v>34</v>
      </c>
      <c r="I69" s="2"/>
      <c r="J69" s="2"/>
      <c r="K69" s="2"/>
      <c r="O69" s="58"/>
      <c r="P69" s="58"/>
    </row>
    <row r="70" spans="2:16">
      <c r="B70" s="602"/>
      <c r="C70" s="384"/>
      <c r="D70" s="262"/>
      <c r="E70" s="262"/>
      <c r="F70" s="269"/>
      <c r="G70" s="262"/>
      <c r="H70" s="378" t="s">
        <v>61</v>
      </c>
      <c r="I70" s="2"/>
      <c r="J70" s="2"/>
      <c r="K70" s="2"/>
      <c r="O70" s="58"/>
      <c r="P70" s="58"/>
    </row>
    <row r="71" spans="2:16">
      <c r="B71" s="602"/>
      <c r="C71" s="385"/>
      <c r="D71" s="151"/>
      <c r="E71" s="151"/>
      <c r="F71" s="156"/>
      <c r="G71" s="151"/>
      <c r="H71" s="376" t="s">
        <v>62</v>
      </c>
      <c r="I71" s="2"/>
      <c r="J71" s="2"/>
      <c r="K71" s="2"/>
      <c r="O71" s="58"/>
      <c r="P71" s="58"/>
    </row>
    <row r="72" spans="2:16">
      <c r="B72" s="602"/>
      <c r="C72" s="383"/>
      <c r="D72" s="152"/>
      <c r="E72" s="152"/>
      <c r="F72" s="192"/>
      <c r="G72" s="152"/>
      <c r="H72" s="376" t="s">
        <v>63</v>
      </c>
      <c r="I72" s="2">
        <f>SUM(E64:E72)</f>
        <v>0</v>
      </c>
      <c r="L72" s="2" t="e">
        <f>I72/C72</f>
        <v>#DIV/0!</v>
      </c>
      <c r="O72" s="58"/>
      <c r="P72" s="58"/>
    </row>
    <row r="73" spans="2:16">
      <c r="B73" s="601">
        <v>45977</v>
      </c>
      <c r="C73" s="384"/>
      <c r="D73" s="163"/>
      <c r="E73" s="163"/>
      <c r="F73" s="193"/>
      <c r="G73" s="163"/>
      <c r="H73" s="378" t="s">
        <v>18</v>
      </c>
      <c r="I73" s="2"/>
      <c r="J73" s="2"/>
      <c r="K73" s="2"/>
      <c r="O73" s="58"/>
      <c r="P73" s="58"/>
    </row>
    <row r="74" spans="2:16">
      <c r="B74" s="602"/>
      <c r="C74" s="385"/>
      <c r="D74" s="151"/>
      <c r="E74" s="151"/>
      <c r="F74" s="156"/>
      <c r="G74" s="151"/>
      <c r="H74" s="376" t="s">
        <v>64</v>
      </c>
      <c r="I74" s="2"/>
      <c r="J74" s="2"/>
      <c r="K74" s="2"/>
      <c r="O74" s="58"/>
      <c r="P74" s="58"/>
    </row>
    <row r="75" spans="2:16">
      <c r="B75" s="602"/>
      <c r="C75" s="385"/>
      <c r="D75" s="151"/>
      <c r="E75" s="151"/>
      <c r="F75" s="156"/>
      <c r="G75" s="151"/>
      <c r="H75" s="376" t="s">
        <v>52</v>
      </c>
      <c r="I75" s="2"/>
      <c r="J75" s="2"/>
      <c r="K75" s="2"/>
      <c r="O75" s="58"/>
      <c r="P75" s="58"/>
    </row>
    <row r="76" spans="2:16">
      <c r="B76" s="602"/>
      <c r="C76" s="386"/>
      <c r="D76" s="165"/>
      <c r="E76" s="165"/>
      <c r="F76" s="195"/>
      <c r="G76" s="165"/>
      <c r="H76" s="377" t="s">
        <v>14</v>
      </c>
      <c r="I76" s="2"/>
      <c r="J76" s="2"/>
      <c r="K76" s="2"/>
      <c r="O76" s="58"/>
      <c r="P76" s="58"/>
    </row>
    <row r="77" spans="2:16">
      <c r="B77" s="602"/>
      <c r="C77" s="384"/>
      <c r="D77" s="163"/>
      <c r="E77" s="163"/>
      <c r="F77" s="193"/>
      <c r="G77" s="163"/>
      <c r="H77" s="378" t="s">
        <v>37</v>
      </c>
      <c r="I77" s="2"/>
      <c r="J77" s="2"/>
      <c r="K77" s="2"/>
      <c r="O77" s="58"/>
      <c r="P77" s="58"/>
    </row>
    <row r="78" spans="2:16">
      <c r="B78" s="602"/>
      <c r="C78" s="385"/>
      <c r="D78" s="151"/>
      <c r="E78" s="151"/>
      <c r="F78" s="156"/>
      <c r="G78" s="151"/>
      <c r="H78" s="376" t="s">
        <v>11</v>
      </c>
      <c r="I78" s="2"/>
      <c r="J78" s="2"/>
      <c r="K78" s="2"/>
      <c r="O78" s="58"/>
      <c r="P78" s="58"/>
    </row>
    <row r="79" spans="2:16">
      <c r="B79" s="602"/>
      <c r="C79" s="385"/>
      <c r="D79" s="151"/>
      <c r="E79" s="151"/>
      <c r="F79" s="156"/>
      <c r="G79" s="151"/>
      <c r="H79" s="376" t="s">
        <v>53</v>
      </c>
      <c r="I79" s="2"/>
      <c r="J79" s="2"/>
      <c r="K79" s="2"/>
      <c r="O79" s="58"/>
      <c r="P79" s="58"/>
    </row>
    <row r="80" spans="2:16">
      <c r="B80" s="602"/>
      <c r="C80" s="385"/>
      <c r="D80" s="151"/>
      <c r="E80" s="151"/>
      <c r="F80" s="156"/>
      <c r="G80" s="151"/>
      <c r="H80" s="376" t="s">
        <v>13</v>
      </c>
      <c r="I80" s="2"/>
      <c r="J80" s="2"/>
      <c r="K80" s="2"/>
      <c r="O80" s="58"/>
      <c r="P80" s="58"/>
    </row>
    <row r="81" spans="2:16">
      <c r="B81" s="602"/>
      <c r="C81" s="385"/>
      <c r="D81" s="151"/>
      <c r="E81" s="151"/>
      <c r="F81" s="156"/>
      <c r="G81" s="151"/>
      <c r="H81" s="376" t="s">
        <v>17</v>
      </c>
      <c r="I81" s="2"/>
      <c r="J81" s="2"/>
      <c r="K81" s="2"/>
      <c r="O81" s="58"/>
      <c r="P81" s="58"/>
    </row>
    <row r="82" spans="2:16">
      <c r="B82" s="602"/>
      <c r="C82" s="386"/>
      <c r="D82" s="165"/>
      <c r="E82" s="165"/>
      <c r="F82" s="195"/>
      <c r="G82" s="165"/>
      <c r="H82" s="377" t="s">
        <v>36</v>
      </c>
      <c r="I82" s="2"/>
      <c r="J82" s="2"/>
      <c r="K82" s="2"/>
      <c r="O82" s="58"/>
      <c r="P82" s="58"/>
    </row>
    <row r="83" spans="2:16">
      <c r="B83" s="602"/>
      <c r="C83" s="384"/>
      <c r="D83" s="163"/>
      <c r="E83" s="163"/>
      <c r="F83" s="193"/>
      <c r="G83" s="163"/>
      <c r="H83" s="378" t="s">
        <v>65</v>
      </c>
      <c r="I83" s="2"/>
      <c r="J83" s="2"/>
      <c r="K83" s="2"/>
      <c r="O83" s="58"/>
      <c r="P83" s="58"/>
    </row>
    <row r="84" spans="2:16">
      <c r="B84" s="602"/>
      <c r="C84" s="385"/>
      <c r="D84" s="151"/>
      <c r="E84" s="151"/>
      <c r="F84" s="156"/>
      <c r="G84" s="151"/>
      <c r="H84" s="376" t="s">
        <v>66</v>
      </c>
      <c r="I84" s="2"/>
      <c r="J84" s="2"/>
      <c r="K84" s="2"/>
      <c r="O84" s="58"/>
      <c r="P84" s="58"/>
    </row>
    <row r="85" spans="2:16">
      <c r="B85" s="602"/>
      <c r="C85" s="385"/>
      <c r="D85" s="151"/>
      <c r="E85" s="151"/>
      <c r="F85" s="156"/>
      <c r="G85" s="151"/>
      <c r="H85" s="376" t="s">
        <v>67</v>
      </c>
      <c r="I85" s="2"/>
      <c r="J85" s="2"/>
      <c r="K85" s="2"/>
      <c r="O85" s="58"/>
      <c r="P85" s="58"/>
    </row>
    <row r="86" spans="2:16">
      <c r="B86" s="602"/>
      <c r="C86" s="385"/>
      <c r="D86" s="151"/>
      <c r="E86" s="151"/>
      <c r="F86" s="156"/>
      <c r="G86" s="151"/>
      <c r="H86" s="376" t="s">
        <v>68</v>
      </c>
      <c r="I86" s="2"/>
      <c r="J86" s="2"/>
      <c r="K86" s="2"/>
      <c r="O86" s="58"/>
      <c r="P86" s="58"/>
    </row>
    <row r="87" spans="2:16">
      <c r="B87" s="602"/>
      <c r="C87" s="383"/>
      <c r="D87" s="152"/>
      <c r="E87" s="152"/>
      <c r="F87" s="192"/>
      <c r="G87" s="152"/>
      <c r="H87" s="376" t="s">
        <v>69</v>
      </c>
      <c r="I87" s="380">
        <f>SUM(E73:E87)</f>
        <v>0</v>
      </c>
      <c r="J87" s="380">
        <f>SUM(E2:E87)</f>
        <v>0</v>
      </c>
      <c r="L87" s="2" t="e">
        <f>I87/C87</f>
        <v>#DIV/0!</v>
      </c>
      <c r="O87" s="58"/>
      <c r="P87" s="58"/>
    </row>
    <row r="88" spans="2:16">
      <c r="B88" s="601">
        <v>45978</v>
      </c>
      <c r="C88" s="384"/>
      <c r="D88" s="163"/>
      <c r="E88" s="163"/>
      <c r="F88" s="193"/>
      <c r="G88" s="163"/>
      <c r="H88" s="381" t="s">
        <v>34</v>
      </c>
      <c r="I88" s="2"/>
      <c r="J88" s="2"/>
      <c r="K88" s="2"/>
      <c r="O88" s="58"/>
      <c r="P88" s="58"/>
    </row>
    <row r="89" spans="2:16">
      <c r="B89" s="602"/>
      <c r="C89" s="387"/>
      <c r="D89" s="164"/>
      <c r="E89" s="164"/>
      <c r="F89" s="197"/>
      <c r="G89" s="164"/>
      <c r="H89" s="379" t="s">
        <v>60</v>
      </c>
      <c r="I89" s="2"/>
      <c r="J89" s="2"/>
      <c r="K89" s="2"/>
      <c r="O89" s="58"/>
      <c r="P89" s="58"/>
    </row>
    <row r="90" spans="2:16">
      <c r="B90" s="602"/>
      <c r="C90" s="385"/>
      <c r="D90" s="151"/>
      <c r="E90" s="151"/>
      <c r="F90" s="156"/>
      <c r="G90" s="151"/>
      <c r="H90" s="376" t="s">
        <v>18</v>
      </c>
      <c r="I90" s="2"/>
      <c r="J90" s="2"/>
      <c r="K90" s="2"/>
      <c r="O90" s="58"/>
      <c r="P90" s="58"/>
    </row>
    <row r="91" spans="2:16">
      <c r="B91" s="602"/>
      <c r="C91" s="386"/>
      <c r="D91" s="165"/>
      <c r="E91" s="165"/>
      <c r="F91" s="195"/>
      <c r="G91" s="165"/>
      <c r="H91" s="377" t="s">
        <v>17</v>
      </c>
      <c r="I91" s="2"/>
      <c r="J91" s="2"/>
      <c r="K91" s="2"/>
      <c r="O91" s="58"/>
      <c r="P91" s="58"/>
    </row>
    <row r="92" spans="2:16">
      <c r="B92" s="602"/>
      <c r="C92" s="384"/>
      <c r="D92" s="163"/>
      <c r="E92" s="163"/>
      <c r="F92" s="193"/>
      <c r="G92" s="163"/>
      <c r="H92" s="378" t="s">
        <v>46</v>
      </c>
      <c r="I92" s="2"/>
      <c r="J92" s="2"/>
      <c r="K92" s="2"/>
      <c r="O92" s="58"/>
      <c r="P92" s="58"/>
    </row>
    <row r="93" spans="2:16">
      <c r="B93" s="602"/>
      <c r="C93" s="385"/>
      <c r="D93" s="151"/>
      <c r="E93" s="151"/>
      <c r="F93" s="156"/>
      <c r="G93" s="151"/>
      <c r="H93" s="376" t="s">
        <v>16</v>
      </c>
      <c r="I93" s="2"/>
      <c r="J93" s="2"/>
      <c r="K93" s="2"/>
      <c r="O93" s="58"/>
      <c r="P93" s="58"/>
    </row>
    <row r="94" spans="2:16">
      <c r="B94" s="602"/>
      <c r="C94" s="386"/>
      <c r="D94" s="165"/>
      <c r="E94" s="165"/>
      <c r="F94" s="195"/>
      <c r="G94" s="165"/>
      <c r="H94" s="377" t="s">
        <v>13</v>
      </c>
      <c r="I94" s="2"/>
      <c r="J94" s="2"/>
      <c r="K94" s="2"/>
      <c r="O94" s="58"/>
      <c r="P94" s="58"/>
    </row>
    <row r="95" spans="2:16">
      <c r="B95" s="602"/>
      <c r="C95" s="387"/>
      <c r="D95" s="164"/>
      <c r="E95" s="164"/>
      <c r="F95" s="197"/>
      <c r="G95" s="164"/>
      <c r="H95" s="379" t="s">
        <v>70</v>
      </c>
      <c r="I95" s="2"/>
      <c r="J95" s="2"/>
      <c r="K95" s="2"/>
      <c r="O95" s="58"/>
      <c r="P95" s="58"/>
    </row>
    <row r="96" spans="2:16">
      <c r="B96" s="602"/>
      <c r="C96" s="385"/>
      <c r="D96" s="151"/>
      <c r="E96" s="151"/>
      <c r="F96" s="156"/>
      <c r="G96" s="151"/>
      <c r="H96" s="376" t="s">
        <v>71</v>
      </c>
      <c r="I96" s="2"/>
      <c r="J96" s="2"/>
      <c r="K96" s="2"/>
      <c r="O96" s="58"/>
      <c r="P96" s="58"/>
    </row>
    <row r="97" spans="2:16">
      <c r="B97" s="602"/>
      <c r="C97" s="385"/>
      <c r="D97" s="151"/>
      <c r="E97" s="151"/>
      <c r="F97" s="156"/>
      <c r="G97" s="151"/>
      <c r="H97" s="376" t="s">
        <v>72</v>
      </c>
      <c r="I97" s="2"/>
      <c r="J97" s="2"/>
      <c r="K97" s="2"/>
      <c r="O97" s="58"/>
      <c r="P97" s="58"/>
    </row>
    <row r="98" spans="2:16">
      <c r="B98" s="602"/>
      <c r="C98" s="385"/>
      <c r="D98" s="151"/>
      <c r="E98" s="151"/>
      <c r="F98" s="156"/>
      <c r="G98" s="151"/>
      <c r="H98" s="376" t="s">
        <v>73</v>
      </c>
      <c r="I98" s="2"/>
      <c r="J98" s="2"/>
      <c r="K98" s="2"/>
      <c r="O98" s="58"/>
      <c r="P98" s="58"/>
    </row>
    <row r="99" spans="2:16">
      <c r="B99" s="602"/>
      <c r="C99" s="383"/>
      <c r="D99" s="152"/>
      <c r="E99" s="152"/>
      <c r="F99" s="192"/>
      <c r="G99" s="152"/>
      <c r="H99" s="376" t="s">
        <v>74</v>
      </c>
      <c r="I99" s="2">
        <f>SUM(E88:E99)</f>
        <v>0</v>
      </c>
      <c r="L99" s="2" t="e">
        <f>I99/C99</f>
        <v>#DIV/0!</v>
      </c>
      <c r="O99" s="58"/>
      <c r="P99" s="58"/>
    </row>
    <row r="100" spans="2:16">
      <c r="B100" s="601">
        <v>45979</v>
      </c>
      <c r="C100" s="384"/>
      <c r="D100" s="163"/>
      <c r="E100" s="163"/>
      <c r="F100" s="193"/>
      <c r="G100" s="163"/>
      <c r="H100" s="392" t="s">
        <v>27</v>
      </c>
      <c r="I100" s="2"/>
      <c r="J100" s="2"/>
      <c r="K100" s="2"/>
      <c r="O100" s="58"/>
      <c r="P100" s="58"/>
    </row>
    <row r="101" spans="2:16">
      <c r="B101" s="602"/>
      <c r="C101" s="386"/>
      <c r="D101" s="165"/>
      <c r="E101" s="165"/>
      <c r="F101" s="195"/>
      <c r="G101" s="165"/>
      <c r="H101" s="393" t="s">
        <v>26</v>
      </c>
      <c r="I101" s="2"/>
      <c r="J101" s="2"/>
      <c r="K101" s="2"/>
      <c r="O101" s="58"/>
      <c r="P101" s="58"/>
    </row>
    <row r="102" spans="2:16">
      <c r="B102" s="602"/>
      <c r="C102" s="384"/>
      <c r="D102" s="163"/>
      <c r="E102" s="163"/>
      <c r="F102" s="193"/>
      <c r="G102" s="163"/>
      <c r="H102" s="392" t="s">
        <v>64</v>
      </c>
      <c r="I102" s="2"/>
      <c r="J102" s="2"/>
      <c r="K102" s="2"/>
      <c r="O102" s="58"/>
      <c r="P102" s="58"/>
    </row>
    <row r="103" spans="2:16">
      <c r="B103" s="602"/>
      <c r="C103" s="385"/>
      <c r="D103" s="151"/>
      <c r="E103" s="151"/>
      <c r="F103" s="156"/>
      <c r="G103" s="151"/>
      <c r="H103" s="394" t="s">
        <v>28</v>
      </c>
      <c r="I103" s="2"/>
      <c r="J103" s="2"/>
      <c r="K103" s="2"/>
      <c r="O103" s="58"/>
      <c r="P103" s="58"/>
    </row>
    <row r="104" spans="2:16">
      <c r="B104" s="602"/>
      <c r="C104" s="385"/>
      <c r="D104" s="151"/>
      <c r="E104" s="151"/>
      <c r="F104" s="156"/>
      <c r="G104" s="151"/>
      <c r="H104" s="394" t="s">
        <v>14</v>
      </c>
      <c r="I104" s="2"/>
      <c r="J104" s="2"/>
      <c r="K104" s="2"/>
      <c r="O104" s="58"/>
      <c r="P104" s="58"/>
    </row>
    <row r="105" spans="2:16">
      <c r="B105" s="602"/>
      <c r="C105" s="386"/>
      <c r="D105" s="165"/>
      <c r="E105" s="165"/>
      <c r="F105" s="195"/>
      <c r="G105" s="165"/>
      <c r="H105" s="393" t="s">
        <v>12</v>
      </c>
      <c r="I105" s="2"/>
      <c r="J105" s="2"/>
      <c r="K105" s="2"/>
      <c r="O105" s="58"/>
      <c r="P105" s="58"/>
    </row>
    <row r="106" spans="2:16">
      <c r="B106" s="602"/>
      <c r="C106" s="384"/>
      <c r="D106" s="163"/>
      <c r="E106" s="163"/>
      <c r="F106" s="193"/>
      <c r="G106" s="163"/>
      <c r="H106" s="392" t="s">
        <v>75</v>
      </c>
      <c r="I106" s="2"/>
      <c r="J106" s="2"/>
      <c r="K106" s="2"/>
      <c r="O106" s="58"/>
      <c r="P106" s="58"/>
    </row>
    <row r="107" spans="2:16">
      <c r="B107" s="602"/>
      <c r="C107" s="385"/>
      <c r="D107" s="151"/>
      <c r="E107" s="151"/>
      <c r="F107" s="156"/>
      <c r="G107" s="151"/>
      <c r="H107" s="394" t="s">
        <v>76</v>
      </c>
      <c r="I107" s="2"/>
      <c r="J107" s="2"/>
      <c r="K107" s="2"/>
      <c r="O107" s="58"/>
      <c r="P107" s="58"/>
    </row>
    <row r="108" spans="2:16">
      <c r="B108" s="602"/>
      <c r="C108" s="385"/>
      <c r="D108" s="151"/>
      <c r="E108" s="151"/>
      <c r="F108" s="156"/>
      <c r="G108" s="151"/>
      <c r="H108" s="394" t="s">
        <v>77</v>
      </c>
      <c r="I108" s="2"/>
      <c r="J108" s="2"/>
      <c r="K108" s="2"/>
      <c r="O108" s="58"/>
      <c r="P108" s="58"/>
    </row>
    <row r="109" spans="2:16">
      <c r="B109" s="602"/>
      <c r="C109" s="383"/>
      <c r="D109" s="152"/>
      <c r="E109" s="152"/>
      <c r="F109" s="192"/>
      <c r="G109" s="152"/>
      <c r="H109" s="394" t="s">
        <v>78</v>
      </c>
      <c r="I109" s="2">
        <f>SUM(E100:E109)</f>
        <v>0</v>
      </c>
      <c r="L109" s="2" t="e">
        <f>I109/C109</f>
        <v>#DIV/0!</v>
      </c>
      <c r="O109" s="58"/>
      <c r="P109" s="58"/>
    </row>
    <row r="110" spans="2:16">
      <c r="B110" s="601">
        <v>45980</v>
      </c>
      <c r="C110" s="384"/>
      <c r="D110" s="163"/>
      <c r="E110" s="163"/>
      <c r="F110" s="193"/>
      <c r="G110" s="163"/>
      <c r="H110" s="378" t="s">
        <v>53</v>
      </c>
      <c r="I110" s="2"/>
      <c r="J110" s="2"/>
      <c r="K110" s="2"/>
      <c r="O110" s="58"/>
      <c r="P110" s="58"/>
    </row>
    <row r="111" spans="2:16">
      <c r="B111" s="602"/>
      <c r="C111" s="383"/>
      <c r="D111" s="152"/>
      <c r="E111" s="152"/>
      <c r="F111" s="192"/>
      <c r="G111" s="152"/>
      <c r="H111" s="376" t="s">
        <v>38</v>
      </c>
      <c r="I111" s="2"/>
      <c r="J111" s="2"/>
      <c r="K111" s="2"/>
      <c r="O111" s="58"/>
      <c r="P111" s="58"/>
    </row>
    <row r="112" spans="2:16">
      <c r="B112" s="602"/>
      <c r="C112" s="384"/>
      <c r="D112" s="163"/>
      <c r="E112" s="163"/>
      <c r="F112" s="193"/>
      <c r="G112" s="163"/>
      <c r="H112" s="378" t="s">
        <v>46</v>
      </c>
      <c r="I112" s="2"/>
      <c r="J112" s="2"/>
      <c r="K112" s="2"/>
      <c r="O112" s="58"/>
      <c r="P112" s="58"/>
    </row>
    <row r="113" spans="2:16">
      <c r="B113" s="602"/>
      <c r="C113" s="402"/>
      <c r="D113" s="151"/>
      <c r="E113" s="151"/>
      <c r="F113" s="156"/>
      <c r="G113" s="151"/>
      <c r="H113" s="394" t="s">
        <v>60</v>
      </c>
      <c r="I113" s="2"/>
      <c r="J113" s="2"/>
      <c r="K113" s="2"/>
      <c r="O113" s="58"/>
      <c r="P113" s="58"/>
    </row>
    <row r="114" spans="2:16">
      <c r="B114" s="602"/>
      <c r="C114" s="402"/>
      <c r="D114" s="151"/>
      <c r="E114" s="151"/>
      <c r="F114" s="156"/>
      <c r="G114" s="151"/>
      <c r="H114" s="394" t="s">
        <v>16</v>
      </c>
      <c r="I114" s="2"/>
      <c r="J114" s="2"/>
      <c r="K114" s="2"/>
      <c r="O114" s="58"/>
      <c r="P114" s="58"/>
    </row>
    <row r="115" spans="2:16">
      <c r="B115" s="602"/>
      <c r="C115" s="402"/>
      <c r="D115" s="151"/>
      <c r="E115" s="151"/>
      <c r="F115" s="156"/>
      <c r="G115" s="151"/>
      <c r="H115" s="394" t="s">
        <v>13</v>
      </c>
      <c r="I115" s="2"/>
      <c r="J115" s="2"/>
      <c r="K115" s="2"/>
      <c r="O115" s="58"/>
      <c r="P115" s="58"/>
    </row>
    <row r="116" spans="2:16">
      <c r="B116" s="602"/>
      <c r="C116" s="403"/>
      <c r="D116" s="152"/>
      <c r="E116" s="152"/>
      <c r="F116" s="192"/>
      <c r="G116" s="152"/>
      <c r="H116" s="394" t="s">
        <v>17</v>
      </c>
      <c r="I116" s="2"/>
      <c r="J116" s="2"/>
      <c r="K116" s="2"/>
      <c r="O116" s="58"/>
      <c r="P116" s="58"/>
    </row>
    <row r="117" spans="2:16">
      <c r="B117" s="602"/>
      <c r="C117" s="384"/>
      <c r="D117" s="163"/>
      <c r="E117" s="163"/>
      <c r="F117" s="193"/>
      <c r="G117" s="163"/>
      <c r="H117" s="381" t="s">
        <v>79</v>
      </c>
      <c r="I117" s="2"/>
      <c r="J117" s="2"/>
      <c r="K117" s="2"/>
      <c r="O117" s="58"/>
      <c r="P117" s="58"/>
    </row>
    <row r="118" spans="2:16">
      <c r="B118" s="602"/>
      <c r="C118" s="387"/>
      <c r="D118" s="164"/>
      <c r="E118" s="164"/>
      <c r="F118" s="197"/>
      <c r="G118" s="164"/>
      <c r="H118" s="379" t="s">
        <v>80</v>
      </c>
      <c r="I118" s="2"/>
      <c r="J118" s="2"/>
      <c r="K118" s="2"/>
      <c r="O118" s="58"/>
      <c r="P118" s="58"/>
    </row>
    <row r="119" spans="2:16">
      <c r="B119" s="602"/>
      <c r="C119" s="383"/>
      <c r="D119" s="152"/>
      <c r="E119" s="152"/>
      <c r="F119" s="192"/>
      <c r="G119" s="152"/>
      <c r="H119" s="376" t="s">
        <v>81</v>
      </c>
      <c r="I119" s="2">
        <f>SUM(E110:E119)</f>
        <v>0</v>
      </c>
      <c r="L119" s="2" t="e">
        <f>I119/C119</f>
        <v>#DIV/0!</v>
      </c>
      <c r="O119" s="58"/>
      <c r="P119" s="58"/>
    </row>
    <row r="120" spans="2:16">
      <c r="B120" s="598">
        <v>45981</v>
      </c>
      <c r="C120" s="389"/>
      <c r="D120" s="163"/>
      <c r="E120" s="163"/>
      <c r="F120" s="193"/>
      <c r="G120" s="163"/>
      <c r="H120" s="378" t="s">
        <v>18</v>
      </c>
      <c r="I120" s="2"/>
      <c r="J120" s="2"/>
      <c r="K120" s="2"/>
      <c r="O120" s="58"/>
      <c r="P120" s="58"/>
    </row>
    <row r="121" spans="2:16">
      <c r="B121" s="599"/>
      <c r="C121" s="417"/>
      <c r="D121" s="165"/>
      <c r="E121" s="165"/>
      <c r="F121" s="195"/>
      <c r="G121" s="165"/>
      <c r="H121" s="377" t="s">
        <v>14</v>
      </c>
      <c r="I121" s="2"/>
      <c r="J121" s="2"/>
      <c r="K121" s="2"/>
      <c r="O121" s="58"/>
      <c r="P121" s="58"/>
    </row>
    <row r="122" spans="2:16">
      <c r="B122" s="599"/>
      <c r="C122" s="418"/>
      <c r="D122" s="164"/>
      <c r="E122" s="164"/>
      <c r="F122" s="197"/>
      <c r="G122" s="164"/>
      <c r="H122" s="379" t="s">
        <v>26</v>
      </c>
      <c r="I122" s="2"/>
      <c r="J122" s="2"/>
      <c r="K122" s="2"/>
      <c r="O122" s="58"/>
      <c r="P122" s="58"/>
    </row>
    <row r="123" spans="2:16">
      <c r="B123" s="599"/>
      <c r="C123" s="390"/>
      <c r="D123" s="151"/>
      <c r="E123" s="151"/>
      <c r="F123" s="156"/>
      <c r="G123" s="151"/>
      <c r="H123" s="376" t="s">
        <v>34</v>
      </c>
      <c r="I123" s="2"/>
      <c r="J123" s="2"/>
      <c r="K123" s="2"/>
      <c r="O123" s="58"/>
      <c r="P123" s="58"/>
    </row>
    <row r="124" spans="2:16">
      <c r="B124" s="599"/>
      <c r="C124" s="391"/>
      <c r="D124" s="152"/>
      <c r="E124" s="152"/>
      <c r="F124" s="192"/>
      <c r="G124" s="152"/>
      <c r="H124" s="376" t="s">
        <v>12</v>
      </c>
      <c r="I124" s="2"/>
      <c r="J124" s="2"/>
      <c r="K124" s="2"/>
      <c r="O124" s="58"/>
      <c r="P124" s="58"/>
    </row>
    <row r="125" spans="2:16">
      <c r="B125" s="599"/>
      <c r="C125" s="389"/>
      <c r="D125" s="163"/>
      <c r="E125" s="163"/>
      <c r="F125" s="193"/>
      <c r="G125" s="163"/>
      <c r="H125" s="378" t="s">
        <v>82</v>
      </c>
      <c r="I125" s="2"/>
      <c r="J125" s="2"/>
      <c r="K125" s="2"/>
      <c r="O125" s="58"/>
      <c r="P125" s="58"/>
    </row>
    <row r="126" spans="2:16">
      <c r="B126" s="599"/>
      <c r="C126" s="390"/>
      <c r="D126" s="151"/>
      <c r="E126" s="151"/>
      <c r="F126" s="156"/>
      <c r="G126" s="151"/>
      <c r="H126" s="376" t="s">
        <v>83</v>
      </c>
      <c r="I126" s="2"/>
      <c r="J126" s="2"/>
      <c r="K126" s="2"/>
      <c r="O126" s="58"/>
      <c r="P126" s="58"/>
    </row>
    <row r="127" spans="2:16">
      <c r="B127" s="599"/>
      <c r="C127" s="390"/>
      <c r="D127" s="151"/>
      <c r="E127" s="151"/>
      <c r="F127" s="156"/>
      <c r="G127" s="151"/>
      <c r="H127" s="388" t="s">
        <v>84</v>
      </c>
      <c r="I127" s="2"/>
      <c r="J127" s="2"/>
      <c r="K127" s="2"/>
      <c r="O127" s="58"/>
      <c r="P127" s="58"/>
    </row>
    <row r="128" spans="2:16">
      <c r="B128" s="600"/>
      <c r="C128" s="464"/>
      <c r="D128" s="236"/>
      <c r="E128" s="236"/>
      <c r="F128" s="496"/>
      <c r="G128" s="236"/>
      <c r="H128" s="379" t="s">
        <v>85</v>
      </c>
      <c r="I128" s="2">
        <f>SUM(E120:E128)</f>
        <v>0</v>
      </c>
      <c r="L128" s="2" t="e">
        <f>I128/C128</f>
        <v>#DIV/0!</v>
      </c>
      <c r="O128" s="58"/>
      <c r="P128" s="58"/>
    </row>
    <row r="129" spans="2:16">
      <c r="B129" s="603">
        <v>45982</v>
      </c>
      <c r="C129" s="389"/>
      <c r="D129" s="163"/>
      <c r="E129" s="163"/>
      <c r="F129" s="193"/>
      <c r="G129" s="163"/>
      <c r="H129" s="378" t="s">
        <v>60</v>
      </c>
      <c r="I129" s="2"/>
      <c r="J129" s="2"/>
      <c r="K129" s="2"/>
      <c r="O129" s="58"/>
      <c r="P129" s="58"/>
    </row>
    <row r="130" spans="2:16">
      <c r="B130" s="604"/>
      <c r="C130" s="390"/>
      <c r="D130" s="151"/>
      <c r="E130" s="151"/>
      <c r="F130" s="156"/>
      <c r="G130" s="151"/>
      <c r="H130" s="376" t="s">
        <v>28</v>
      </c>
      <c r="I130" s="2"/>
      <c r="J130" s="2"/>
      <c r="K130" s="2"/>
      <c r="O130" s="58"/>
      <c r="P130" s="58"/>
    </row>
    <row r="131" spans="2:16">
      <c r="B131" s="604"/>
      <c r="C131" s="390"/>
      <c r="D131" s="151"/>
      <c r="E131" s="151"/>
      <c r="F131" s="156"/>
      <c r="G131" s="151"/>
      <c r="H131" s="376" t="s">
        <v>59</v>
      </c>
      <c r="I131" s="2"/>
      <c r="J131" s="2"/>
      <c r="K131" s="2"/>
      <c r="O131" s="58"/>
      <c r="P131" s="58"/>
    </row>
    <row r="132" spans="2:16">
      <c r="B132" s="604"/>
      <c r="C132" s="390"/>
      <c r="D132" s="151"/>
      <c r="E132" s="151"/>
      <c r="F132" s="156"/>
      <c r="G132" s="151"/>
      <c r="H132" s="388" t="s">
        <v>30</v>
      </c>
      <c r="I132" s="2"/>
      <c r="J132" s="2"/>
      <c r="K132" s="2"/>
      <c r="O132" s="58"/>
      <c r="P132" s="58"/>
    </row>
    <row r="133" spans="2:16">
      <c r="B133" s="604"/>
      <c r="C133" s="404"/>
      <c r="D133" s="257"/>
      <c r="E133" s="257"/>
      <c r="F133" s="256"/>
      <c r="G133" s="257"/>
      <c r="H133" s="401" t="s">
        <v>52</v>
      </c>
      <c r="I133" s="2"/>
      <c r="J133" s="2"/>
      <c r="K133" s="2"/>
      <c r="O133" s="58"/>
      <c r="P133" s="58"/>
    </row>
    <row r="134" spans="2:16">
      <c r="B134" s="587"/>
      <c r="C134" s="418"/>
      <c r="D134" s="164"/>
      <c r="E134" s="164"/>
      <c r="F134" s="197"/>
      <c r="G134" s="164"/>
      <c r="H134" s="379" t="s">
        <v>37</v>
      </c>
      <c r="I134" s="2"/>
      <c r="J134" s="2"/>
      <c r="K134" s="2"/>
      <c r="O134" s="58"/>
      <c r="P134" s="58"/>
    </row>
    <row r="135" spans="2:16">
      <c r="B135" s="587"/>
      <c r="C135" s="390"/>
      <c r="D135" s="151"/>
      <c r="E135" s="151"/>
      <c r="F135" s="156"/>
      <c r="G135" s="151"/>
      <c r="H135" s="376" t="s">
        <v>36</v>
      </c>
      <c r="I135" s="2"/>
      <c r="J135" s="2"/>
      <c r="K135" s="2"/>
      <c r="O135" s="58"/>
      <c r="P135" s="58"/>
    </row>
    <row r="136" spans="2:16">
      <c r="B136" s="587"/>
      <c r="C136" s="417"/>
      <c r="D136" s="165"/>
      <c r="E136" s="165"/>
      <c r="F136" s="195"/>
      <c r="G136" s="165"/>
      <c r="H136" s="377" t="s">
        <v>27</v>
      </c>
      <c r="I136" s="2"/>
      <c r="J136" s="2"/>
      <c r="K136" s="2"/>
      <c r="O136" s="58"/>
      <c r="P136" s="58"/>
    </row>
    <row r="137" spans="2:16">
      <c r="B137" s="587"/>
      <c r="C137" s="418"/>
      <c r="D137" s="164"/>
      <c r="E137" s="164"/>
      <c r="F137" s="197"/>
      <c r="G137" s="164"/>
      <c r="H137" s="379" t="s">
        <v>86</v>
      </c>
      <c r="I137" s="2"/>
      <c r="J137" s="2"/>
      <c r="K137" s="2"/>
      <c r="O137" s="58"/>
      <c r="P137" s="58"/>
    </row>
    <row r="138" spans="2:16">
      <c r="B138" s="587"/>
      <c r="C138" s="390"/>
      <c r="D138" s="151"/>
      <c r="E138" s="151"/>
      <c r="F138" s="156"/>
      <c r="G138" s="151"/>
      <c r="H138" s="388" t="s">
        <v>87</v>
      </c>
      <c r="I138" s="2"/>
      <c r="J138" s="2"/>
      <c r="K138" s="2"/>
      <c r="O138" s="58"/>
      <c r="P138" s="58"/>
    </row>
    <row r="139" spans="2:16">
      <c r="B139" s="587"/>
      <c r="C139" s="464"/>
      <c r="D139" s="236"/>
      <c r="E139" s="236"/>
      <c r="F139" s="496"/>
      <c r="G139" s="236"/>
      <c r="H139" s="379" t="s">
        <v>88</v>
      </c>
      <c r="I139" s="2">
        <f>SUM(E129:E139)</f>
        <v>0</v>
      </c>
      <c r="L139" s="2" t="e">
        <f>I139/C139</f>
        <v>#DIV/0!</v>
      </c>
      <c r="O139" s="58"/>
      <c r="P139" s="58"/>
    </row>
    <row r="140" spans="2:16">
      <c r="B140" s="586">
        <v>45983</v>
      </c>
      <c r="C140" s="384"/>
      <c r="D140" s="163"/>
      <c r="E140" s="163"/>
      <c r="F140" s="193"/>
      <c r="G140" s="163"/>
      <c r="H140" s="378" t="s">
        <v>18</v>
      </c>
      <c r="I140" s="2"/>
      <c r="J140" s="2"/>
      <c r="K140" s="2"/>
      <c r="O140" s="58"/>
      <c r="P140" s="58"/>
    </row>
    <row r="141" spans="2:16">
      <c r="B141" s="587"/>
      <c r="C141" s="383"/>
      <c r="D141" s="152"/>
      <c r="E141" s="152"/>
      <c r="F141" s="192"/>
      <c r="G141" s="152"/>
      <c r="H141" s="376" t="s">
        <v>11</v>
      </c>
      <c r="I141" s="2"/>
      <c r="J141" s="2"/>
      <c r="K141" s="2"/>
      <c r="O141" s="58"/>
      <c r="P141" s="58"/>
    </row>
    <row r="142" spans="2:16">
      <c r="B142" s="587"/>
      <c r="C142" s="384"/>
      <c r="D142" s="163"/>
      <c r="E142" s="163"/>
      <c r="F142" s="193"/>
      <c r="G142" s="163"/>
      <c r="H142" s="378" t="s">
        <v>15</v>
      </c>
      <c r="I142" s="2"/>
      <c r="J142" s="2"/>
      <c r="K142" s="2"/>
      <c r="O142" s="58"/>
      <c r="P142" s="58"/>
    </row>
    <row r="143" spans="2:16">
      <c r="B143" s="587"/>
      <c r="C143" s="385"/>
      <c r="D143" s="151"/>
      <c r="E143" s="151"/>
      <c r="F143" s="156"/>
      <c r="G143" s="151"/>
      <c r="H143" s="394" t="s">
        <v>13</v>
      </c>
      <c r="I143" s="2"/>
      <c r="J143" s="2"/>
      <c r="K143" s="2"/>
      <c r="O143" s="58"/>
      <c r="P143" s="58"/>
    </row>
    <row r="144" spans="2:16">
      <c r="B144" s="587"/>
      <c r="C144" s="385"/>
      <c r="D144" s="151"/>
      <c r="E144" s="151"/>
      <c r="F144" s="156"/>
      <c r="G144" s="151"/>
      <c r="H144" s="376" t="s">
        <v>34</v>
      </c>
      <c r="I144" s="2"/>
      <c r="J144" s="2"/>
      <c r="K144" s="2"/>
      <c r="O144" s="58"/>
      <c r="P144" s="58"/>
    </row>
    <row r="145" spans="2:16">
      <c r="B145" s="587"/>
      <c r="C145" s="383"/>
      <c r="D145" s="152"/>
      <c r="E145" s="152"/>
      <c r="F145" s="192"/>
      <c r="G145" s="152"/>
      <c r="H145" s="376" t="s">
        <v>17</v>
      </c>
      <c r="I145" s="2"/>
      <c r="J145" s="2"/>
      <c r="K145" s="2"/>
      <c r="O145" s="58"/>
      <c r="P145" s="58"/>
    </row>
    <row r="146" spans="2:16">
      <c r="B146" s="587"/>
      <c r="C146" s="384"/>
      <c r="D146" s="163"/>
      <c r="E146" s="163"/>
      <c r="F146" s="193"/>
      <c r="G146" s="163"/>
      <c r="H146" s="392" t="s">
        <v>89</v>
      </c>
      <c r="I146" s="2"/>
      <c r="J146" s="2"/>
      <c r="K146" s="2"/>
      <c r="O146" s="58"/>
      <c r="P146" s="58"/>
    </row>
    <row r="147" spans="2:16">
      <c r="B147" s="587"/>
      <c r="C147" s="385"/>
      <c r="D147" s="151"/>
      <c r="E147" s="151"/>
      <c r="F147" s="156"/>
      <c r="G147" s="151"/>
      <c r="H147" s="376" t="s">
        <v>90</v>
      </c>
      <c r="I147" s="2"/>
      <c r="J147" s="2"/>
      <c r="K147" s="2"/>
      <c r="O147" s="58"/>
      <c r="P147" s="58"/>
    </row>
    <row r="148" spans="2:16">
      <c r="B148" s="587"/>
      <c r="C148" s="385"/>
      <c r="D148" s="151"/>
      <c r="E148" s="151"/>
      <c r="F148" s="156"/>
      <c r="G148" s="151"/>
      <c r="H148" s="388" t="s">
        <v>91</v>
      </c>
      <c r="I148" s="2"/>
      <c r="J148" s="2"/>
      <c r="K148" s="2"/>
      <c r="O148" s="58"/>
      <c r="P148" s="58"/>
    </row>
    <row r="149" spans="2:16">
      <c r="B149" s="587"/>
      <c r="C149" s="473"/>
      <c r="D149" s="257"/>
      <c r="E149" s="257"/>
      <c r="F149" s="256"/>
      <c r="G149" s="257"/>
      <c r="H149" s="401" t="s">
        <v>92</v>
      </c>
      <c r="I149" s="2">
        <f>SUM(E140:E149)</f>
        <v>0</v>
      </c>
      <c r="L149" s="2" t="e">
        <f>I149/C149</f>
        <v>#DIV/0!</v>
      </c>
      <c r="O149" s="58"/>
      <c r="P149" s="58"/>
    </row>
    <row r="150" spans="2:16">
      <c r="B150" s="586">
        <v>45984</v>
      </c>
      <c r="C150" s="387"/>
      <c r="D150" s="164"/>
      <c r="E150" s="164"/>
      <c r="F150" s="197"/>
      <c r="G150" s="164"/>
      <c r="H150" s="379" t="s">
        <v>15</v>
      </c>
      <c r="I150" s="2"/>
      <c r="J150" s="2"/>
      <c r="K150" s="2"/>
      <c r="O150" s="58"/>
      <c r="P150" s="58"/>
    </row>
    <row r="151" spans="2:16">
      <c r="B151" s="587"/>
      <c r="C151" s="385"/>
      <c r="D151" s="151"/>
      <c r="E151" s="151"/>
      <c r="F151" s="156"/>
      <c r="G151" s="151"/>
      <c r="H151" s="376" t="s">
        <v>18</v>
      </c>
      <c r="I151" s="2"/>
      <c r="J151" s="2"/>
      <c r="K151" s="2"/>
      <c r="O151" s="58"/>
      <c r="P151" s="58"/>
    </row>
    <row r="152" spans="2:16">
      <c r="B152" s="587"/>
      <c r="C152" s="386"/>
      <c r="D152" s="165"/>
      <c r="E152" s="165"/>
      <c r="F152" s="195"/>
      <c r="G152" s="165"/>
      <c r="H152" s="377" t="s">
        <v>52</v>
      </c>
      <c r="I152" s="2"/>
      <c r="J152" s="2"/>
      <c r="K152" s="2"/>
      <c r="O152" s="58"/>
      <c r="P152" s="58"/>
    </row>
    <row r="153" spans="2:16">
      <c r="B153" s="587"/>
      <c r="C153" s="384"/>
      <c r="D153" s="163"/>
      <c r="E153" s="163"/>
      <c r="F153" s="193"/>
      <c r="G153" s="163"/>
      <c r="H153" s="378" t="s">
        <v>51</v>
      </c>
      <c r="I153" s="2"/>
      <c r="J153" s="2"/>
      <c r="K153" s="2"/>
      <c r="O153" s="58"/>
      <c r="P153" s="58"/>
    </row>
    <row r="154" spans="2:16">
      <c r="B154" s="587"/>
      <c r="C154" s="385"/>
      <c r="D154" s="151"/>
      <c r="E154" s="151"/>
      <c r="F154" s="156"/>
      <c r="G154" s="151"/>
      <c r="H154" s="376" t="s">
        <v>14</v>
      </c>
      <c r="I154" s="2"/>
      <c r="J154" s="2"/>
      <c r="K154" s="2"/>
      <c r="O154" s="58"/>
      <c r="P154" s="58"/>
    </row>
    <row r="155" spans="2:16">
      <c r="B155" s="587"/>
      <c r="C155" s="385"/>
      <c r="D155" s="151"/>
      <c r="E155" s="151"/>
      <c r="F155" s="156"/>
      <c r="G155" s="151"/>
      <c r="H155" s="376" t="s">
        <v>37</v>
      </c>
      <c r="I155" s="2"/>
      <c r="J155" s="2"/>
      <c r="K155" s="2"/>
      <c r="O155" s="58"/>
      <c r="P155" s="58"/>
    </row>
    <row r="156" spans="2:16">
      <c r="B156" s="587"/>
      <c r="C156" s="385"/>
      <c r="D156" s="151"/>
      <c r="E156" s="151"/>
      <c r="F156" s="156"/>
      <c r="G156" s="151"/>
      <c r="H156" s="376" t="s">
        <v>46</v>
      </c>
      <c r="I156" s="2"/>
      <c r="J156" s="2"/>
      <c r="K156" s="2"/>
      <c r="O156" s="58"/>
      <c r="P156" s="58"/>
    </row>
    <row r="157" spans="2:16">
      <c r="B157" s="587"/>
      <c r="C157" s="385"/>
      <c r="D157" s="151"/>
      <c r="E157" s="151"/>
      <c r="F157" s="156"/>
      <c r="G157" s="151"/>
      <c r="H157" s="376" t="s">
        <v>36</v>
      </c>
      <c r="I157" s="2"/>
      <c r="J157" s="2"/>
      <c r="K157" s="2"/>
      <c r="O157" s="58"/>
      <c r="P157" s="58"/>
    </row>
    <row r="158" spans="2:16">
      <c r="B158" s="587"/>
      <c r="C158" s="383"/>
      <c r="D158" s="152"/>
      <c r="E158" s="152"/>
      <c r="F158" s="192"/>
      <c r="G158" s="152"/>
      <c r="H158" s="376" t="s">
        <v>47</v>
      </c>
      <c r="I158" s="2"/>
      <c r="J158" s="2"/>
      <c r="K158" s="2"/>
      <c r="O158" s="58"/>
      <c r="P158" s="58"/>
    </row>
    <row r="159" spans="2:16">
      <c r="B159" s="604"/>
      <c r="C159" s="389"/>
      <c r="D159" s="163"/>
      <c r="E159" s="163"/>
      <c r="F159" s="193"/>
      <c r="G159" s="163"/>
      <c r="H159" s="378" t="s">
        <v>93</v>
      </c>
      <c r="I159" s="2"/>
      <c r="J159" s="2"/>
      <c r="K159" s="2"/>
      <c r="O159" s="58"/>
      <c r="P159" s="58"/>
    </row>
    <row r="160" spans="2:16">
      <c r="B160" s="604"/>
      <c r="C160" s="390"/>
      <c r="D160" s="151"/>
      <c r="E160" s="151"/>
      <c r="F160" s="156"/>
      <c r="G160" s="151"/>
      <c r="H160" s="376" t="s">
        <v>94</v>
      </c>
      <c r="I160" s="2"/>
      <c r="J160" s="2"/>
      <c r="K160" s="2"/>
      <c r="O160" s="58"/>
      <c r="P160" s="58"/>
    </row>
    <row r="161" spans="2:16">
      <c r="B161" s="604"/>
      <c r="C161" s="390"/>
      <c r="D161" s="151"/>
      <c r="E161" s="151"/>
      <c r="F161" s="156"/>
      <c r="G161" s="151"/>
      <c r="H161" s="376" t="s">
        <v>95</v>
      </c>
      <c r="I161" s="2"/>
      <c r="J161" s="2"/>
      <c r="K161" s="2"/>
      <c r="O161" s="58"/>
      <c r="P161" s="58"/>
    </row>
    <row r="162" spans="2:16">
      <c r="B162" s="604"/>
      <c r="C162" s="391"/>
      <c r="D162" s="152"/>
      <c r="E162" s="152"/>
      <c r="F162" s="192"/>
      <c r="G162" s="152"/>
      <c r="H162" s="376" t="s">
        <v>96</v>
      </c>
      <c r="I162" s="2">
        <f>SUM(E150:E162)</f>
        <v>0</v>
      </c>
      <c r="J162" s="2">
        <f>SUM(E88:E162)</f>
        <v>0</v>
      </c>
      <c r="L162" s="2" t="e">
        <f>I162/C162</f>
        <v>#DIV/0!</v>
      </c>
      <c r="O162" s="58"/>
      <c r="P162" s="58"/>
    </row>
    <row r="163" spans="2:16">
      <c r="B163" s="603">
        <v>45985</v>
      </c>
      <c r="C163" s="389"/>
      <c r="D163" s="163"/>
      <c r="E163" s="163"/>
      <c r="F163" s="193"/>
      <c r="G163" s="163"/>
      <c r="H163" s="378" t="s">
        <v>97</v>
      </c>
      <c r="I163" s="2"/>
      <c r="J163" s="2"/>
      <c r="K163" s="2"/>
      <c r="O163" s="58"/>
      <c r="P163" s="58"/>
    </row>
    <row r="164" spans="2:16">
      <c r="B164" s="604"/>
      <c r="C164" s="417"/>
      <c r="D164" s="165"/>
      <c r="E164" s="165"/>
      <c r="F164" s="195"/>
      <c r="G164" s="165"/>
      <c r="H164" s="377" t="s">
        <v>47</v>
      </c>
      <c r="I164" s="2"/>
      <c r="J164" s="2"/>
      <c r="K164" s="2"/>
      <c r="O164" s="58"/>
      <c r="P164" s="58"/>
    </row>
    <row r="165" spans="2:16">
      <c r="B165" s="604"/>
      <c r="C165" s="418"/>
      <c r="D165" s="164"/>
      <c r="E165" s="164"/>
      <c r="F165" s="197"/>
      <c r="G165" s="164"/>
      <c r="H165" s="474" t="s">
        <v>60</v>
      </c>
      <c r="I165" s="2"/>
      <c r="J165" s="2"/>
      <c r="K165" s="2"/>
      <c r="O165" s="58"/>
      <c r="P165" s="58"/>
    </row>
    <row r="166" spans="2:16">
      <c r="B166" s="604"/>
      <c r="C166" s="418"/>
      <c r="D166" s="164"/>
      <c r="E166" s="164"/>
      <c r="F166" s="197"/>
      <c r="G166" s="164"/>
      <c r="H166" s="379" t="s">
        <v>25</v>
      </c>
      <c r="I166" s="2"/>
      <c r="J166" s="2"/>
      <c r="K166" s="2"/>
      <c r="O166" s="58"/>
      <c r="P166" s="58"/>
    </row>
    <row r="167" spans="2:16">
      <c r="B167" s="604"/>
      <c r="C167" s="390"/>
      <c r="D167" s="151"/>
      <c r="E167" s="151"/>
      <c r="F167" s="156"/>
      <c r="G167" s="151"/>
      <c r="H167" s="376" t="s">
        <v>28</v>
      </c>
      <c r="I167" s="2"/>
      <c r="J167" s="2"/>
      <c r="K167" s="2"/>
      <c r="O167" s="58"/>
      <c r="P167" s="58"/>
    </row>
    <row r="168" spans="2:16">
      <c r="B168" s="604"/>
      <c r="C168" s="390"/>
      <c r="D168" s="151"/>
      <c r="E168" s="151"/>
      <c r="F168" s="156"/>
      <c r="G168" s="151"/>
      <c r="H168" s="376" t="s">
        <v>34</v>
      </c>
      <c r="I168" s="2"/>
      <c r="J168" s="2"/>
      <c r="K168" s="2"/>
      <c r="O168" s="58"/>
      <c r="P168" s="58"/>
    </row>
    <row r="169" spans="2:16">
      <c r="B169" s="604"/>
      <c r="C169" s="390"/>
      <c r="D169" s="151"/>
      <c r="E169" s="151"/>
      <c r="F169" s="156"/>
      <c r="G169" s="151"/>
      <c r="H169" s="376" t="s">
        <v>36</v>
      </c>
      <c r="I169" s="2"/>
      <c r="J169" s="2"/>
      <c r="K169" s="2"/>
      <c r="O169" s="58"/>
      <c r="P169" s="58"/>
    </row>
    <row r="170" spans="2:16">
      <c r="B170" s="604"/>
      <c r="C170" s="417"/>
      <c r="D170" s="165"/>
      <c r="E170" s="165"/>
      <c r="F170" s="195"/>
      <c r="G170" s="165"/>
      <c r="H170" s="377" t="s">
        <v>38</v>
      </c>
      <c r="I170" s="2"/>
      <c r="J170" s="2"/>
      <c r="K170" s="2"/>
      <c r="O170" s="58"/>
      <c r="P170" s="58"/>
    </row>
    <row r="171" spans="2:16">
      <c r="B171" s="604"/>
      <c r="C171" s="418"/>
      <c r="D171" s="164"/>
      <c r="E171" s="164"/>
      <c r="F171" s="197"/>
      <c r="G171" s="164"/>
      <c r="H171" s="474" t="s">
        <v>98</v>
      </c>
      <c r="I171" s="2"/>
      <c r="J171" s="2"/>
      <c r="K171" s="2"/>
      <c r="O171" s="58"/>
      <c r="P171" s="58"/>
    </row>
    <row r="172" spans="2:16">
      <c r="B172" s="587"/>
      <c r="C172" s="385"/>
      <c r="D172" s="151"/>
      <c r="E172" s="151"/>
      <c r="F172" s="156"/>
      <c r="G172" s="151"/>
      <c r="H172" s="376" t="s">
        <v>99</v>
      </c>
      <c r="I172" s="2"/>
      <c r="J172" s="2"/>
      <c r="K172" s="2"/>
      <c r="O172" s="58"/>
      <c r="P172" s="58"/>
    </row>
    <row r="173" spans="2:16">
      <c r="B173" s="587"/>
      <c r="C173" s="385"/>
      <c r="D173" s="151"/>
      <c r="E173" s="151"/>
      <c r="F173" s="156"/>
      <c r="G173" s="151"/>
      <c r="H173" s="376" t="s">
        <v>100</v>
      </c>
      <c r="I173" s="2"/>
      <c r="J173" s="2"/>
      <c r="K173" s="2"/>
      <c r="O173" s="58"/>
      <c r="P173" s="58"/>
    </row>
    <row r="174" spans="2:16">
      <c r="B174" s="591"/>
      <c r="C174" s="475"/>
      <c r="D174" s="236"/>
      <c r="E174" s="236"/>
      <c r="F174" s="496"/>
      <c r="G174" s="236"/>
      <c r="H174" s="376" t="s">
        <v>101</v>
      </c>
      <c r="I174" s="2">
        <f>SUM(E163:E174)</f>
        <v>0</v>
      </c>
      <c r="L174" s="2" t="e">
        <f>I174/C174</f>
        <v>#DIV/0!</v>
      </c>
      <c r="O174" s="58"/>
      <c r="P174" s="58"/>
    </row>
    <row r="175" spans="2:16">
      <c r="B175" s="603">
        <v>45986</v>
      </c>
      <c r="C175" s="479"/>
      <c r="D175" s="228"/>
      <c r="E175" s="228"/>
      <c r="F175" s="227"/>
      <c r="G175" s="228"/>
      <c r="H175" s="116" t="s">
        <v>14</v>
      </c>
      <c r="I175" s="2"/>
      <c r="J175" s="2"/>
      <c r="K175" s="2"/>
      <c r="O175" s="58"/>
      <c r="P175" s="58"/>
    </row>
    <row r="176" spans="2:16">
      <c r="B176" s="604"/>
      <c r="C176" s="389"/>
      <c r="D176" s="163"/>
      <c r="E176" s="163"/>
      <c r="F176" s="193"/>
      <c r="G176" s="163"/>
      <c r="H176" s="378" t="s">
        <v>11</v>
      </c>
      <c r="I176" s="2"/>
      <c r="J176" s="2"/>
      <c r="K176" s="2"/>
      <c r="O176" s="58"/>
      <c r="P176" s="58"/>
    </row>
    <row r="177" spans="2:16">
      <c r="B177" s="604"/>
      <c r="C177" s="417"/>
      <c r="D177" s="165"/>
      <c r="E177" s="165"/>
      <c r="F177" s="195"/>
      <c r="G177" s="165"/>
      <c r="H177" s="377" t="s">
        <v>51</v>
      </c>
      <c r="I177" s="2"/>
      <c r="J177" s="2"/>
      <c r="K177" s="2"/>
      <c r="O177" s="58"/>
      <c r="P177" s="58"/>
    </row>
    <row r="178" spans="2:16">
      <c r="B178" s="604"/>
      <c r="C178" s="389"/>
      <c r="D178" s="163"/>
      <c r="E178" s="163"/>
      <c r="F178" s="193"/>
      <c r="G178" s="163"/>
      <c r="H178" s="378" t="s">
        <v>102</v>
      </c>
      <c r="I178" s="2"/>
      <c r="J178" s="2"/>
      <c r="K178" s="2"/>
      <c r="O178" s="58"/>
      <c r="P178" s="58"/>
    </row>
    <row r="179" spans="2:16">
      <c r="B179" s="604"/>
      <c r="C179" s="391"/>
      <c r="D179" s="152"/>
      <c r="E179" s="152"/>
      <c r="F179" s="192"/>
      <c r="G179" s="152"/>
      <c r="H179" s="376" t="s">
        <v>103</v>
      </c>
      <c r="I179" s="2">
        <f>SUM(E175:E179)</f>
        <v>0</v>
      </c>
      <c r="L179" s="2" t="e">
        <f>I179/C179</f>
        <v>#DIV/0!</v>
      </c>
      <c r="O179" s="58"/>
      <c r="P179" s="58"/>
    </row>
    <row r="180" spans="2:16">
      <c r="B180" s="586">
        <v>45987</v>
      </c>
      <c r="C180" s="384"/>
      <c r="D180" s="163"/>
      <c r="E180" s="163"/>
      <c r="F180" s="193"/>
      <c r="G180" s="163"/>
      <c r="H180" s="381" t="s">
        <v>97</v>
      </c>
      <c r="I180" s="2"/>
      <c r="J180" s="2"/>
      <c r="K180" s="2"/>
      <c r="O180" s="58"/>
      <c r="P180" s="58"/>
    </row>
    <row r="181" spans="2:16">
      <c r="B181" s="587"/>
      <c r="C181" s="402"/>
      <c r="D181" s="151"/>
      <c r="E181" s="151"/>
      <c r="F181" s="156"/>
      <c r="G181" s="151"/>
      <c r="H181" s="481" t="s">
        <v>60</v>
      </c>
      <c r="I181" s="2"/>
      <c r="J181" s="2"/>
      <c r="K181" s="2"/>
      <c r="O181" s="58"/>
      <c r="P181" s="58"/>
    </row>
    <row r="182" spans="2:16">
      <c r="B182" s="587"/>
      <c r="C182" s="402"/>
      <c r="D182" s="151"/>
      <c r="E182" s="151"/>
      <c r="F182" s="156"/>
      <c r="G182" s="151"/>
      <c r="H182" s="481" t="s">
        <v>104</v>
      </c>
      <c r="I182" s="2"/>
      <c r="J182" s="2"/>
      <c r="K182" s="2"/>
      <c r="O182" s="58"/>
      <c r="P182" s="58"/>
    </row>
    <row r="183" spans="2:16">
      <c r="B183" s="587"/>
      <c r="C183" s="402"/>
      <c r="D183" s="151"/>
      <c r="E183" s="151"/>
      <c r="F183" s="156"/>
      <c r="G183" s="151"/>
      <c r="H183" s="481" t="s">
        <v>26</v>
      </c>
      <c r="I183" s="2"/>
      <c r="J183" s="2"/>
      <c r="K183" s="2"/>
      <c r="O183" s="58"/>
      <c r="P183" s="58"/>
    </row>
    <row r="184" spans="2:16">
      <c r="B184" s="587"/>
      <c r="C184" s="402"/>
      <c r="D184" s="151"/>
      <c r="E184" s="151"/>
      <c r="F184" s="156"/>
      <c r="G184" s="151"/>
      <c r="H184" s="481" t="s">
        <v>53</v>
      </c>
      <c r="I184" s="2"/>
      <c r="J184" s="2"/>
      <c r="K184" s="2"/>
      <c r="O184" s="58"/>
      <c r="P184" s="58"/>
    </row>
    <row r="185" spans="2:16">
      <c r="B185" s="587"/>
      <c r="C185" s="403"/>
      <c r="D185" s="152"/>
      <c r="E185" s="152"/>
      <c r="F185" s="192"/>
      <c r="G185" s="152"/>
      <c r="H185" s="394" t="s">
        <v>36</v>
      </c>
      <c r="I185" s="2"/>
      <c r="J185" s="2"/>
      <c r="K185" s="2"/>
      <c r="O185" s="58"/>
      <c r="P185" s="58"/>
    </row>
    <row r="186" spans="2:16">
      <c r="B186" s="587"/>
      <c r="C186" s="487"/>
      <c r="D186" s="163"/>
      <c r="E186" s="163"/>
      <c r="F186" s="193"/>
      <c r="G186" s="163"/>
      <c r="H186" s="482" t="s">
        <v>37</v>
      </c>
      <c r="I186" s="2"/>
      <c r="J186" s="2"/>
      <c r="K186" s="2"/>
      <c r="O186" s="58"/>
      <c r="P186" s="58"/>
    </row>
    <row r="187" spans="2:16">
      <c r="B187" s="587"/>
      <c r="C187" s="402"/>
      <c r="D187" s="151"/>
      <c r="E187" s="151"/>
      <c r="F187" s="156"/>
      <c r="G187" s="151"/>
      <c r="H187" s="481" t="s">
        <v>15</v>
      </c>
      <c r="I187" s="2"/>
      <c r="J187" s="2"/>
      <c r="K187" s="2"/>
      <c r="O187" s="58"/>
      <c r="P187" s="58"/>
    </row>
    <row r="188" spans="2:16">
      <c r="B188" s="587"/>
      <c r="C188" s="402"/>
      <c r="D188" s="151"/>
      <c r="E188" s="151"/>
      <c r="F188" s="156"/>
      <c r="G188" s="151"/>
      <c r="H188" s="481" t="s">
        <v>16</v>
      </c>
      <c r="I188" s="2"/>
      <c r="J188" s="2"/>
      <c r="K188" s="2"/>
      <c r="O188" s="58"/>
      <c r="P188" s="58"/>
    </row>
    <row r="189" spans="2:16">
      <c r="B189" s="587"/>
      <c r="C189" s="402"/>
      <c r="D189" s="151"/>
      <c r="E189" s="151"/>
      <c r="F189" s="156"/>
      <c r="G189" s="151"/>
      <c r="H189" s="481" t="s">
        <v>25</v>
      </c>
      <c r="I189" s="2"/>
      <c r="J189" s="2"/>
      <c r="K189" s="2"/>
      <c r="O189" s="58"/>
      <c r="P189" s="58"/>
    </row>
    <row r="190" spans="2:16">
      <c r="B190" s="587"/>
      <c r="C190" s="402"/>
      <c r="D190" s="151"/>
      <c r="E190" s="151"/>
      <c r="F190" s="156"/>
      <c r="G190" s="151"/>
      <c r="H190" s="481" t="s">
        <v>13</v>
      </c>
      <c r="I190" s="2"/>
      <c r="J190" s="2"/>
      <c r="K190" s="2"/>
      <c r="O190" s="58"/>
      <c r="P190" s="58"/>
    </row>
    <row r="191" spans="2:16">
      <c r="B191" s="587"/>
      <c r="C191" s="488"/>
      <c r="D191" s="165"/>
      <c r="E191" s="165"/>
      <c r="F191" s="195"/>
      <c r="G191" s="165"/>
      <c r="H191" s="393" t="s">
        <v>38</v>
      </c>
      <c r="I191" s="2"/>
      <c r="J191" s="2"/>
      <c r="K191" s="2"/>
      <c r="O191" s="58"/>
      <c r="P191" s="58"/>
    </row>
    <row r="192" spans="2:16">
      <c r="B192" s="587"/>
      <c r="C192" s="484"/>
      <c r="D192" s="164"/>
      <c r="E192" s="164"/>
      <c r="F192" s="197"/>
      <c r="G192" s="164"/>
      <c r="H192" s="485" t="s">
        <v>105</v>
      </c>
      <c r="I192" s="2"/>
      <c r="J192" s="2"/>
      <c r="K192" s="2"/>
      <c r="O192" s="58"/>
      <c r="P192" s="58"/>
    </row>
    <row r="193" spans="2:16">
      <c r="B193" s="587"/>
      <c r="C193" s="402"/>
      <c r="D193" s="151"/>
      <c r="E193" s="151"/>
      <c r="F193" s="156"/>
      <c r="G193" s="151"/>
      <c r="H193" s="481" t="s">
        <v>106</v>
      </c>
      <c r="I193" s="2"/>
      <c r="J193" s="2"/>
      <c r="K193" s="2"/>
      <c r="O193" s="58"/>
      <c r="P193" s="58"/>
    </row>
    <row r="194" spans="2:16">
      <c r="B194" s="587"/>
      <c r="C194" s="402"/>
      <c r="D194" s="151"/>
      <c r="E194" s="151"/>
      <c r="F194" s="156"/>
      <c r="G194" s="151"/>
      <c r="H194" s="481" t="s">
        <v>107</v>
      </c>
      <c r="I194" s="2"/>
      <c r="J194" s="2"/>
      <c r="K194" s="2"/>
      <c r="O194" s="58"/>
      <c r="P194" s="58"/>
    </row>
    <row r="195" spans="2:16">
      <c r="B195" s="587"/>
      <c r="C195" s="402"/>
      <c r="D195" s="151"/>
      <c r="E195" s="151"/>
      <c r="F195" s="156"/>
      <c r="G195" s="151"/>
      <c r="H195" s="481" t="s">
        <v>108</v>
      </c>
      <c r="I195" s="2"/>
      <c r="J195" s="2"/>
      <c r="K195" s="2"/>
      <c r="O195" s="58"/>
      <c r="P195" s="58"/>
    </row>
    <row r="196" spans="2:16">
      <c r="B196" s="587"/>
      <c r="C196" s="385"/>
      <c r="D196" s="151"/>
      <c r="E196" s="151"/>
      <c r="F196" s="156"/>
      <c r="G196" s="151"/>
      <c r="H196" s="388" t="s">
        <v>109</v>
      </c>
      <c r="I196" s="2"/>
      <c r="J196" s="2"/>
      <c r="K196" s="2"/>
      <c r="O196" s="58"/>
      <c r="P196" s="58"/>
    </row>
    <row r="197" spans="2:16">
      <c r="B197" s="587"/>
      <c r="C197" s="475"/>
      <c r="D197" s="236"/>
      <c r="E197" s="236"/>
      <c r="F197" s="496"/>
      <c r="G197" s="236"/>
      <c r="H197" s="379" t="s">
        <v>110</v>
      </c>
      <c r="I197" s="2">
        <f>SUM(E180:E197)</f>
        <v>0</v>
      </c>
      <c r="L197" s="2" t="e">
        <f>I197/C197</f>
        <v>#DIV/0!</v>
      </c>
      <c r="O197" s="58"/>
      <c r="P197" s="58"/>
    </row>
    <row r="198" spans="2:16">
      <c r="B198" s="603">
        <v>45989</v>
      </c>
      <c r="C198" s="389"/>
      <c r="D198" s="163"/>
      <c r="E198" s="163"/>
      <c r="F198" s="193"/>
      <c r="G198" s="163"/>
      <c r="H198" s="381" t="s">
        <v>46</v>
      </c>
      <c r="I198" s="2"/>
      <c r="J198" s="2"/>
      <c r="K198" s="2"/>
      <c r="O198" s="58"/>
      <c r="P198" s="58"/>
    </row>
    <row r="199" spans="2:16">
      <c r="B199" s="604"/>
      <c r="C199" s="480"/>
      <c r="D199" s="151"/>
      <c r="E199" s="151"/>
      <c r="F199" s="156"/>
      <c r="G199" s="151"/>
      <c r="H199" s="481" t="s">
        <v>51</v>
      </c>
      <c r="I199" s="2"/>
      <c r="J199" s="2"/>
      <c r="K199" s="2"/>
      <c r="O199" s="58"/>
      <c r="P199" s="58"/>
    </row>
    <row r="200" spans="2:16">
      <c r="B200" s="604"/>
      <c r="C200" s="480"/>
      <c r="D200" s="151"/>
      <c r="E200" s="151"/>
      <c r="F200" s="156"/>
      <c r="G200" s="151"/>
      <c r="H200" s="481" t="s">
        <v>64</v>
      </c>
      <c r="I200" s="2"/>
      <c r="J200" s="2"/>
      <c r="K200" s="2"/>
      <c r="O200" s="58"/>
      <c r="P200" s="58"/>
    </row>
    <row r="201" spans="2:16">
      <c r="B201" s="604"/>
      <c r="C201" s="480"/>
      <c r="D201" s="151"/>
      <c r="E201" s="151"/>
      <c r="F201" s="156"/>
      <c r="G201" s="151"/>
      <c r="H201" s="481" t="s">
        <v>11</v>
      </c>
      <c r="I201" s="2"/>
      <c r="J201" s="2"/>
      <c r="K201" s="2"/>
      <c r="O201" s="58"/>
      <c r="P201" s="58"/>
    </row>
    <row r="202" spans="2:16">
      <c r="B202" s="604"/>
      <c r="C202" s="480"/>
      <c r="D202" s="151"/>
      <c r="E202" s="151"/>
      <c r="F202" s="156"/>
      <c r="G202" s="151"/>
      <c r="H202" s="481" t="s">
        <v>34</v>
      </c>
      <c r="I202" s="2"/>
      <c r="J202" s="2"/>
      <c r="K202" s="2"/>
      <c r="O202" s="58"/>
      <c r="P202" s="58"/>
    </row>
    <row r="203" spans="2:16">
      <c r="B203" s="604"/>
      <c r="C203" s="480"/>
      <c r="D203" s="151"/>
      <c r="E203" s="151"/>
      <c r="F203" s="156"/>
      <c r="G203" s="151"/>
      <c r="H203" s="481" t="s">
        <v>12</v>
      </c>
      <c r="I203" s="2"/>
      <c r="J203" s="2"/>
      <c r="K203" s="2"/>
      <c r="O203" s="58"/>
      <c r="P203" s="58"/>
    </row>
    <row r="204" spans="2:16">
      <c r="B204" s="604"/>
      <c r="C204" s="483"/>
      <c r="D204" s="165"/>
      <c r="E204" s="165"/>
      <c r="F204" s="195"/>
      <c r="G204" s="165"/>
      <c r="H204" s="393" t="s">
        <v>26</v>
      </c>
      <c r="I204" s="2"/>
      <c r="J204" s="2"/>
      <c r="K204" s="2"/>
      <c r="O204" s="58"/>
      <c r="P204" s="58"/>
    </row>
    <row r="205" spans="2:16">
      <c r="B205" s="587"/>
      <c r="C205" s="484"/>
      <c r="D205" s="164"/>
      <c r="E205" s="164"/>
      <c r="F205" s="197"/>
      <c r="G205" s="164"/>
      <c r="H205" s="485" t="s">
        <v>14</v>
      </c>
      <c r="I205" s="2"/>
      <c r="J205" s="2"/>
      <c r="K205" s="2"/>
      <c r="O205" s="58"/>
      <c r="P205" s="58"/>
    </row>
    <row r="206" spans="2:16">
      <c r="B206" s="587"/>
      <c r="C206" s="402"/>
      <c r="D206" s="151"/>
      <c r="E206" s="151"/>
      <c r="F206" s="156"/>
      <c r="G206" s="151"/>
      <c r="H206" s="481" t="s">
        <v>28</v>
      </c>
      <c r="I206" s="2"/>
      <c r="J206" s="2"/>
      <c r="K206" s="2"/>
      <c r="O206" s="58"/>
      <c r="P206" s="58"/>
    </row>
    <row r="207" spans="2:16">
      <c r="B207" s="587"/>
      <c r="C207" s="402"/>
      <c r="D207" s="151"/>
      <c r="E207" s="151"/>
      <c r="F207" s="156"/>
      <c r="G207" s="151"/>
      <c r="H207" s="481" t="s">
        <v>97</v>
      </c>
      <c r="I207" s="2"/>
      <c r="J207" s="2"/>
      <c r="K207" s="2"/>
      <c r="O207" s="58"/>
      <c r="P207" s="58"/>
    </row>
    <row r="208" spans="2:16">
      <c r="B208" s="587"/>
      <c r="C208" s="402"/>
      <c r="D208" s="151"/>
      <c r="E208" s="151"/>
      <c r="F208" s="156"/>
      <c r="G208" s="151"/>
      <c r="H208" s="481" t="s">
        <v>47</v>
      </c>
      <c r="I208" s="2"/>
      <c r="J208" s="2"/>
      <c r="K208" s="2"/>
      <c r="O208" s="58"/>
      <c r="P208" s="58"/>
    </row>
    <row r="209" spans="2:16">
      <c r="B209" s="587"/>
      <c r="C209" s="488"/>
      <c r="D209" s="165"/>
      <c r="E209" s="165"/>
      <c r="F209" s="195"/>
      <c r="G209" s="165"/>
      <c r="H209" s="393" t="s">
        <v>18</v>
      </c>
      <c r="I209" s="2"/>
      <c r="J209" s="2"/>
      <c r="K209" s="2"/>
      <c r="O209" s="58"/>
      <c r="P209" s="58"/>
    </row>
    <row r="210" spans="2:16">
      <c r="B210" s="587"/>
      <c r="C210" s="484"/>
      <c r="D210" s="164"/>
      <c r="E210" s="164"/>
      <c r="F210" s="197"/>
      <c r="G210" s="164"/>
      <c r="H210" s="485" t="s">
        <v>111</v>
      </c>
      <c r="I210" s="2"/>
      <c r="J210" s="2"/>
      <c r="K210" s="2"/>
      <c r="O210" s="58"/>
      <c r="P210" s="58"/>
    </row>
    <row r="211" spans="2:16">
      <c r="B211" s="587"/>
      <c r="C211" s="402"/>
      <c r="D211" s="151"/>
      <c r="E211" s="151"/>
      <c r="F211" s="156"/>
      <c r="G211" s="151"/>
      <c r="H211" s="481" t="s">
        <v>112</v>
      </c>
      <c r="I211" s="2"/>
      <c r="J211" s="2"/>
      <c r="K211" s="2"/>
      <c r="O211" s="58"/>
      <c r="P211" s="58"/>
    </row>
    <row r="212" spans="2:16">
      <c r="B212" s="587"/>
      <c r="C212" s="402"/>
      <c r="D212" s="151"/>
      <c r="E212" s="151"/>
      <c r="F212" s="156"/>
      <c r="G212" s="151"/>
      <c r="H212" s="481" t="s">
        <v>113</v>
      </c>
      <c r="I212" s="2"/>
      <c r="J212" s="2"/>
      <c r="K212" s="2"/>
      <c r="O212" s="58"/>
      <c r="P212" s="58"/>
    </row>
    <row r="213" spans="2:16">
      <c r="B213" s="587"/>
      <c r="C213" s="402"/>
      <c r="D213" s="151"/>
      <c r="E213" s="151"/>
      <c r="F213" s="156"/>
      <c r="G213" s="151"/>
      <c r="H213" s="481" t="s">
        <v>114</v>
      </c>
      <c r="I213" s="2"/>
      <c r="J213" s="2"/>
      <c r="K213" s="2"/>
      <c r="O213" s="58"/>
      <c r="P213" s="58"/>
    </row>
    <row r="214" spans="2:16">
      <c r="B214" s="587"/>
      <c r="C214" s="402"/>
      <c r="D214" s="151"/>
      <c r="E214" s="151"/>
      <c r="F214" s="156"/>
      <c r="G214" s="151"/>
      <c r="H214" s="481" t="s">
        <v>115</v>
      </c>
      <c r="I214" s="2"/>
      <c r="J214" s="2"/>
      <c r="K214" s="2"/>
      <c r="O214" s="58"/>
      <c r="P214" s="58"/>
    </row>
    <row r="215" spans="2:16">
      <c r="B215" s="587"/>
      <c r="C215" s="473"/>
      <c r="D215" s="257"/>
      <c r="E215" s="257"/>
      <c r="F215" s="256"/>
      <c r="G215" s="257"/>
      <c r="H215" s="401" t="s">
        <v>116</v>
      </c>
      <c r="I215" s="2">
        <f>SUM(E198:E215)</f>
        <v>0</v>
      </c>
      <c r="L215" s="2" t="e">
        <f>I215/C215</f>
        <v>#DIV/0!</v>
      </c>
      <c r="O215" s="58"/>
      <c r="P215" s="58"/>
    </row>
    <row r="216" spans="2:16">
      <c r="B216" s="586">
        <v>45990</v>
      </c>
      <c r="C216" s="384"/>
      <c r="D216" s="163"/>
      <c r="E216" s="163"/>
      <c r="F216" s="193"/>
      <c r="G216" s="163"/>
      <c r="H216" s="381" t="s">
        <v>37</v>
      </c>
      <c r="I216" s="2"/>
      <c r="J216" s="2"/>
      <c r="K216" s="2"/>
      <c r="O216" s="58"/>
      <c r="P216" s="58"/>
    </row>
    <row r="217" spans="2:16">
      <c r="B217" s="587"/>
      <c r="C217" s="402"/>
      <c r="D217" s="151"/>
      <c r="E217" s="151"/>
      <c r="F217" s="156"/>
      <c r="G217" s="151"/>
      <c r="H217" s="481" t="s">
        <v>25</v>
      </c>
      <c r="I217" s="2"/>
      <c r="J217" s="2"/>
      <c r="K217" s="2"/>
      <c r="O217" s="58"/>
      <c r="P217" s="58"/>
    </row>
    <row r="218" spans="2:16">
      <c r="B218" s="587"/>
      <c r="C218" s="402"/>
      <c r="D218" s="151"/>
      <c r="E218" s="151"/>
      <c r="F218" s="156"/>
      <c r="G218" s="151"/>
      <c r="H218" s="481" t="s">
        <v>28</v>
      </c>
      <c r="I218" s="2"/>
      <c r="J218" s="2"/>
      <c r="K218" s="2"/>
      <c r="O218" s="58"/>
      <c r="P218" s="58"/>
    </row>
    <row r="219" spans="2:16">
      <c r="B219" s="587"/>
      <c r="C219" s="402"/>
      <c r="D219" s="151"/>
      <c r="E219" s="151"/>
      <c r="F219" s="156"/>
      <c r="G219" s="151"/>
      <c r="H219" s="481" t="s">
        <v>13</v>
      </c>
      <c r="I219" s="2"/>
      <c r="J219" s="2"/>
      <c r="K219" s="2"/>
      <c r="O219" s="58"/>
      <c r="P219" s="58"/>
    </row>
    <row r="220" spans="2:16">
      <c r="B220" s="587"/>
      <c r="C220" s="488"/>
      <c r="D220" s="165"/>
      <c r="E220" s="165"/>
      <c r="F220" s="195"/>
      <c r="G220" s="165"/>
      <c r="H220" s="393" t="s">
        <v>59</v>
      </c>
      <c r="I220" s="2"/>
      <c r="J220" s="2"/>
      <c r="K220" s="2"/>
      <c r="O220" s="58"/>
      <c r="P220" s="58"/>
    </row>
    <row r="221" spans="2:16">
      <c r="B221" s="587"/>
      <c r="C221" s="484"/>
      <c r="D221" s="151"/>
      <c r="E221" s="151"/>
      <c r="F221" s="156"/>
      <c r="G221" s="151"/>
      <c r="H221" s="481" t="s">
        <v>15</v>
      </c>
      <c r="I221" s="2"/>
      <c r="J221" s="2"/>
      <c r="K221" s="2"/>
      <c r="O221" s="58"/>
      <c r="P221" s="58"/>
    </row>
    <row r="222" spans="2:16">
      <c r="B222" s="587"/>
      <c r="C222" s="402"/>
      <c r="D222" s="151"/>
      <c r="E222" s="151"/>
      <c r="F222" s="156"/>
      <c r="G222" s="151"/>
      <c r="H222" s="481" t="s">
        <v>16</v>
      </c>
      <c r="I222" s="2"/>
      <c r="J222" s="2"/>
      <c r="K222" s="2"/>
      <c r="O222" s="58"/>
      <c r="P222" s="58"/>
    </row>
    <row r="223" spans="2:16">
      <c r="B223" s="587"/>
      <c r="C223" s="488"/>
      <c r="D223" s="165"/>
      <c r="E223" s="165"/>
      <c r="F223" s="195"/>
      <c r="G223" s="165"/>
      <c r="H223" s="393" t="s">
        <v>27</v>
      </c>
      <c r="I223" s="2"/>
      <c r="J223" s="2"/>
      <c r="K223" s="2"/>
      <c r="O223" s="58"/>
      <c r="P223" s="58"/>
    </row>
    <row r="224" spans="2:16">
      <c r="B224" s="587"/>
      <c r="C224" s="484"/>
      <c r="D224" s="164"/>
      <c r="E224" s="164"/>
      <c r="F224" s="197"/>
      <c r="G224" s="164"/>
      <c r="H224" s="485" t="s">
        <v>117</v>
      </c>
      <c r="I224" s="2"/>
      <c r="J224" s="2"/>
      <c r="K224" s="2"/>
      <c r="O224" s="58"/>
      <c r="P224" s="58"/>
    </row>
    <row r="225" spans="2:16">
      <c r="B225" s="587"/>
      <c r="C225" s="402"/>
      <c r="D225" s="151"/>
      <c r="E225" s="151"/>
      <c r="F225" s="156"/>
      <c r="G225" s="151"/>
      <c r="H225" s="481" t="s">
        <v>118</v>
      </c>
      <c r="I225" s="2"/>
      <c r="J225" s="2"/>
      <c r="K225" s="2"/>
      <c r="O225" s="58"/>
      <c r="P225" s="58"/>
    </row>
    <row r="226" spans="2:16">
      <c r="B226" s="587"/>
      <c r="C226" s="402"/>
      <c r="D226" s="151"/>
      <c r="E226" s="151"/>
      <c r="F226" s="156"/>
      <c r="G226" s="151"/>
      <c r="H226" s="481" t="s">
        <v>119</v>
      </c>
      <c r="I226" s="2"/>
      <c r="J226" s="2"/>
      <c r="K226" s="2"/>
      <c r="O226" s="58"/>
      <c r="P226" s="58"/>
    </row>
    <row r="227" spans="2:16">
      <c r="B227" s="587"/>
      <c r="C227" s="488"/>
      <c r="D227" s="165"/>
      <c r="E227" s="165"/>
      <c r="F227" s="195"/>
      <c r="G227" s="165"/>
      <c r="H227" s="393" t="s">
        <v>120</v>
      </c>
      <c r="I227" s="2">
        <f>SUM(E216:E227)</f>
        <v>0</v>
      </c>
      <c r="L227" s="2" t="e">
        <f>I227/C227</f>
        <v>#DIV/0!</v>
      </c>
      <c r="O227" s="58"/>
      <c r="P227" s="58"/>
    </row>
    <row r="228" spans="2:16">
      <c r="B228" s="586">
        <v>45991</v>
      </c>
      <c r="C228" s="384"/>
      <c r="D228" s="163"/>
      <c r="E228" s="163"/>
      <c r="F228" s="193"/>
      <c r="G228" s="163"/>
      <c r="H228" s="381" t="s">
        <v>53</v>
      </c>
      <c r="I228" s="2"/>
      <c r="J228" s="2"/>
      <c r="K228" s="2"/>
      <c r="O228" s="58"/>
      <c r="P228" s="58"/>
    </row>
    <row r="229" spans="2:16">
      <c r="B229" s="587"/>
      <c r="C229" s="402"/>
      <c r="D229" s="151"/>
      <c r="E229" s="151"/>
      <c r="F229" s="156"/>
      <c r="G229" s="151"/>
      <c r="H229" s="481" t="s">
        <v>37</v>
      </c>
      <c r="I229" s="2"/>
      <c r="J229" s="2"/>
      <c r="K229" s="2"/>
      <c r="O229" s="58"/>
      <c r="P229" s="58"/>
    </row>
    <row r="230" spans="2:16">
      <c r="B230" s="587"/>
      <c r="C230" s="402"/>
      <c r="D230" s="151"/>
      <c r="E230" s="151"/>
      <c r="F230" s="156"/>
      <c r="G230" s="151"/>
      <c r="H230" s="481" t="s">
        <v>14</v>
      </c>
      <c r="I230" s="2"/>
      <c r="J230" s="2"/>
      <c r="K230" s="2"/>
      <c r="O230" s="58"/>
      <c r="P230" s="58"/>
    </row>
    <row r="231" spans="2:16">
      <c r="B231" s="587"/>
      <c r="C231" s="402"/>
      <c r="D231" s="151"/>
      <c r="E231" s="151"/>
      <c r="F231" s="156"/>
      <c r="G231" s="151"/>
      <c r="H231" s="481" t="s">
        <v>12</v>
      </c>
      <c r="I231" s="2"/>
      <c r="J231" s="2"/>
      <c r="K231" s="2"/>
      <c r="O231" s="58"/>
      <c r="P231" s="58"/>
    </row>
    <row r="232" spans="2:16">
      <c r="B232" s="587"/>
      <c r="C232" s="488"/>
      <c r="D232" s="165"/>
      <c r="E232" s="165"/>
      <c r="F232" s="195"/>
      <c r="G232" s="165"/>
      <c r="H232" s="393" t="s">
        <v>26</v>
      </c>
      <c r="I232" s="2"/>
      <c r="J232" s="2"/>
      <c r="K232" s="2"/>
      <c r="O232" s="58"/>
      <c r="P232" s="58"/>
    </row>
    <row r="233" spans="2:16">
      <c r="B233" s="587"/>
      <c r="C233" s="484"/>
      <c r="D233" s="164"/>
      <c r="E233" s="164"/>
      <c r="F233" s="197"/>
      <c r="G233" s="164"/>
      <c r="H233" s="485" t="s">
        <v>47</v>
      </c>
      <c r="I233" s="2"/>
      <c r="J233" s="2"/>
      <c r="K233" s="2"/>
      <c r="O233" s="58"/>
      <c r="P233" s="58"/>
    </row>
    <row r="234" spans="2:16">
      <c r="B234" s="587"/>
      <c r="C234" s="488"/>
      <c r="D234" s="165"/>
      <c r="E234" s="165"/>
      <c r="F234" s="195"/>
      <c r="G234" s="165"/>
      <c r="H234" s="393" t="s">
        <v>51</v>
      </c>
      <c r="I234" s="2"/>
      <c r="J234" s="2"/>
      <c r="K234" s="2"/>
      <c r="O234" s="58"/>
      <c r="P234" s="58"/>
    </row>
    <row r="235" spans="2:16">
      <c r="B235" s="587"/>
      <c r="C235" s="484"/>
      <c r="D235" s="164"/>
      <c r="E235" s="164"/>
      <c r="F235" s="197"/>
      <c r="G235" s="164"/>
      <c r="H235" s="485" t="s">
        <v>121</v>
      </c>
      <c r="I235" s="2"/>
      <c r="J235" s="2"/>
      <c r="K235" s="2"/>
      <c r="O235" s="58"/>
      <c r="P235" s="58"/>
    </row>
    <row r="236" spans="2:16">
      <c r="B236" s="587"/>
      <c r="C236" s="402"/>
      <c r="D236" s="151"/>
      <c r="E236" s="151"/>
      <c r="F236" s="156"/>
      <c r="G236" s="151"/>
      <c r="H236" s="481" t="s">
        <v>122</v>
      </c>
      <c r="I236" s="2"/>
      <c r="J236" s="2"/>
      <c r="K236" s="2"/>
      <c r="O236" s="58"/>
      <c r="P236" s="58"/>
    </row>
    <row r="237" spans="2:16">
      <c r="B237" s="587"/>
      <c r="C237" s="402"/>
      <c r="D237" s="151"/>
      <c r="E237" s="151"/>
      <c r="F237" s="156"/>
      <c r="G237" s="151"/>
      <c r="H237" s="481" t="s">
        <v>123</v>
      </c>
      <c r="I237" s="2"/>
      <c r="J237" s="2"/>
      <c r="K237" s="2"/>
      <c r="O237" s="58"/>
      <c r="P237" s="58"/>
    </row>
    <row r="238" spans="2:16">
      <c r="B238" s="587"/>
      <c r="C238" s="488"/>
      <c r="D238" s="165"/>
      <c r="E238" s="165"/>
      <c r="F238" s="195"/>
      <c r="G238" s="165"/>
      <c r="H238" s="393" t="s">
        <v>124</v>
      </c>
      <c r="I238" s="490">
        <f>SUM(E228:E238)</f>
        <v>0</v>
      </c>
      <c r="J238" s="490">
        <f>SUM(E163:E238)</f>
        <v>0</v>
      </c>
      <c r="K238" s="490">
        <f>SUM(E2:E238)</f>
        <v>0</v>
      </c>
      <c r="L238" s="2" t="e">
        <f>I238/C238</f>
        <v>#DIV/0!</v>
      </c>
      <c r="M238" s="530" t="s">
        <v>125</v>
      </c>
      <c r="O238" s="58"/>
      <c r="P238" s="58"/>
    </row>
    <row r="239" spans="2:16">
      <c r="B239" s="586">
        <v>45992</v>
      </c>
      <c r="C239" s="484">
        <v>2.38</v>
      </c>
      <c r="D239" s="164"/>
      <c r="E239" s="164">
        <f t="shared" ref="E239:E258" si="0">(C239*D239)-C239</f>
        <v>-2.38</v>
      </c>
      <c r="F239" s="197">
        <f>SUM($E$2:E239)/SUM($C$2:C239)</f>
        <v>-1</v>
      </c>
      <c r="G239" s="164">
        <f t="shared" ref="G239:G258" si="1">G238+E239</f>
        <v>-2.38</v>
      </c>
      <c r="H239" s="485" t="s">
        <v>14</v>
      </c>
      <c r="I239" s="2"/>
      <c r="J239" s="2"/>
      <c r="K239" s="2"/>
      <c r="O239" s="58"/>
      <c r="P239" s="58"/>
    </row>
    <row r="240" spans="2:16">
      <c r="B240" s="587"/>
      <c r="C240" s="402">
        <v>2.38</v>
      </c>
      <c r="D240" s="151">
        <v>2</v>
      </c>
      <c r="E240" s="151">
        <f t="shared" si="0"/>
        <v>2.38</v>
      </c>
      <c r="F240" s="156">
        <f>SUM($E$2:E240)/SUM($C$2:C240)</f>
        <v>0</v>
      </c>
      <c r="G240" s="151">
        <f t="shared" si="1"/>
        <v>0</v>
      </c>
      <c r="H240" s="481" t="s">
        <v>46</v>
      </c>
      <c r="I240" s="2"/>
      <c r="J240" s="2"/>
      <c r="K240" s="2"/>
      <c r="O240" s="58"/>
      <c r="P240" s="58"/>
    </row>
    <row r="241" spans="2:16">
      <c r="B241" s="587"/>
      <c r="C241" s="402">
        <v>2.38</v>
      </c>
      <c r="D241" s="151">
        <v>1.8</v>
      </c>
      <c r="E241" s="151">
        <f t="shared" si="0"/>
        <v>1.9039999999999999</v>
      </c>
      <c r="F241" s="156">
        <f>SUM($E$2:E241)/SUM($C$2:C241)</f>
        <v>0.26666666666666666</v>
      </c>
      <c r="G241" s="151">
        <f t="shared" si="1"/>
        <v>1.9039999999999999</v>
      </c>
      <c r="H241" s="481" t="s">
        <v>18</v>
      </c>
      <c r="I241" s="2"/>
      <c r="J241" s="2"/>
      <c r="K241" s="2"/>
      <c r="O241" s="58"/>
      <c r="P241" s="58"/>
    </row>
    <row r="242" spans="2:16">
      <c r="B242" s="587"/>
      <c r="C242" s="402">
        <v>2.38</v>
      </c>
      <c r="D242" s="151">
        <v>1.91</v>
      </c>
      <c r="E242" s="151">
        <f t="shared" si="0"/>
        <v>2.1657999999999999</v>
      </c>
      <c r="F242" s="156">
        <f>SUM($E$2:E242)/SUM($C$2:C242)</f>
        <v>0.42749999999999999</v>
      </c>
      <c r="G242" s="151">
        <f t="shared" si="1"/>
        <v>4.0697999999999999</v>
      </c>
      <c r="H242" s="481" t="s">
        <v>35</v>
      </c>
      <c r="I242" s="2"/>
      <c r="J242" s="2"/>
      <c r="K242" s="2"/>
      <c r="O242" s="58"/>
      <c r="P242" s="58"/>
    </row>
    <row r="243" spans="2:16">
      <c r="B243" s="587"/>
      <c r="C243" s="402">
        <v>2.38</v>
      </c>
      <c r="D243" s="151">
        <v>1.9</v>
      </c>
      <c r="E243" s="151">
        <f t="shared" si="0"/>
        <v>2.1419999999999995</v>
      </c>
      <c r="F243" s="156">
        <f>SUM($E$2:E243)/SUM($C$2:C243)</f>
        <v>0.52200000000000002</v>
      </c>
      <c r="G243" s="151">
        <f t="shared" si="1"/>
        <v>6.2117999999999993</v>
      </c>
      <c r="H243" s="481" t="s">
        <v>17</v>
      </c>
      <c r="I243" s="2"/>
      <c r="J243" s="2"/>
      <c r="K243" s="2"/>
      <c r="O243" s="58"/>
      <c r="P243" s="58"/>
    </row>
    <row r="244" spans="2:16">
      <c r="B244" s="587"/>
      <c r="C244" s="402">
        <v>2.38</v>
      </c>
      <c r="D244" s="151">
        <v>1.9</v>
      </c>
      <c r="E244" s="151">
        <f t="shared" si="0"/>
        <v>2.1419999999999995</v>
      </c>
      <c r="F244" s="156">
        <f>SUM($E$2:E244)/SUM($C$2:C244)</f>
        <v>0.58500000000000008</v>
      </c>
      <c r="G244" s="151">
        <f t="shared" si="1"/>
        <v>8.3537999999999997</v>
      </c>
      <c r="H244" s="481" t="s">
        <v>53</v>
      </c>
      <c r="I244" s="2"/>
      <c r="J244" s="2"/>
      <c r="K244" s="2"/>
      <c r="O244" s="58"/>
      <c r="P244" s="58"/>
    </row>
    <row r="245" spans="2:16">
      <c r="B245" s="587"/>
      <c r="C245" s="488">
        <v>2.38</v>
      </c>
      <c r="D245" s="165">
        <v>1.9</v>
      </c>
      <c r="E245" s="165">
        <f t="shared" si="0"/>
        <v>2.1419999999999995</v>
      </c>
      <c r="F245" s="195">
        <f>SUM($E$2:E245)/SUM($C$2:C245)</f>
        <v>0.63000000000000012</v>
      </c>
      <c r="G245" s="165">
        <f t="shared" si="1"/>
        <v>10.495799999999999</v>
      </c>
      <c r="H245" s="393" t="s">
        <v>36</v>
      </c>
      <c r="I245" s="2"/>
      <c r="J245" s="2"/>
      <c r="K245" s="2"/>
      <c r="O245" s="58"/>
      <c r="P245" s="58"/>
    </row>
    <row r="246" spans="2:16">
      <c r="B246" s="587"/>
      <c r="C246" s="484">
        <v>2.38</v>
      </c>
      <c r="D246" s="164"/>
      <c r="E246" s="164">
        <f t="shared" si="0"/>
        <v>-2.38</v>
      </c>
      <c r="F246" s="197">
        <f>SUM($E$2:E246)/SUM($C$2:C246)</f>
        <v>0.42625000000000013</v>
      </c>
      <c r="G246" s="164">
        <f t="shared" si="1"/>
        <v>8.1158000000000001</v>
      </c>
      <c r="H246" s="485" t="s">
        <v>97</v>
      </c>
      <c r="I246" s="2"/>
      <c r="J246" s="2"/>
      <c r="K246" s="2"/>
      <c r="O246" s="58"/>
      <c r="P246" s="58"/>
    </row>
    <row r="247" spans="2:16">
      <c r="B247" s="587"/>
      <c r="C247" s="402">
        <v>2.38</v>
      </c>
      <c r="D247" s="151">
        <v>1.9</v>
      </c>
      <c r="E247" s="151">
        <f t="shared" si="0"/>
        <v>2.1419999999999995</v>
      </c>
      <c r="F247" s="156">
        <f>SUM($E$2:E247)/SUM($C$2:C247)</f>
        <v>0.47888888888888897</v>
      </c>
      <c r="G247" s="151">
        <f t="shared" si="1"/>
        <v>10.2578</v>
      </c>
      <c r="H247" s="481" t="s">
        <v>60</v>
      </c>
      <c r="I247" s="2"/>
      <c r="J247" s="2"/>
      <c r="K247" s="2"/>
      <c r="O247" s="58"/>
      <c r="P247" s="58"/>
    </row>
    <row r="248" spans="2:16">
      <c r="B248" s="587"/>
      <c r="C248" s="402">
        <v>2.38</v>
      </c>
      <c r="D248" s="151">
        <v>1.9</v>
      </c>
      <c r="E248" s="151">
        <f t="shared" si="0"/>
        <v>2.1419999999999995</v>
      </c>
      <c r="F248" s="156">
        <f>SUM($E$2:E248)/SUM($C$2:C248)</f>
        <v>0.52100000000000013</v>
      </c>
      <c r="G248" s="151">
        <f t="shared" si="1"/>
        <v>12.399799999999999</v>
      </c>
      <c r="H248" s="481" t="s">
        <v>11</v>
      </c>
      <c r="I248" s="2"/>
      <c r="J248" s="2"/>
      <c r="K248" s="2"/>
      <c r="O248" s="58"/>
      <c r="P248" s="58"/>
    </row>
    <row r="249" spans="2:16">
      <c r="B249" s="587"/>
      <c r="C249" s="402">
        <v>2.38</v>
      </c>
      <c r="D249" s="151">
        <v>1.9</v>
      </c>
      <c r="E249" s="151">
        <f t="shared" si="0"/>
        <v>2.1419999999999995</v>
      </c>
      <c r="F249" s="156">
        <f>SUM($E$2:E249)/SUM($C$2:C249)</f>
        <v>0.55545454545454553</v>
      </c>
      <c r="G249" s="151">
        <f t="shared" si="1"/>
        <v>14.541799999999999</v>
      </c>
      <c r="H249" s="481" t="s">
        <v>28</v>
      </c>
      <c r="I249" s="2"/>
      <c r="J249" s="2"/>
      <c r="K249" s="2"/>
      <c r="O249" s="58"/>
      <c r="P249" s="58"/>
    </row>
    <row r="250" spans="2:16">
      <c r="B250" s="587"/>
      <c r="C250" s="402">
        <v>2.38</v>
      </c>
      <c r="D250" s="151">
        <v>1.764</v>
      </c>
      <c r="E250" s="151">
        <f t="shared" si="0"/>
        <v>1.8183199999999999</v>
      </c>
      <c r="F250" s="156">
        <f>SUM($E$2:E250)/SUM($C$2:C250)</f>
        <v>0.57283333333333342</v>
      </c>
      <c r="G250" s="151">
        <f t="shared" si="1"/>
        <v>16.360119999999998</v>
      </c>
      <c r="H250" s="481" t="s">
        <v>47</v>
      </c>
      <c r="I250" s="2"/>
      <c r="J250" s="2"/>
      <c r="K250" s="2"/>
      <c r="O250" s="58"/>
      <c r="P250" s="58"/>
    </row>
    <row r="251" spans="2:16">
      <c r="B251" s="587"/>
      <c r="C251" s="488">
        <v>2.38</v>
      </c>
      <c r="D251" s="165"/>
      <c r="E251" s="165">
        <f t="shared" si="0"/>
        <v>-2.38</v>
      </c>
      <c r="F251" s="195">
        <f>SUM($E$2:E251)/SUM($C$2:C251)</f>
        <v>0.45184615384615395</v>
      </c>
      <c r="G251" s="165">
        <f t="shared" si="1"/>
        <v>13.980119999999999</v>
      </c>
      <c r="H251" s="393" t="s">
        <v>10</v>
      </c>
      <c r="I251" s="2"/>
      <c r="J251" s="2"/>
      <c r="K251" s="2"/>
      <c r="O251" s="58"/>
      <c r="P251" s="58"/>
    </row>
    <row r="252" spans="2:16">
      <c r="B252" s="587"/>
      <c r="C252" s="484">
        <v>2.38</v>
      </c>
      <c r="D252" s="164"/>
      <c r="E252" s="164">
        <f t="shared" si="0"/>
        <v>-2.38</v>
      </c>
      <c r="F252" s="197">
        <f>SUM($E$2:E252)/SUM($C$2:C252)</f>
        <v>0.34814285714285725</v>
      </c>
      <c r="G252" s="164">
        <f t="shared" si="1"/>
        <v>11.60012</v>
      </c>
      <c r="H252" s="485" t="s">
        <v>126</v>
      </c>
      <c r="I252" s="2"/>
      <c r="J252" s="2"/>
      <c r="K252" s="2"/>
      <c r="O252" s="58"/>
      <c r="P252" s="58"/>
    </row>
    <row r="253" spans="2:16">
      <c r="B253" s="587"/>
      <c r="C253" s="402">
        <v>2.38</v>
      </c>
      <c r="D253" s="151">
        <v>1.73</v>
      </c>
      <c r="E253" s="151">
        <f t="shared" si="0"/>
        <v>1.7374000000000001</v>
      </c>
      <c r="F253" s="156">
        <f>SUM($E$2:E253)/SUM($C$2:C253)</f>
        <v>0.3736000000000001</v>
      </c>
      <c r="G253" s="151">
        <f t="shared" si="1"/>
        <v>13.337520000000001</v>
      </c>
      <c r="H253" s="481" t="s">
        <v>127</v>
      </c>
      <c r="I253" s="2"/>
      <c r="J253" s="2"/>
      <c r="K253" s="2"/>
      <c r="O253" s="58"/>
      <c r="P253" s="58"/>
    </row>
    <row r="254" spans="2:16">
      <c r="B254" s="587"/>
      <c r="C254" s="402">
        <v>2.38</v>
      </c>
      <c r="D254" s="151">
        <v>1.714</v>
      </c>
      <c r="E254" s="151">
        <f t="shared" si="0"/>
        <v>1.6993200000000002</v>
      </c>
      <c r="F254" s="156">
        <f>SUM($E$2:E254)/SUM($C$2:C254)</f>
        <v>0.39487500000000003</v>
      </c>
      <c r="G254" s="151">
        <f t="shared" si="1"/>
        <v>15.036840000000002</v>
      </c>
      <c r="H254" s="481" t="s">
        <v>128</v>
      </c>
      <c r="I254" s="2"/>
      <c r="J254" s="2"/>
      <c r="K254" s="2"/>
      <c r="O254" s="58"/>
      <c r="P254" s="58"/>
    </row>
    <row r="255" spans="2:16">
      <c r="B255" s="587"/>
      <c r="C255" s="402">
        <v>2.38</v>
      </c>
      <c r="D255" s="151"/>
      <c r="E255" s="151">
        <f t="shared" si="0"/>
        <v>-2.38</v>
      </c>
      <c r="F255" s="156">
        <f>SUM($E$2:E255)/SUM($C$2:C255)</f>
        <v>0.31282352941176478</v>
      </c>
      <c r="G255" s="151">
        <f t="shared" si="1"/>
        <v>12.656840000000003</v>
      </c>
      <c r="H255" s="481" t="s">
        <v>129</v>
      </c>
      <c r="I255" s="2"/>
      <c r="J255" s="2"/>
      <c r="K255" s="2"/>
      <c r="O255" s="58"/>
      <c r="P255" s="58"/>
    </row>
    <row r="256" spans="2:16">
      <c r="B256" s="587"/>
      <c r="C256" s="402">
        <v>2.38</v>
      </c>
      <c r="D256" s="151">
        <v>1.73</v>
      </c>
      <c r="E256" s="151">
        <f t="shared" si="0"/>
        <v>1.7374000000000001</v>
      </c>
      <c r="F256" s="156">
        <f>SUM($E$2:E256)/SUM($C$2:C256)</f>
        <v>0.33600000000000008</v>
      </c>
      <c r="G256" s="151">
        <f t="shared" si="1"/>
        <v>14.394240000000003</v>
      </c>
      <c r="H256" s="481" t="s">
        <v>130</v>
      </c>
      <c r="I256" s="2"/>
      <c r="J256" s="2"/>
      <c r="K256" s="2"/>
      <c r="O256" s="58"/>
      <c r="P256" s="58"/>
    </row>
    <row r="257" spans="2:16">
      <c r="B257" s="587"/>
      <c r="C257" s="402">
        <v>2.38</v>
      </c>
      <c r="D257" s="151">
        <v>1.712</v>
      </c>
      <c r="E257" s="151">
        <f t="shared" si="0"/>
        <v>1.6945600000000001</v>
      </c>
      <c r="F257" s="156">
        <f>SUM($E$2:E257)/SUM($C$2:C257)</f>
        <v>0.35578947368421054</v>
      </c>
      <c r="G257" s="151">
        <f t="shared" si="1"/>
        <v>16.088800000000003</v>
      </c>
      <c r="H257" s="481" t="s">
        <v>121</v>
      </c>
      <c r="I257" s="2"/>
      <c r="J257" s="2"/>
      <c r="K257" s="2"/>
      <c r="O257" s="58"/>
      <c r="P257" s="58"/>
    </row>
    <row r="258" spans="2:16">
      <c r="B258" s="587"/>
      <c r="C258" s="488">
        <v>2.38</v>
      </c>
      <c r="D258" s="165">
        <v>1.712</v>
      </c>
      <c r="E258" s="165">
        <f t="shared" si="0"/>
        <v>1.6945600000000001</v>
      </c>
      <c r="F258" s="195">
        <f>SUM($E$2:E258)/SUM($C$2:C258)</f>
        <v>0.37359999999999999</v>
      </c>
      <c r="G258" s="165">
        <f t="shared" si="1"/>
        <v>17.783360000000002</v>
      </c>
      <c r="H258" s="393" t="s">
        <v>131</v>
      </c>
      <c r="I258" s="2">
        <f>SUM(E239:E258)</f>
        <v>17.783360000000002</v>
      </c>
      <c r="L258" s="2">
        <f>I258/C258</f>
        <v>7.4720000000000013</v>
      </c>
      <c r="O258" s="58"/>
      <c r="P258" s="58"/>
    </row>
    <row r="259" spans="2:16">
      <c r="B259" s="586">
        <v>45993</v>
      </c>
      <c r="C259" s="484">
        <v>3.66</v>
      </c>
      <c r="D259" s="164"/>
      <c r="E259" s="164">
        <f t="shared" ref="E259:E275" si="2">(C259*D259)-C259</f>
        <v>-3.66</v>
      </c>
      <c r="F259" s="197">
        <f>SUM($E$2:E259)/SUM($C$2:C259)</f>
        <v>0.27552399531798671</v>
      </c>
      <c r="G259" s="164">
        <f t="shared" ref="G259:G275" si="3">G258+E259</f>
        <v>14.123360000000002</v>
      </c>
      <c r="H259" s="485" t="s">
        <v>11</v>
      </c>
      <c r="I259" s="2"/>
      <c r="J259" s="2"/>
      <c r="K259" s="2"/>
      <c r="O259" s="58"/>
      <c r="P259" s="58"/>
    </row>
    <row r="260" spans="2:16">
      <c r="B260" s="587"/>
      <c r="C260" s="402">
        <v>3.66</v>
      </c>
      <c r="D260" s="151">
        <v>1.798</v>
      </c>
      <c r="E260" s="151">
        <f t="shared" si="2"/>
        <v>2.9206799999999999</v>
      </c>
      <c r="F260" s="156">
        <f>SUM($E$2:E260)/SUM($C$2:C260)</f>
        <v>0.31034304442825933</v>
      </c>
      <c r="G260" s="151">
        <f t="shared" si="3"/>
        <v>17.044040000000003</v>
      </c>
      <c r="H260" s="481" t="s">
        <v>52</v>
      </c>
      <c r="I260" s="2"/>
      <c r="J260" s="2"/>
      <c r="K260" s="2"/>
      <c r="O260" s="58"/>
      <c r="P260" s="58"/>
    </row>
    <row r="261" spans="2:16">
      <c r="B261" s="587"/>
      <c r="C261" s="402">
        <v>3.66</v>
      </c>
      <c r="D261" s="151">
        <v>1.9</v>
      </c>
      <c r="E261" s="151">
        <f t="shared" si="2"/>
        <v>3.2939999999999996</v>
      </c>
      <c r="F261" s="156">
        <f>SUM($E$2:E261)/SUM($C$2:C261)</f>
        <v>0.34718402185046099</v>
      </c>
      <c r="G261" s="151">
        <f t="shared" si="3"/>
        <v>20.338040000000003</v>
      </c>
      <c r="H261" s="481" t="s">
        <v>104</v>
      </c>
      <c r="I261" s="2"/>
      <c r="J261" s="2"/>
      <c r="K261" s="2"/>
      <c r="O261" s="58"/>
      <c r="P261" s="58"/>
    </row>
    <row r="262" spans="2:16">
      <c r="B262" s="587"/>
      <c r="C262" s="402">
        <v>3.66</v>
      </c>
      <c r="D262" s="151">
        <v>1.9</v>
      </c>
      <c r="E262" s="151">
        <f t="shared" si="2"/>
        <v>3.2939999999999996</v>
      </c>
      <c r="F262" s="156">
        <f>SUM($E$2:E262)/SUM($C$2:C262)</f>
        <v>0.37969215938303352</v>
      </c>
      <c r="G262" s="151">
        <f t="shared" si="3"/>
        <v>23.632040000000003</v>
      </c>
      <c r="H262" s="481" t="s">
        <v>26</v>
      </c>
      <c r="I262" s="2"/>
      <c r="J262" s="2"/>
      <c r="K262" s="2"/>
      <c r="O262" s="58"/>
      <c r="P262" s="58"/>
    </row>
    <row r="263" spans="2:16">
      <c r="B263" s="587"/>
      <c r="C263" s="488">
        <v>3.66</v>
      </c>
      <c r="D263" s="165">
        <v>1.8069999999999999</v>
      </c>
      <c r="E263" s="165">
        <f t="shared" si="2"/>
        <v>2.9536199999999999</v>
      </c>
      <c r="F263" s="195">
        <f>SUM($E$2:E263)/SUM($C$2:C263)</f>
        <v>0.40342427921092577</v>
      </c>
      <c r="G263" s="165">
        <f t="shared" si="3"/>
        <v>26.585660000000004</v>
      </c>
      <c r="H263" s="393" t="s">
        <v>30</v>
      </c>
      <c r="I263" s="2"/>
      <c r="J263" s="2"/>
      <c r="K263" s="2"/>
      <c r="O263" s="58"/>
      <c r="P263" s="58"/>
    </row>
    <row r="264" spans="2:16">
      <c r="B264" s="587"/>
      <c r="C264" s="484">
        <v>3.66</v>
      </c>
      <c r="D264" s="164"/>
      <c r="E264" s="164">
        <f t="shared" si="2"/>
        <v>-3.66</v>
      </c>
      <c r="F264" s="197">
        <f>SUM($E$2:E264)/SUM($C$2:C264)</f>
        <v>0.3295810810810812</v>
      </c>
      <c r="G264" s="164">
        <f t="shared" si="3"/>
        <v>22.925660000000004</v>
      </c>
      <c r="H264" s="485" t="s">
        <v>51</v>
      </c>
      <c r="I264" s="2"/>
      <c r="J264" s="2"/>
      <c r="K264" s="2"/>
      <c r="O264" s="58"/>
      <c r="P264" s="58"/>
    </row>
    <row r="265" spans="2:16">
      <c r="B265" s="587"/>
      <c r="C265" s="402">
        <v>3.66</v>
      </c>
      <c r="D265" s="151">
        <v>1.9</v>
      </c>
      <c r="E265" s="151">
        <f t="shared" si="2"/>
        <v>3.2939999999999996</v>
      </c>
      <c r="F265" s="156">
        <f>SUM($E$2:E265)/SUM($C$2:C265)</f>
        <v>0.35809423654739159</v>
      </c>
      <c r="G265" s="151">
        <f t="shared" si="3"/>
        <v>26.219660000000005</v>
      </c>
      <c r="H265" s="481" t="s">
        <v>25</v>
      </c>
      <c r="I265" s="2"/>
      <c r="J265" s="2"/>
      <c r="K265" s="2"/>
      <c r="O265" s="58"/>
      <c r="P265" s="58"/>
    </row>
    <row r="266" spans="2:16">
      <c r="B266" s="587"/>
      <c r="C266" s="402">
        <v>3.66</v>
      </c>
      <c r="D266" s="151">
        <v>1.9390000000000001</v>
      </c>
      <c r="E266" s="151">
        <f t="shared" si="2"/>
        <v>3.4367400000000004</v>
      </c>
      <c r="F266" s="156">
        <f>SUM($E$2:E266)/SUM($C$2:C266)</f>
        <v>0.38574921956295544</v>
      </c>
      <c r="G266" s="151">
        <f t="shared" si="3"/>
        <v>29.656400000000005</v>
      </c>
      <c r="H266" s="481" t="s">
        <v>37</v>
      </c>
      <c r="I266" s="2"/>
      <c r="J266" s="2"/>
      <c r="K266" s="2"/>
      <c r="O266" s="58"/>
      <c r="P266" s="58"/>
    </row>
    <row r="267" spans="2:16">
      <c r="B267" s="587"/>
      <c r="C267" s="402">
        <v>3.66</v>
      </c>
      <c r="D267" s="151">
        <v>1.9</v>
      </c>
      <c r="E267" s="151">
        <f t="shared" si="2"/>
        <v>3.2939999999999996</v>
      </c>
      <c r="F267" s="156">
        <f>SUM($E$2:E267)/SUM($C$2:C267)</f>
        <v>0.40911845045939921</v>
      </c>
      <c r="G267" s="151">
        <f t="shared" si="3"/>
        <v>32.950400000000002</v>
      </c>
      <c r="H267" s="481" t="s">
        <v>13</v>
      </c>
      <c r="I267" s="2"/>
      <c r="J267" s="2"/>
      <c r="K267" s="2"/>
      <c r="O267" s="58"/>
      <c r="P267" s="58"/>
    </row>
    <row r="268" spans="2:16">
      <c r="B268" s="587"/>
      <c r="C268" s="402">
        <v>3.66</v>
      </c>
      <c r="D268" s="151">
        <v>1.9390000000000001</v>
      </c>
      <c r="E268" s="151">
        <f t="shared" si="2"/>
        <v>3.4367400000000004</v>
      </c>
      <c r="F268" s="156">
        <f>SUM($E$2:E268)/SUM($C$2:C268)</f>
        <v>0.43215130641330179</v>
      </c>
      <c r="G268" s="151">
        <f t="shared" si="3"/>
        <v>36.387140000000002</v>
      </c>
      <c r="H268" s="481" t="s">
        <v>12</v>
      </c>
      <c r="I268" s="2"/>
      <c r="J268" s="2"/>
      <c r="K268" s="2"/>
      <c r="O268" s="58"/>
      <c r="P268" s="58"/>
    </row>
    <row r="269" spans="2:16">
      <c r="B269" s="587"/>
      <c r="C269" s="488">
        <v>3.66</v>
      </c>
      <c r="D269" s="165">
        <v>1.798</v>
      </c>
      <c r="E269" s="165">
        <f t="shared" si="2"/>
        <v>2.9206799999999999</v>
      </c>
      <c r="F269" s="195">
        <f>SUM($E$2:E269)/SUM($C$2:C269)</f>
        <v>0.44739153198269987</v>
      </c>
      <c r="G269" s="165">
        <f t="shared" si="3"/>
        <v>39.30782</v>
      </c>
      <c r="H269" s="393" t="s">
        <v>27</v>
      </c>
      <c r="I269" s="2"/>
      <c r="J269" s="2"/>
      <c r="K269" s="2"/>
      <c r="O269" s="58"/>
      <c r="P269" s="58"/>
    </row>
    <row r="270" spans="2:16">
      <c r="B270" s="587"/>
      <c r="C270" s="484">
        <v>3.66</v>
      </c>
      <c r="D270" s="164"/>
      <c r="E270" s="164">
        <f t="shared" si="2"/>
        <v>-3.66</v>
      </c>
      <c r="F270" s="197">
        <f>SUM($E$2:E270)/SUM($C$2:C270)</f>
        <v>0.38950852272727282</v>
      </c>
      <c r="G270" s="164">
        <f t="shared" si="3"/>
        <v>35.647819999999996</v>
      </c>
      <c r="H270" s="485" t="s">
        <v>132</v>
      </c>
      <c r="I270" s="2"/>
      <c r="J270" s="2"/>
      <c r="K270" s="2"/>
      <c r="O270" s="58"/>
      <c r="P270" s="58"/>
    </row>
    <row r="271" spans="2:16">
      <c r="B271" s="587"/>
      <c r="C271" s="402">
        <v>3.66</v>
      </c>
      <c r="D271" s="151">
        <v>1.714</v>
      </c>
      <c r="E271" s="151">
        <f t="shared" si="2"/>
        <v>2.6132400000000002</v>
      </c>
      <c r="F271" s="156">
        <f>SUM($E$2:E271)/SUM($C$2:C271)</f>
        <v>0.40198634166841779</v>
      </c>
      <c r="G271" s="151">
        <f t="shared" si="3"/>
        <v>38.261059999999993</v>
      </c>
      <c r="H271" s="481" t="s">
        <v>133</v>
      </c>
      <c r="I271" s="2"/>
      <c r="J271" s="2"/>
      <c r="K271" s="2"/>
      <c r="O271" s="58"/>
      <c r="P271" s="58"/>
    </row>
    <row r="272" spans="2:16">
      <c r="B272" s="587"/>
      <c r="C272" s="402">
        <v>3.66</v>
      </c>
      <c r="D272" s="151">
        <v>1.712</v>
      </c>
      <c r="E272" s="151">
        <f t="shared" si="2"/>
        <v>2.6059200000000002</v>
      </c>
      <c r="F272" s="156">
        <f>SUM($E$2:E272)/SUM($C$2:C272)</f>
        <v>0.41346600566572245</v>
      </c>
      <c r="G272" s="151">
        <f t="shared" si="3"/>
        <v>40.866979999999991</v>
      </c>
      <c r="H272" s="481" t="s">
        <v>134</v>
      </c>
      <c r="I272" s="2"/>
      <c r="J272" s="2"/>
      <c r="K272" s="2"/>
      <c r="O272" s="58"/>
      <c r="P272" s="58"/>
    </row>
    <row r="273" spans="2:16">
      <c r="B273" s="587"/>
      <c r="C273" s="402">
        <v>3.66</v>
      </c>
      <c r="D273" s="151">
        <v>1.712</v>
      </c>
      <c r="E273" s="151">
        <f t="shared" si="2"/>
        <v>2.6059200000000002</v>
      </c>
      <c r="F273" s="156">
        <f>SUM($E$2:E273)/SUM($C$2:C273)</f>
        <v>0.42412585365853667</v>
      </c>
      <c r="G273" s="151">
        <f t="shared" si="3"/>
        <v>43.472899999999989</v>
      </c>
      <c r="H273" s="481" t="s">
        <v>135</v>
      </c>
      <c r="I273" s="2"/>
      <c r="J273" s="2"/>
      <c r="K273" s="2"/>
      <c r="O273" s="58"/>
      <c r="P273" s="58"/>
    </row>
    <row r="274" spans="2:16">
      <c r="B274" s="587"/>
      <c r="C274" s="402">
        <v>3.66</v>
      </c>
      <c r="D274" s="151">
        <v>1.714</v>
      </c>
      <c r="E274" s="151">
        <f t="shared" si="2"/>
        <v>2.6132400000000002</v>
      </c>
      <c r="F274" s="156">
        <f>SUM($E$2:E274)/SUM($C$2:C274)</f>
        <v>0.43411963074604376</v>
      </c>
      <c r="G274" s="151">
        <f t="shared" si="3"/>
        <v>46.086139999999986</v>
      </c>
      <c r="H274" s="481" t="s">
        <v>78</v>
      </c>
      <c r="I274" s="2"/>
      <c r="J274" s="2"/>
      <c r="K274" s="2"/>
      <c r="O274" s="58"/>
      <c r="P274" s="58"/>
    </row>
    <row r="275" spans="2:16">
      <c r="B275" s="587"/>
      <c r="C275" s="491">
        <v>3.66</v>
      </c>
      <c r="D275" s="257">
        <v>1.726</v>
      </c>
      <c r="E275" s="257">
        <f t="shared" si="2"/>
        <v>2.6571600000000002</v>
      </c>
      <c r="F275" s="256">
        <f>SUM($E$2:E275)/SUM($C$2:C275)</f>
        <v>0.44384720451648157</v>
      </c>
      <c r="G275" s="257">
        <f t="shared" si="3"/>
        <v>48.743299999999984</v>
      </c>
      <c r="H275" s="492" t="s">
        <v>136</v>
      </c>
      <c r="I275" s="2">
        <f>SUM(E259:E275)</f>
        <v>30.959940000000007</v>
      </c>
      <c r="L275" s="2">
        <f>I275/C275</f>
        <v>8.4590000000000014</v>
      </c>
      <c r="O275" s="58"/>
      <c r="P275" s="58"/>
    </row>
    <row r="276" spans="2:16">
      <c r="B276" s="586">
        <v>45994</v>
      </c>
      <c r="C276" s="484">
        <v>2.56</v>
      </c>
      <c r="D276" s="164">
        <v>1.798</v>
      </c>
      <c r="E276" s="164">
        <f t="shared" ref="E276:E293" si="4">(C276*D276)-C276</f>
        <v>2.0428799999999998</v>
      </c>
      <c r="F276" s="197">
        <f>SUM($E$2:E276)/SUM($C$2:C276)</f>
        <v>0.45191475351486032</v>
      </c>
      <c r="G276" s="164">
        <f t="shared" ref="G276:G284" si="5">G275+E276</f>
        <v>50.78617999999998</v>
      </c>
      <c r="H276" s="485" t="s">
        <v>52</v>
      </c>
      <c r="I276" s="2"/>
      <c r="J276" s="2"/>
      <c r="K276" s="2"/>
      <c r="O276" s="58"/>
      <c r="P276" s="58"/>
    </row>
    <row r="277" spans="2:16">
      <c r="B277" s="587"/>
      <c r="C277" s="402">
        <v>2.56</v>
      </c>
      <c r="D277" s="151">
        <v>1.9</v>
      </c>
      <c r="E277" s="151">
        <f t="shared" si="4"/>
        <v>2.3039999999999998</v>
      </c>
      <c r="F277" s="156">
        <f>SUM($E$2:E277)/SUM($C$2:C277)</f>
        <v>0.46189472768400908</v>
      </c>
      <c r="G277" s="151">
        <f t="shared" si="5"/>
        <v>53.090179999999982</v>
      </c>
      <c r="H277" s="481" t="s">
        <v>12</v>
      </c>
      <c r="I277" s="2"/>
      <c r="J277" s="2"/>
      <c r="K277" s="2"/>
      <c r="O277" s="58"/>
      <c r="P277" s="58"/>
    </row>
    <row r="278" spans="2:16">
      <c r="B278" s="587"/>
      <c r="C278" s="402">
        <v>2.56</v>
      </c>
      <c r="D278" s="151">
        <v>1.9</v>
      </c>
      <c r="E278" s="151">
        <f t="shared" si="4"/>
        <v>2.3039999999999998</v>
      </c>
      <c r="F278" s="156">
        <f>SUM($E$2:E278)/SUM($C$2:C278)</f>
        <v>0.47143982978723409</v>
      </c>
      <c r="G278" s="151">
        <f t="shared" si="5"/>
        <v>55.394179999999984</v>
      </c>
      <c r="H278" s="481" t="s">
        <v>18</v>
      </c>
      <c r="I278" s="2"/>
      <c r="J278" s="2"/>
      <c r="K278" s="2"/>
      <c r="O278" s="58"/>
      <c r="P278" s="58"/>
    </row>
    <row r="279" spans="2:16">
      <c r="B279" s="587"/>
      <c r="C279" s="402">
        <v>2.56</v>
      </c>
      <c r="D279" s="151"/>
      <c r="E279" s="151">
        <f t="shared" si="4"/>
        <v>-2.56</v>
      </c>
      <c r="F279" s="156">
        <f>SUM($E$2:E279)/SUM($C$2:C279)</f>
        <v>0.44006480093286687</v>
      </c>
      <c r="G279" s="151">
        <f t="shared" si="5"/>
        <v>52.834179999999982</v>
      </c>
      <c r="H279" s="481" t="s">
        <v>15</v>
      </c>
      <c r="I279" s="2"/>
      <c r="J279" s="2"/>
      <c r="K279" s="2"/>
      <c r="O279" s="58"/>
      <c r="P279" s="58"/>
    </row>
    <row r="280" spans="2:16">
      <c r="B280" s="587"/>
      <c r="C280" s="402">
        <v>2.56</v>
      </c>
      <c r="D280" s="151">
        <v>1.8620000000000001</v>
      </c>
      <c r="E280" s="151">
        <f t="shared" si="4"/>
        <v>2.2067200000000002</v>
      </c>
      <c r="F280" s="156">
        <f>SUM($E$2:E280)/SUM($C$2:C280)</f>
        <v>0.44887375632033921</v>
      </c>
      <c r="G280" s="151">
        <f t="shared" si="5"/>
        <v>55.040899999999979</v>
      </c>
      <c r="H280" s="481" t="s">
        <v>28</v>
      </c>
      <c r="I280" s="2"/>
      <c r="J280" s="2"/>
      <c r="K280" s="2"/>
      <c r="O280" s="58"/>
      <c r="P280" s="58"/>
    </row>
    <row r="281" spans="2:16">
      <c r="B281" s="587"/>
      <c r="C281" s="402">
        <v>2.56</v>
      </c>
      <c r="D281" s="151"/>
      <c r="E281" s="151">
        <f t="shared" si="4"/>
        <v>-2.56</v>
      </c>
      <c r="F281" s="156">
        <f>SUM($E$2:E281)/SUM($C$2:C281)</f>
        <v>0.41924348937529948</v>
      </c>
      <c r="G281" s="151">
        <f t="shared" si="5"/>
        <v>52.480899999999977</v>
      </c>
      <c r="H281" s="481" t="s">
        <v>38</v>
      </c>
      <c r="I281" s="2"/>
      <c r="J281" s="2"/>
      <c r="K281" s="2"/>
      <c r="O281" s="58"/>
      <c r="P281" s="58"/>
    </row>
    <row r="282" spans="2:16">
      <c r="B282" s="587"/>
      <c r="C282" s="403">
        <v>2.56</v>
      </c>
      <c r="D282" s="152"/>
      <c r="E282" s="152">
        <f t="shared" si="4"/>
        <v>-2.56</v>
      </c>
      <c r="F282" s="192">
        <f>SUM($E$2:E282)/SUM($C$2:C282)</f>
        <v>0.3908008454673555</v>
      </c>
      <c r="G282" s="152">
        <f t="shared" si="5"/>
        <v>49.920899999999975</v>
      </c>
      <c r="H282" s="394" t="s">
        <v>16</v>
      </c>
      <c r="I282" s="2"/>
      <c r="J282" s="2"/>
      <c r="K282" s="2"/>
      <c r="O282" s="58"/>
      <c r="P282" s="58"/>
    </row>
    <row r="283" spans="2:16">
      <c r="B283" s="604"/>
      <c r="C283" s="493">
        <v>2.56</v>
      </c>
      <c r="D283" s="163">
        <v>1.8620000000000001</v>
      </c>
      <c r="E283" s="163">
        <f t="shared" si="4"/>
        <v>2.2067200000000002</v>
      </c>
      <c r="F283" s="193">
        <f>SUM($E$2:E283)/SUM($C$2:C283)</f>
        <v>0.40005848042977737</v>
      </c>
      <c r="G283" s="163">
        <f t="shared" si="5"/>
        <v>52.127619999999972</v>
      </c>
      <c r="H283" s="482" t="s">
        <v>60</v>
      </c>
      <c r="I283" s="2"/>
      <c r="J283" s="2"/>
      <c r="K283" s="2"/>
      <c r="O283" s="58"/>
      <c r="P283" s="58"/>
    </row>
    <row r="284" spans="2:16">
      <c r="B284" s="604"/>
      <c r="C284" s="480">
        <v>2.56</v>
      </c>
      <c r="D284" s="151"/>
      <c r="E284" s="151">
        <f t="shared" si="4"/>
        <v>-2.56</v>
      </c>
      <c r="F284" s="156">
        <f>SUM($E$2:E284)/SUM($C$2:C284)</f>
        <v>0.37308158964323335</v>
      </c>
      <c r="G284" s="151">
        <f t="shared" si="5"/>
        <v>49.56761999999997</v>
      </c>
      <c r="H284" s="481" t="s">
        <v>14</v>
      </c>
      <c r="I284" s="2"/>
      <c r="J284" s="2"/>
      <c r="K284" s="2"/>
      <c r="O284" s="58"/>
      <c r="P284" s="58"/>
    </row>
    <row r="285" spans="2:16">
      <c r="B285" s="604"/>
      <c r="C285" s="480">
        <v>2.56</v>
      </c>
      <c r="D285" s="151"/>
      <c r="E285" s="151">
        <f t="shared" si="4"/>
        <v>-2.56</v>
      </c>
      <c r="F285" s="156">
        <f>SUM($E$2:E285)/SUM($C$2:C285)</f>
        <v>0.34712464923940323</v>
      </c>
      <c r="G285" s="151">
        <f>G284+E285</f>
        <v>47.007619999999967</v>
      </c>
      <c r="H285" s="481" t="s">
        <v>29</v>
      </c>
      <c r="I285" s="2"/>
      <c r="J285" s="2"/>
      <c r="K285" s="2"/>
      <c r="O285" s="58"/>
      <c r="P285" s="58"/>
    </row>
    <row r="286" spans="2:16">
      <c r="B286" s="604"/>
      <c r="C286" s="483">
        <v>2.56</v>
      </c>
      <c r="D286" s="165"/>
      <c r="E286" s="165">
        <f t="shared" si="4"/>
        <v>-2.56</v>
      </c>
      <c r="F286" s="195">
        <f>SUM($E$2:E286)/SUM($C$2:C286)</f>
        <v>0.32213088853457006</v>
      </c>
      <c r="G286" s="165">
        <f t="shared" ref="G286:G293" si="6">G285+E286</f>
        <v>44.447619999999965</v>
      </c>
      <c r="H286" s="393" t="s">
        <v>34</v>
      </c>
      <c r="I286" s="2"/>
      <c r="J286" s="2"/>
      <c r="K286" s="2"/>
      <c r="O286" s="58"/>
      <c r="P286" s="58"/>
    </row>
    <row r="287" spans="2:16">
      <c r="B287" s="587"/>
      <c r="C287" s="484">
        <v>2.56</v>
      </c>
      <c r="D287" s="164"/>
      <c r="E287" s="164">
        <f t="shared" si="4"/>
        <v>-2.56</v>
      </c>
      <c r="F287" s="197">
        <f>SUM($E$2:E287)/SUM($C$2:C287)</f>
        <v>0.29804767326028159</v>
      </c>
      <c r="G287" s="164">
        <f t="shared" si="6"/>
        <v>41.887619999999963</v>
      </c>
      <c r="H287" s="485" t="s">
        <v>137</v>
      </c>
      <c r="I287" s="2"/>
      <c r="J287" s="2"/>
      <c r="K287" s="2"/>
      <c r="O287" s="58"/>
      <c r="P287" s="58"/>
    </row>
    <row r="288" spans="2:16">
      <c r="B288" s="587"/>
      <c r="C288" s="402">
        <v>2.56</v>
      </c>
      <c r="D288" s="151">
        <v>1.712</v>
      </c>
      <c r="E288" s="151">
        <f t="shared" si="4"/>
        <v>1.8227199999999999</v>
      </c>
      <c r="F288" s="156">
        <f>SUM($E$2:E288)/SUM($C$2:C288)</f>
        <v>0.30545310971348688</v>
      </c>
      <c r="G288" s="151">
        <f t="shared" si="6"/>
        <v>43.71033999999996</v>
      </c>
      <c r="H288" s="481" t="s">
        <v>138</v>
      </c>
      <c r="I288" s="2"/>
      <c r="J288" s="2"/>
      <c r="K288" s="2"/>
      <c r="O288" s="58"/>
      <c r="P288" s="58"/>
    </row>
    <row r="289" spans="1:16">
      <c r="B289" s="587"/>
      <c r="C289" s="402">
        <v>2.56</v>
      </c>
      <c r="D289" s="151"/>
      <c r="E289" s="151">
        <f t="shared" si="4"/>
        <v>-2.56</v>
      </c>
      <c r="F289" s="156">
        <f>SUM($E$2:E289)/SUM($C$2:C289)</f>
        <v>0.28250954277083595</v>
      </c>
      <c r="G289" s="151">
        <f t="shared" si="6"/>
        <v>41.150339999999957</v>
      </c>
      <c r="H289" s="481" t="s">
        <v>139</v>
      </c>
      <c r="I289" s="2"/>
      <c r="J289" s="2"/>
      <c r="K289" s="2"/>
      <c r="O289" s="58"/>
      <c r="P289" s="58"/>
    </row>
    <row r="290" spans="1:16">
      <c r="B290" s="587"/>
      <c r="C290" s="402">
        <v>2.56</v>
      </c>
      <c r="D290" s="151"/>
      <c r="E290" s="151">
        <f t="shared" si="4"/>
        <v>-2.56</v>
      </c>
      <c r="F290" s="156">
        <f>SUM($E$2:E290)/SUM($C$2:C290)</f>
        <v>0.26035852111725788</v>
      </c>
      <c r="G290" s="151">
        <f t="shared" si="6"/>
        <v>38.590339999999955</v>
      </c>
      <c r="H290" s="481" t="s">
        <v>140</v>
      </c>
      <c r="I290" s="2"/>
      <c r="J290" s="2"/>
      <c r="K290" s="2"/>
      <c r="O290" s="58"/>
      <c r="P290" s="58"/>
    </row>
    <row r="291" spans="1:16">
      <c r="B291" s="587"/>
      <c r="C291" s="402">
        <v>2.56</v>
      </c>
      <c r="D291" s="151"/>
      <c r="E291" s="151">
        <f t="shared" si="4"/>
        <v>-2.56</v>
      </c>
      <c r="F291" s="156">
        <f>SUM($E$2:E291)/SUM($C$2:C291)</f>
        <v>0.23895967634964824</v>
      </c>
      <c r="G291" s="151">
        <f t="shared" si="6"/>
        <v>36.030339999999953</v>
      </c>
      <c r="H291" s="481" t="s">
        <v>141</v>
      </c>
      <c r="I291" s="2"/>
      <c r="J291" s="2"/>
      <c r="K291" s="2"/>
      <c r="O291" s="58"/>
      <c r="P291" s="58"/>
    </row>
    <row r="292" spans="1:16">
      <c r="B292" s="587"/>
      <c r="C292" s="402">
        <v>2.56</v>
      </c>
      <c r="D292" s="151"/>
      <c r="E292" s="151">
        <f t="shared" si="4"/>
        <v>-2.56</v>
      </c>
      <c r="F292" s="156">
        <f>SUM($E$2:E292)/SUM($C$2:C292)</f>
        <v>0.21827533585496253</v>
      </c>
      <c r="G292" s="151">
        <f t="shared" si="6"/>
        <v>33.47033999999995</v>
      </c>
      <c r="H292" s="481" t="s">
        <v>142</v>
      </c>
      <c r="I292" s="2"/>
      <c r="J292" s="2"/>
      <c r="K292" s="2"/>
      <c r="O292" s="58"/>
      <c r="P292" s="58"/>
    </row>
    <row r="293" spans="1:16">
      <c r="B293" s="587"/>
      <c r="C293" s="491">
        <v>2.56</v>
      </c>
      <c r="D293" s="257"/>
      <c r="E293" s="257">
        <f t="shared" si="4"/>
        <v>-2.56</v>
      </c>
      <c r="F293" s="256">
        <f>SUM($E$2:E293)/SUM($C$2:C293)</f>
        <v>0.19827030147530439</v>
      </c>
      <c r="G293" s="257">
        <f t="shared" si="6"/>
        <v>30.910339999999952</v>
      </c>
      <c r="H293" s="492" t="s">
        <v>143</v>
      </c>
      <c r="I293" s="2">
        <f>SUM(E276:E293)</f>
        <v>-17.832960000000003</v>
      </c>
      <c r="L293" s="2">
        <f>I293/C293</f>
        <v>-6.9660000000000011</v>
      </c>
      <c r="O293" s="58"/>
      <c r="P293" s="58"/>
    </row>
    <row r="294" spans="1:16">
      <c r="B294" s="586">
        <v>45995</v>
      </c>
      <c r="C294" s="484">
        <v>4.4800000000000004</v>
      </c>
      <c r="D294" s="164"/>
      <c r="E294" s="164">
        <f t="shared" ref="E294:E306" si="7">(C294*D294)-C294</f>
        <v>-4.4800000000000004</v>
      </c>
      <c r="F294" s="197">
        <f>SUM($E$2:E294)/SUM($C$2:C294)</f>
        <v>0.16479822920563633</v>
      </c>
      <c r="G294" s="164">
        <f t="shared" ref="G294:G306" si="8">G293+E294</f>
        <v>26.430339999999951</v>
      </c>
      <c r="H294" s="485" t="s">
        <v>27</v>
      </c>
      <c r="I294" s="2"/>
      <c r="J294" s="2"/>
      <c r="K294" s="2"/>
      <c r="O294" s="58"/>
      <c r="P294" s="58"/>
    </row>
    <row r="295" spans="1:16">
      <c r="B295" s="587"/>
      <c r="C295" s="402">
        <v>4.4800000000000004</v>
      </c>
      <c r="D295" s="151">
        <v>1.768</v>
      </c>
      <c r="E295" s="151">
        <f t="shared" si="7"/>
        <v>3.4406400000000001</v>
      </c>
      <c r="F295" s="156">
        <f>SUM($E$2:E295)/SUM($C$2:C295)</f>
        <v>0.18118997937644038</v>
      </c>
      <c r="G295" s="151">
        <f t="shared" si="8"/>
        <v>29.870979999999953</v>
      </c>
      <c r="H295" s="481" t="s">
        <v>37</v>
      </c>
      <c r="I295" s="2"/>
      <c r="J295" s="2"/>
      <c r="K295" s="2"/>
      <c r="O295" s="58"/>
      <c r="P295" s="58"/>
    </row>
    <row r="296" spans="1:16">
      <c r="A296" s="494"/>
      <c r="B296" s="587"/>
      <c r="C296" s="488">
        <v>4.4800000000000004</v>
      </c>
      <c r="D296" s="165">
        <v>1.9</v>
      </c>
      <c r="E296" s="165">
        <f t="shared" si="7"/>
        <v>4.032</v>
      </c>
      <c r="F296" s="195">
        <f>SUM($E$2:E296)/SUM($C$2:C296)</f>
        <v>0.20020656667060333</v>
      </c>
      <c r="G296" s="165">
        <f t="shared" si="8"/>
        <v>33.902979999999957</v>
      </c>
      <c r="H296" s="393" t="s">
        <v>10</v>
      </c>
      <c r="I296" s="2"/>
      <c r="J296" s="2"/>
      <c r="K296" s="2"/>
      <c r="O296" s="58"/>
      <c r="P296" s="58"/>
    </row>
    <row r="297" spans="1:16">
      <c r="B297" s="587"/>
      <c r="C297" s="484">
        <v>4.4800000000000004</v>
      </c>
      <c r="D297" s="164"/>
      <c r="E297" s="164">
        <f t="shared" si="7"/>
        <v>-4.4800000000000004</v>
      </c>
      <c r="F297" s="197">
        <f>SUM($E$2:E297)/SUM($C$2:C297)</f>
        <v>0.16927269589230221</v>
      </c>
      <c r="G297" s="164">
        <f t="shared" si="8"/>
        <v>29.422979999999956</v>
      </c>
      <c r="H297" s="485" t="s">
        <v>51</v>
      </c>
      <c r="I297" s="2"/>
      <c r="J297" s="2"/>
      <c r="K297" s="2"/>
      <c r="O297" s="58"/>
      <c r="P297" s="58"/>
    </row>
    <row r="298" spans="1:16">
      <c r="A298" s="495"/>
      <c r="B298" s="587"/>
      <c r="C298" s="402">
        <v>4.4800000000000004</v>
      </c>
      <c r="D298" s="151"/>
      <c r="E298" s="151">
        <f t="shared" si="7"/>
        <v>-4.4800000000000004</v>
      </c>
      <c r="F298" s="156">
        <f>SUM($E$2:E298)/SUM($C$2:C298)</f>
        <v>0.13989332585529987</v>
      </c>
      <c r="G298" s="151">
        <f t="shared" si="8"/>
        <v>24.942979999999956</v>
      </c>
      <c r="H298" s="481" t="s">
        <v>11</v>
      </c>
      <c r="I298" s="2"/>
      <c r="J298" s="2"/>
      <c r="K298" s="2"/>
      <c r="O298" s="58"/>
      <c r="P298" s="58"/>
    </row>
    <row r="299" spans="1:16">
      <c r="B299" s="587"/>
      <c r="C299" s="402">
        <v>4.4800000000000004</v>
      </c>
      <c r="D299" s="151"/>
      <c r="E299" s="151">
        <f t="shared" si="7"/>
        <v>-4.4800000000000004</v>
      </c>
      <c r="F299" s="156">
        <f>SUM($E$2:E299)/SUM($C$2:C299)</f>
        <v>0.1119541525330997</v>
      </c>
      <c r="G299" s="151">
        <f t="shared" si="8"/>
        <v>20.462979999999956</v>
      </c>
      <c r="H299" s="481" t="s">
        <v>28</v>
      </c>
      <c r="I299" s="2"/>
      <c r="J299" s="2"/>
      <c r="K299" s="2"/>
      <c r="O299" s="58"/>
      <c r="P299" s="58"/>
    </row>
    <row r="300" spans="1:16">
      <c r="B300" s="587"/>
      <c r="C300" s="402">
        <v>4.4800000000000004</v>
      </c>
      <c r="D300" s="151">
        <v>1.9</v>
      </c>
      <c r="E300" s="151">
        <f t="shared" si="7"/>
        <v>4.032</v>
      </c>
      <c r="F300" s="156">
        <f>SUM($E$2:E300)/SUM($C$2:C300)</f>
        <v>0.13080732671152392</v>
      </c>
      <c r="G300" s="151">
        <f t="shared" si="8"/>
        <v>24.494979999999956</v>
      </c>
      <c r="H300" s="481" t="s">
        <v>25</v>
      </c>
      <c r="I300" s="2"/>
      <c r="J300" s="2"/>
      <c r="K300" s="2"/>
      <c r="O300" s="58"/>
      <c r="P300" s="58"/>
    </row>
    <row r="301" spans="1:16">
      <c r="B301" s="587"/>
      <c r="C301" s="488">
        <v>4.4800000000000004</v>
      </c>
      <c r="D301" s="165">
        <v>1.9</v>
      </c>
      <c r="E301" s="165">
        <f t="shared" si="7"/>
        <v>4.032</v>
      </c>
      <c r="F301" s="195">
        <f>SUM($E$2:E301)/SUM($C$2:C301)</f>
        <v>0.14877949306352337</v>
      </c>
      <c r="G301" s="165">
        <f t="shared" si="8"/>
        <v>28.526979999999956</v>
      </c>
      <c r="H301" s="393" t="s">
        <v>13</v>
      </c>
      <c r="I301" s="2"/>
      <c r="J301" s="2"/>
      <c r="K301" s="2"/>
      <c r="O301" s="58"/>
      <c r="P301" s="58"/>
    </row>
    <row r="302" spans="1:16">
      <c r="B302" s="587"/>
      <c r="C302" s="484">
        <v>4.4800000000000004</v>
      </c>
      <c r="D302" s="164"/>
      <c r="E302" s="164">
        <f t="shared" si="7"/>
        <v>-4.4800000000000004</v>
      </c>
      <c r="F302" s="197">
        <f>SUM($E$2:E302)/SUM($C$2:C302)</f>
        <v>0.12255111609417985</v>
      </c>
      <c r="G302" s="164">
        <f t="shared" si="8"/>
        <v>24.046979999999955</v>
      </c>
      <c r="H302" s="485" t="s">
        <v>144</v>
      </c>
      <c r="I302" s="2"/>
      <c r="J302" s="2"/>
      <c r="K302" s="2"/>
      <c r="O302" s="58"/>
      <c r="P302" s="58"/>
    </row>
    <row r="303" spans="1:16">
      <c r="B303" s="587"/>
      <c r="C303" s="402">
        <v>4.4800000000000004</v>
      </c>
      <c r="D303" s="151">
        <v>1.74</v>
      </c>
      <c r="E303" s="151">
        <f t="shared" si="7"/>
        <v>3.3151999999999999</v>
      </c>
      <c r="F303" s="156">
        <f>SUM($E$2:E303)/SUM($C$2:C303)</f>
        <v>0.1363337319382161</v>
      </c>
      <c r="G303" s="151">
        <f t="shared" si="8"/>
        <v>27.362179999999956</v>
      </c>
      <c r="H303" s="481" t="s">
        <v>145</v>
      </c>
      <c r="I303" s="2"/>
      <c r="J303" s="2"/>
      <c r="K303" s="2"/>
      <c r="O303" s="58"/>
      <c r="P303" s="58"/>
    </row>
    <row r="304" spans="1:16">
      <c r="A304" s="494"/>
      <c r="B304" s="587"/>
      <c r="C304" s="402">
        <v>4.4800000000000004</v>
      </c>
      <c r="D304" s="151">
        <v>1.752</v>
      </c>
      <c r="E304" s="151">
        <f t="shared" si="7"/>
        <v>3.3689600000000004</v>
      </c>
      <c r="F304" s="156">
        <f>SUM($E$2:E304)/SUM($C$2:C304)</f>
        <v>0.14977648893654341</v>
      </c>
      <c r="G304" s="151">
        <f t="shared" si="8"/>
        <v>30.731139999999957</v>
      </c>
      <c r="H304" s="481" t="s">
        <v>146</v>
      </c>
      <c r="I304" s="2"/>
      <c r="J304" s="2"/>
      <c r="K304" s="2"/>
      <c r="O304" s="58"/>
      <c r="P304" s="58"/>
    </row>
    <row r="305" spans="2:16">
      <c r="B305" s="587"/>
      <c r="C305" s="402">
        <v>4.4800000000000004</v>
      </c>
      <c r="D305" s="151">
        <v>1.744</v>
      </c>
      <c r="E305" s="151">
        <f t="shared" si="7"/>
        <v>3.3331200000000001</v>
      </c>
      <c r="F305" s="156">
        <f>SUM($E$2:E305)/SUM($C$2:C305)</f>
        <v>0.16247381474768663</v>
      </c>
      <c r="G305" s="151">
        <f t="shared" si="8"/>
        <v>34.064259999999955</v>
      </c>
      <c r="H305" s="481" t="s">
        <v>147</v>
      </c>
      <c r="I305" s="2"/>
      <c r="J305" s="2"/>
      <c r="K305" s="2"/>
      <c r="O305" s="58"/>
      <c r="P305" s="58"/>
    </row>
    <row r="306" spans="2:16">
      <c r="B306" s="587"/>
      <c r="C306" s="491">
        <v>4.4800000000000004</v>
      </c>
      <c r="D306" s="257">
        <v>1.744</v>
      </c>
      <c r="E306" s="257">
        <f t="shared" si="7"/>
        <v>3.3331200000000001</v>
      </c>
      <c r="F306" s="256">
        <f>SUM($E$2:E306)/SUM($C$2:C306)</f>
        <v>0.17463986177267202</v>
      </c>
      <c r="G306" s="257">
        <f t="shared" si="8"/>
        <v>37.397379999999956</v>
      </c>
      <c r="H306" s="492" t="s">
        <v>135</v>
      </c>
      <c r="I306" s="2">
        <f>SUM(E294:E306)</f>
        <v>6.4870399999999986</v>
      </c>
      <c r="L306" s="2">
        <f>I306/C306</f>
        <v>1.4479999999999995</v>
      </c>
      <c r="O306" s="58"/>
      <c r="P306" s="58"/>
    </row>
    <row r="307" spans="2:16">
      <c r="B307" s="586">
        <v>45996</v>
      </c>
      <c r="C307" s="484">
        <v>1.89</v>
      </c>
      <c r="D307" s="164"/>
      <c r="E307" s="164">
        <f t="shared" ref="E307:E329" si="9">(C307*D307)-C307</f>
        <v>-1.89</v>
      </c>
      <c r="F307" s="197">
        <f>SUM($E$2:E307)/SUM($C$2:C307)</f>
        <v>0.16436319029764376</v>
      </c>
      <c r="G307" s="164">
        <f t="shared" ref="G307:G329" si="10">G306+E307</f>
        <v>35.507379999999955</v>
      </c>
      <c r="H307" s="485" t="s">
        <v>10</v>
      </c>
      <c r="I307" s="2"/>
      <c r="J307" s="2"/>
      <c r="K307" s="2"/>
      <c r="O307" s="58"/>
      <c r="P307" s="58"/>
    </row>
    <row r="308" spans="2:16">
      <c r="B308" s="587"/>
      <c r="C308" s="402">
        <v>1.89</v>
      </c>
      <c r="D308" s="151"/>
      <c r="E308" s="151">
        <f t="shared" si="9"/>
        <v>-1.89</v>
      </c>
      <c r="F308" s="156">
        <f>SUM($E$2:E308)/SUM($C$2:C308)</f>
        <v>0.15426477606461078</v>
      </c>
      <c r="G308" s="151">
        <f t="shared" si="10"/>
        <v>33.617379999999955</v>
      </c>
      <c r="H308" s="481" t="s">
        <v>12</v>
      </c>
      <c r="I308" s="2"/>
      <c r="J308" s="2"/>
      <c r="K308" s="2"/>
      <c r="O308" s="58"/>
      <c r="P308" s="58"/>
    </row>
    <row r="309" spans="2:16">
      <c r="B309" s="587"/>
      <c r="C309" s="402">
        <v>1.89</v>
      </c>
      <c r="D309" s="151">
        <v>1.8620000000000001</v>
      </c>
      <c r="E309" s="151">
        <f t="shared" si="9"/>
        <v>1.6291800000000001</v>
      </c>
      <c r="F309" s="156">
        <f>SUM($E$2:E309)/SUM($C$2:C309)</f>
        <v>0.16035012055866424</v>
      </c>
      <c r="G309" s="151">
        <f t="shared" si="10"/>
        <v>35.246559999999953</v>
      </c>
      <c r="H309" s="481" t="s">
        <v>52</v>
      </c>
      <c r="I309" s="2"/>
      <c r="J309" s="2"/>
      <c r="K309" s="2"/>
      <c r="O309" s="58"/>
      <c r="P309" s="58"/>
    </row>
    <row r="310" spans="2:16">
      <c r="B310" s="587"/>
      <c r="C310" s="402">
        <v>1.89</v>
      </c>
      <c r="D310" s="151">
        <v>1.8</v>
      </c>
      <c r="E310" s="151">
        <f t="shared" si="9"/>
        <v>1.5119999999999998</v>
      </c>
      <c r="F310" s="156">
        <f>SUM($E$2:E310)/SUM($C$2:C310)</f>
        <v>0.16580315741993679</v>
      </c>
      <c r="G310" s="151">
        <f t="shared" si="10"/>
        <v>36.758559999999953</v>
      </c>
      <c r="H310" s="481" t="s">
        <v>47</v>
      </c>
      <c r="I310" s="2"/>
      <c r="J310" s="2"/>
      <c r="K310" s="2"/>
      <c r="O310" s="58"/>
      <c r="P310" s="58"/>
    </row>
    <row r="311" spans="2:16">
      <c r="B311" s="587"/>
      <c r="C311" s="402">
        <v>1.89</v>
      </c>
      <c r="D311" s="151"/>
      <c r="E311" s="151">
        <f t="shared" si="9"/>
        <v>-1.89</v>
      </c>
      <c r="F311" s="156">
        <f>SUM($E$2:E311)/SUM($C$2:C311)</f>
        <v>0.15594865602218341</v>
      </c>
      <c r="G311" s="151">
        <f t="shared" si="10"/>
        <v>34.868559999999952</v>
      </c>
      <c r="H311" s="481" t="s">
        <v>15</v>
      </c>
      <c r="I311" s="2"/>
      <c r="J311" s="2"/>
      <c r="K311" s="2"/>
      <c r="O311" s="58"/>
      <c r="P311" s="58"/>
    </row>
    <row r="312" spans="2:16">
      <c r="B312" s="587"/>
      <c r="C312" s="402">
        <v>1.89</v>
      </c>
      <c r="D312" s="151"/>
      <c r="E312" s="151">
        <f t="shared" si="9"/>
        <v>-1.89</v>
      </c>
      <c r="F312" s="156">
        <f>SUM($E$2:E312)/SUM($C$2:C312)</f>
        <v>0.14625935781444024</v>
      </c>
      <c r="G312" s="151">
        <f t="shared" si="10"/>
        <v>32.978559999999952</v>
      </c>
      <c r="H312" s="481" t="s">
        <v>36</v>
      </c>
      <c r="I312" s="2"/>
      <c r="J312" s="2"/>
      <c r="K312" s="2"/>
      <c r="O312" s="58"/>
      <c r="P312" s="58"/>
    </row>
    <row r="313" spans="2:16">
      <c r="B313" s="587"/>
      <c r="C313" s="402">
        <v>1.89</v>
      </c>
      <c r="D313" s="151"/>
      <c r="E313" s="151">
        <f t="shared" si="9"/>
        <v>-1.89</v>
      </c>
      <c r="F313" s="156">
        <f>SUM($E$2:E313)/SUM($C$2:C313)</f>
        <v>0.13673114307076564</v>
      </c>
      <c r="G313" s="151">
        <f t="shared" si="10"/>
        <v>31.088559999999951</v>
      </c>
      <c r="H313" s="481" t="s">
        <v>18</v>
      </c>
      <c r="I313" s="2"/>
      <c r="J313" s="2"/>
      <c r="K313" s="2"/>
      <c r="O313" s="58"/>
      <c r="P313" s="58"/>
    </row>
    <row r="314" spans="2:16">
      <c r="B314" s="587"/>
      <c r="C314" s="488">
        <v>1.89</v>
      </c>
      <c r="D314" s="165">
        <v>1.9</v>
      </c>
      <c r="E314" s="165">
        <f t="shared" si="9"/>
        <v>1.7009999999999998</v>
      </c>
      <c r="F314" s="195">
        <f>SUM($E$2:E314)/SUM($C$2:C314)</f>
        <v>0.14302346680624614</v>
      </c>
      <c r="G314" s="165">
        <f t="shared" si="10"/>
        <v>32.789559999999952</v>
      </c>
      <c r="H314" s="393" t="s">
        <v>17</v>
      </c>
      <c r="I314" s="2"/>
      <c r="J314" s="2"/>
      <c r="K314" s="2"/>
      <c r="O314" s="58"/>
      <c r="P314" s="58"/>
    </row>
    <row r="315" spans="2:16">
      <c r="B315" s="587"/>
      <c r="C315" s="484">
        <v>1.89</v>
      </c>
      <c r="D315" s="164">
        <v>2</v>
      </c>
      <c r="E315" s="164">
        <f t="shared" si="9"/>
        <v>1.89</v>
      </c>
      <c r="F315" s="197">
        <f>SUM($E$2:E315)/SUM($C$2:C315)</f>
        <v>0.15003054293748647</v>
      </c>
      <c r="G315" s="164">
        <f t="shared" si="10"/>
        <v>34.679559999999952</v>
      </c>
      <c r="H315" s="485" t="s">
        <v>37</v>
      </c>
      <c r="I315" s="2"/>
      <c r="J315" s="2"/>
      <c r="K315" s="2"/>
      <c r="O315" s="58"/>
      <c r="P315" s="58"/>
    </row>
    <row r="316" spans="2:16">
      <c r="B316" s="587"/>
      <c r="C316" s="402">
        <v>1.89</v>
      </c>
      <c r="D316" s="151">
        <v>1.9</v>
      </c>
      <c r="E316" s="151">
        <f t="shared" si="9"/>
        <v>1.7009999999999998</v>
      </c>
      <c r="F316" s="156">
        <f>SUM($E$2:E316)/SUM($C$2:C316)</f>
        <v>0.15611294198420872</v>
      </c>
      <c r="G316" s="151">
        <f t="shared" si="10"/>
        <v>36.380559999999953</v>
      </c>
      <c r="H316" s="481" t="s">
        <v>14</v>
      </c>
      <c r="I316" s="2"/>
      <c r="J316" s="2"/>
      <c r="K316" s="2"/>
      <c r="O316" s="58"/>
      <c r="P316" s="58"/>
    </row>
    <row r="317" spans="2:16">
      <c r="B317" s="587"/>
      <c r="C317" s="402">
        <v>1.89</v>
      </c>
      <c r="D317" s="151">
        <v>1.9</v>
      </c>
      <c r="E317" s="151">
        <f t="shared" si="9"/>
        <v>1.7009999999999998</v>
      </c>
      <c r="F317" s="156">
        <f>SUM($E$2:E317)/SUM($C$2:C317)</f>
        <v>0.16209747584386841</v>
      </c>
      <c r="G317" s="151">
        <f t="shared" si="10"/>
        <v>38.081559999999953</v>
      </c>
      <c r="H317" s="481" t="s">
        <v>46</v>
      </c>
      <c r="I317" s="2"/>
      <c r="J317" s="2"/>
      <c r="K317" s="2"/>
      <c r="O317" s="58"/>
      <c r="P317" s="58"/>
    </row>
    <row r="318" spans="2:16">
      <c r="B318" s="587"/>
      <c r="C318" s="402">
        <v>1.89</v>
      </c>
      <c r="D318" s="151">
        <v>1.83</v>
      </c>
      <c r="E318" s="151">
        <f t="shared" si="9"/>
        <v>1.5687</v>
      </c>
      <c r="F318" s="156">
        <f>SUM($E$2:E318)/SUM($C$2:C318)</f>
        <v>0.16742783548686768</v>
      </c>
      <c r="G318" s="151">
        <f t="shared" si="10"/>
        <v>39.650259999999953</v>
      </c>
      <c r="H318" s="481" t="s">
        <v>29</v>
      </c>
      <c r="I318" s="2"/>
      <c r="J318" s="2"/>
      <c r="K318" s="2"/>
      <c r="O318" s="58"/>
      <c r="P318" s="58"/>
    </row>
    <row r="319" spans="2:16">
      <c r="B319" s="587"/>
      <c r="C319" s="402">
        <v>1.89</v>
      </c>
      <c r="D319" s="151">
        <v>1.768</v>
      </c>
      <c r="E319" s="151">
        <f t="shared" si="9"/>
        <v>1.4515200000000001</v>
      </c>
      <c r="F319" s="156">
        <f>SUM($E$2:E319)/SUM($C$2:C319)</f>
        <v>0.17218289975283824</v>
      </c>
      <c r="G319" s="151">
        <f t="shared" si="10"/>
        <v>41.101779999999955</v>
      </c>
      <c r="H319" s="481" t="s">
        <v>53</v>
      </c>
      <c r="I319" s="2"/>
      <c r="J319" s="2"/>
      <c r="K319" s="2"/>
      <c r="O319" s="58"/>
      <c r="P319" s="58"/>
    </row>
    <row r="320" spans="2:16">
      <c r="B320" s="587"/>
      <c r="C320" s="402">
        <v>1.89</v>
      </c>
      <c r="D320" s="151"/>
      <c r="E320" s="151">
        <f t="shared" si="9"/>
        <v>-1.89</v>
      </c>
      <c r="F320" s="156">
        <f>SUM($E$2:E320)/SUM($C$2:C320)</f>
        <v>0.16297497921862017</v>
      </c>
      <c r="G320" s="151">
        <f t="shared" si="10"/>
        <v>39.211779999999955</v>
      </c>
      <c r="H320" s="481" t="s">
        <v>26</v>
      </c>
      <c r="I320" s="2"/>
      <c r="J320" s="2"/>
      <c r="K320" s="2"/>
      <c r="O320" s="58"/>
      <c r="P320" s="58"/>
    </row>
    <row r="321" spans="2:16">
      <c r="B321" s="587"/>
      <c r="C321" s="488">
        <v>1.89</v>
      </c>
      <c r="D321" s="165"/>
      <c r="E321" s="165">
        <f t="shared" si="9"/>
        <v>-1.89</v>
      </c>
      <c r="F321" s="195">
        <f>SUM($E$2:E321)/SUM($C$2:C321)</f>
        <v>0.15391059425130937</v>
      </c>
      <c r="G321" s="165">
        <f t="shared" si="10"/>
        <v>37.321779999999954</v>
      </c>
      <c r="H321" s="393" t="s">
        <v>34</v>
      </c>
      <c r="I321" s="2"/>
      <c r="J321" s="2"/>
      <c r="K321" s="2"/>
      <c r="O321" s="58"/>
      <c r="P321" s="58"/>
    </row>
    <row r="322" spans="2:16">
      <c r="B322" s="587"/>
      <c r="C322" s="484">
        <v>1.89</v>
      </c>
      <c r="D322" s="164">
        <v>1.75</v>
      </c>
      <c r="E322" s="164">
        <f t="shared" si="9"/>
        <v>1.4174999999999998</v>
      </c>
      <c r="F322" s="197">
        <f>SUM($E$2:E322)/SUM($C$2:C322)</f>
        <v>0.15852066453883301</v>
      </c>
      <c r="G322" s="164">
        <f t="shared" si="10"/>
        <v>38.739279999999951</v>
      </c>
      <c r="H322" s="485" t="s">
        <v>148</v>
      </c>
      <c r="I322" s="2"/>
      <c r="J322" s="2"/>
      <c r="K322" s="2"/>
      <c r="O322" s="58"/>
      <c r="P322" s="58"/>
    </row>
    <row r="323" spans="2:16">
      <c r="B323" s="587"/>
      <c r="C323" s="402">
        <v>1.89</v>
      </c>
      <c r="D323" s="151">
        <v>1.736</v>
      </c>
      <c r="E323" s="151">
        <f t="shared" si="9"/>
        <v>1.3910400000000001</v>
      </c>
      <c r="F323" s="156">
        <f>SUM($E$2:E323)/SUM($C$2:C323)</f>
        <v>0.16295253177406915</v>
      </c>
      <c r="G323" s="151">
        <f t="shared" si="10"/>
        <v>40.130319999999948</v>
      </c>
      <c r="H323" s="481" t="s">
        <v>149</v>
      </c>
      <c r="I323" s="2"/>
      <c r="J323" s="2"/>
      <c r="K323" s="2"/>
      <c r="O323" s="58"/>
      <c r="P323" s="58"/>
    </row>
    <row r="324" spans="2:16">
      <c r="B324" s="587"/>
      <c r="C324" s="402">
        <v>1.89</v>
      </c>
      <c r="D324" s="151">
        <v>1.744</v>
      </c>
      <c r="E324" s="151">
        <f t="shared" si="9"/>
        <v>1.4061600000000001</v>
      </c>
      <c r="F324" s="156">
        <f>SUM($E$2:E324)/SUM($C$2:C324)</f>
        <v>0.16737782076079954</v>
      </c>
      <c r="G324" s="151">
        <f t="shared" si="10"/>
        <v>41.536479999999948</v>
      </c>
      <c r="H324" s="481" t="s">
        <v>150</v>
      </c>
      <c r="I324" s="2"/>
      <c r="J324" s="2"/>
      <c r="K324" s="2"/>
      <c r="O324" s="58"/>
      <c r="P324" s="58"/>
    </row>
    <row r="325" spans="2:16">
      <c r="B325" s="587"/>
      <c r="C325" s="402">
        <v>1.89</v>
      </c>
      <c r="D325" s="151">
        <v>1.77</v>
      </c>
      <c r="E325" s="151">
        <f t="shared" si="9"/>
        <v>1.4553</v>
      </c>
      <c r="F325" s="156">
        <f>SUM($E$2:E325)/SUM($C$2:C325)</f>
        <v>0.17193273345330942</v>
      </c>
      <c r="G325" s="151">
        <f t="shared" si="10"/>
        <v>42.991779999999949</v>
      </c>
      <c r="H325" s="481" t="s">
        <v>151</v>
      </c>
      <c r="I325" s="2"/>
      <c r="J325" s="2"/>
      <c r="K325" s="2"/>
      <c r="O325" s="58"/>
      <c r="P325" s="58"/>
    </row>
    <row r="326" spans="2:16">
      <c r="B326" s="587"/>
      <c r="C326" s="402">
        <v>1.89</v>
      </c>
      <c r="D326" s="151"/>
      <c r="E326" s="151">
        <f t="shared" si="9"/>
        <v>-1.89</v>
      </c>
      <c r="F326" s="156">
        <f>SUM($E$2:E326)/SUM($C$2:C326)</f>
        <v>0.16314114471699617</v>
      </c>
      <c r="G326" s="151">
        <f t="shared" si="10"/>
        <v>41.101779999999948</v>
      </c>
      <c r="H326" s="481" t="s">
        <v>152</v>
      </c>
      <c r="I326" s="2"/>
      <c r="J326" s="2"/>
      <c r="K326" s="2"/>
      <c r="O326" s="58"/>
      <c r="P326" s="58"/>
    </row>
    <row r="327" spans="2:16">
      <c r="B327" s="587"/>
      <c r="C327" s="402">
        <v>1.89</v>
      </c>
      <c r="D327" s="151"/>
      <c r="E327" s="151">
        <f t="shared" si="9"/>
        <v>-1.89</v>
      </c>
      <c r="F327" s="156">
        <f>SUM($E$2:E327)/SUM($C$2:C327)</f>
        <v>0.15448047906078877</v>
      </c>
      <c r="G327" s="151">
        <f t="shared" si="10"/>
        <v>39.211779999999948</v>
      </c>
      <c r="H327" s="481" t="s">
        <v>153</v>
      </c>
      <c r="I327" s="2"/>
      <c r="J327" s="2"/>
      <c r="K327" s="2"/>
      <c r="O327" s="58"/>
      <c r="P327" s="58"/>
    </row>
    <row r="328" spans="2:16">
      <c r="B328" s="587"/>
      <c r="C328" s="402">
        <v>1.89</v>
      </c>
      <c r="D328" s="151"/>
      <c r="E328" s="151">
        <f t="shared" si="9"/>
        <v>-1.89</v>
      </c>
      <c r="F328" s="156">
        <f>SUM($E$2:E328)/SUM($C$2:C328)</f>
        <v>0.14594783356796501</v>
      </c>
      <c r="G328" s="151">
        <f t="shared" si="10"/>
        <v>37.321779999999947</v>
      </c>
      <c r="H328" s="481" t="s">
        <v>154</v>
      </c>
      <c r="I328" s="2"/>
      <c r="J328" s="2"/>
      <c r="K328" s="2"/>
      <c r="O328" s="58"/>
      <c r="P328" s="58"/>
    </row>
    <row r="329" spans="2:16">
      <c r="B329" s="587"/>
      <c r="C329" s="488">
        <v>1.89</v>
      </c>
      <c r="D329" s="165"/>
      <c r="E329" s="165">
        <f t="shared" si="9"/>
        <v>-1.89</v>
      </c>
      <c r="F329" s="195">
        <f>SUM($E$2:E329)/SUM($C$2:C329)</f>
        <v>0.13754039051279068</v>
      </c>
      <c r="G329" s="165">
        <f t="shared" si="10"/>
        <v>35.431779999999947</v>
      </c>
      <c r="H329" s="393" t="s">
        <v>84</v>
      </c>
      <c r="I329" s="2">
        <f>SUM(E307:E329)</f>
        <v>-1.9655999999999982</v>
      </c>
      <c r="L329" s="2">
        <f>I329/C329</f>
        <v>-1.0399999999999991</v>
      </c>
      <c r="O329" s="58"/>
      <c r="P329" s="58"/>
    </row>
    <row r="330" spans="2:16">
      <c r="B330" s="586">
        <v>45997</v>
      </c>
      <c r="C330" s="484">
        <v>3.22</v>
      </c>
      <c r="D330" s="164"/>
      <c r="E330" s="164">
        <f t="shared" ref="E330:E347" si="11">(C330*D330)-C330</f>
        <v>-3.22</v>
      </c>
      <c r="F330" s="197">
        <f>SUM($E$2:E330)/SUM($C$2:C330)</f>
        <v>0.12349722041176245</v>
      </c>
      <c r="G330" s="164">
        <f t="shared" ref="G330:G347" si="12">G329+E330</f>
        <v>32.211779999999948</v>
      </c>
      <c r="H330" s="485" t="s">
        <v>13</v>
      </c>
      <c r="I330" s="2"/>
      <c r="J330" s="2"/>
      <c r="K330" s="2"/>
      <c r="O330" s="58"/>
      <c r="P330" s="58"/>
    </row>
    <row r="331" spans="2:16">
      <c r="B331" s="587"/>
      <c r="C331" s="402">
        <v>3.22</v>
      </c>
      <c r="D331" s="151">
        <v>1.9</v>
      </c>
      <c r="E331" s="151">
        <f t="shared" si="11"/>
        <v>2.8980000000000001</v>
      </c>
      <c r="F331" s="156">
        <f>SUM($E$2:E331)/SUM($C$2:C331)</f>
        <v>0.13296640787729597</v>
      </c>
      <c r="G331" s="151">
        <f t="shared" si="12"/>
        <v>35.109779999999951</v>
      </c>
      <c r="H331" s="481" t="s">
        <v>14</v>
      </c>
      <c r="I331" s="2"/>
      <c r="J331" s="2"/>
      <c r="K331" s="2"/>
      <c r="O331" s="58"/>
      <c r="P331" s="58"/>
    </row>
    <row r="332" spans="2:16">
      <c r="B332" s="587"/>
      <c r="C332" s="402">
        <v>3.22</v>
      </c>
      <c r="D332" s="151"/>
      <c r="E332" s="151">
        <f t="shared" si="11"/>
        <v>-3.22</v>
      </c>
      <c r="F332" s="156">
        <f>SUM($E$2:E332)/SUM($C$2:C332)</f>
        <v>0.11931672091892093</v>
      </c>
      <c r="G332" s="151">
        <f t="shared" si="12"/>
        <v>31.889779999999952</v>
      </c>
      <c r="H332" s="481" t="s">
        <v>27</v>
      </c>
      <c r="I332" s="2"/>
      <c r="J332" s="2"/>
      <c r="K332" s="2"/>
      <c r="O332" s="58"/>
      <c r="P332" s="58"/>
    </row>
    <row r="333" spans="2:16">
      <c r="B333" s="587"/>
      <c r="C333" s="402">
        <v>3.22</v>
      </c>
      <c r="D333" s="151">
        <v>1.8620000000000001</v>
      </c>
      <c r="E333" s="151">
        <f t="shared" si="11"/>
        <v>2.7756400000000006</v>
      </c>
      <c r="F333" s="156">
        <f>SUM($E$2:E333)/SUM($C$2:C333)</f>
        <v>0.12815786165847165</v>
      </c>
      <c r="G333" s="151">
        <f t="shared" si="12"/>
        <v>34.665419999999955</v>
      </c>
      <c r="H333" s="481" t="s">
        <v>34</v>
      </c>
      <c r="I333" s="2"/>
      <c r="J333" s="2"/>
      <c r="K333" s="2"/>
      <c r="O333" s="58"/>
      <c r="P333" s="58"/>
    </row>
    <row r="334" spans="2:16">
      <c r="B334" s="587"/>
      <c r="C334" s="488">
        <v>3.22</v>
      </c>
      <c r="D334" s="165"/>
      <c r="E334" s="165">
        <f t="shared" si="11"/>
        <v>-3.22</v>
      </c>
      <c r="F334" s="195">
        <f>SUM($E$2:E334)/SUM($C$2:C334)</f>
        <v>0.11488590113623905</v>
      </c>
      <c r="G334" s="165">
        <f t="shared" si="12"/>
        <v>31.445419999999956</v>
      </c>
      <c r="H334" s="393" t="s">
        <v>18</v>
      </c>
      <c r="I334" s="2"/>
      <c r="J334" s="2"/>
      <c r="K334" s="2"/>
      <c r="O334" s="58"/>
      <c r="P334" s="58"/>
    </row>
    <row r="335" spans="2:16">
      <c r="B335" s="587"/>
      <c r="C335" s="484">
        <v>3.22</v>
      </c>
      <c r="D335" s="164">
        <v>1.9</v>
      </c>
      <c r="E335" s="164">
        <f t="shared" si="11"/>
        <v>2.8980000000000001</v>
      </c>
      <c r="F335" s="197">
        <f>SUM($E$2:E335)/SUM($C$2:C335)</f>
        <v>0.1240148051854259</v>
      </c>
      <c r="G335" s="164">
        <f t="shared" si="12"/>
        <v>34.343419999999959</v>
      </c>
      <c r="H335" s="485" t="s">
        <v>28</v>
      </c>
      <c r="I335" s="2"/>
      <c r="J335" s="2"/>
      <c r="K335" s="2"/>
      <c r="O335" s="58"/>
      <c r="P335" s="58"/>
    </row>
    <row r="336" spans="2:16">
      <c r="B336" s="587"/>
      <c r="C336" s="402">
        <v>3.22</v>
      </c>
      <c r="D336" s="151">
        <v>1.8620000000000001</v>
      </c>
      <c r="E336" s="151">
        <f t="shared" si="11"/>
        <v>2.7756400000000006</v>
      </c>
      <c r="F336" s="156">
        <f>SUM($E$2:E336)/SUM($C$2:C336)</f>
        <v>0.13249709084419059</v>
      </c>
      <c r="G336" s="151">
        <f t="shared" si="12"/>
        <v>37.119059999999962</v>
      </c>
      <c r="H336" s="481" t="s">
        <v>11</v>
      </c>
      <c r="I336" s="2"/>
      <c r="J336" s="2"/>
      <c r="K336" s="2"/>
      <c r="O336" s="58"/>
      <c r="P336" s="58"/>
    </row>
    <row r="337" spans="2:16">
      <c r="B337" s="587"/>
      <c r="C337" s="402">
        <v>3.22</v>
      </c>
      <c r="D337" s="151"/>
      <c r="E337" s="151">
        <f t="shared" si="11"/>
        <v>-3.22</v>
      </c>
      <c r="F337" s="156">
        <f>SUM($E$2:E337)/SUM($C$2:C337)</f>
        <v>0.11962825987225179</v>
      </c>
      <c r="G337" s="151">
        <f t="shared" si="12"/>
        <v>33.899059999999963</v>
      </c>
      <c r="H337" s="481" t="s">
        <v>46</v>
      </c>
      <c r="I337" s="2"/>
      <c r="J337" s="2"/>
      <c r="K337" s="2"/>
      <c r="O337" s="58"/>
      <c r="P337" s="58"/>
    </row>
    <row r="338" spans="2:16">
      <c r="B338" s="587"/>
      <c r="C338" s="402">
        <v>3.22</v>
      </c>
      <c r="D338" s="151">
        <v>1.9</v>
      </c>
      <c r="E338" s="151">
        <f t="shared" si="11"/>
        <v>2.8980000000000001</v>
      </c>
      <c r="F338" s="156">
        <f>SUM($E$2:E338)/SUM($C$2:C338)</f>
        <v>0.12839617572141385</v>
      </c>
      <c r="G338" s="151">
        <f t="shared" si="12"/>
        <v>36.797059999999966</v>
      </c>
      <c r="H338" s="481" t="s">
        <v>97</v>
      </c>
      <c r="I338" s="2"/>
      <c r="J338" s="2"/>
      <c r="K338" s="2"/>
      <c r="O338" s="58"/>
      <c r="P338" s="58"/>
    </row>
    <row r="339" spans="2:16">
      <c r="B339" s="587"/>
      <c r="C339" s="402">
        <v>3.22</v>
      </c>
      <c r="D339" s="151"/>
      <c r="E339" s="151">
        <f t="shared" si="11"/>
        <v>-3.22</v>
      </c>
      <c r="F339" s="156">
        <f>SUM($E$2:E339)/SUM($C$2:C339)</f>
        <v>0.11585887305475998</v>
      </c>
      <c r="G339" s="151">
        <f t="shared" si="12"/>
        <v>33.577059999999967</v>
      </c>
      <c r="H339" s="481" t="s">
        <v>16</v>
      </c>
      <c r="I339" s="2"/>
      <c r="J339" s="2"/>
      <c r="K339" s="2"/>
      <c r="O339" s="58"/>
      <c r="P339" s="58"/>
    </row>
    <row r="340" spans="2:16">
      <c r="B340" s="587"/>
      <c r="C340" s="402">
        <v>3.22</v>
      </c>
      <c r="D340" s="151"/>
      <c r="E340" s="151">
        <f t="shared" si="11"/>
        <v>-3.22</v>
      </c>
      <c r="F340" s="156">
        <f>SUM($E$2:E340)/SUM($C$2:C340)</f>
        <v>0.10359710609835164</v>
      </c>
      <c r="G340" s="151">
        <f t="shared" si="12"/>
        <v>30.357059999999969</v>
      </c>
      <c r="H340" s="481" t="s">
        <v>104</v>
      </c>
      <c r="I340" s="2"/>
      <c r="J340" s="2"/>
      <c r="K340" s="2"/>
      <c r="O340" s="58"/>
      <c r="P340" s="58"/>
    </row>
    <row r="341" spans="2:16">
      <c r="B341" s="587"/>
      <c r="C341" s="488">
        <v>3.22</v>
      </c>
      <c r="D341" s="165">
        <v>1.9</v>
      </c>
      <c r="E341" s="165">
        <f t="shared" si="11"/>
        <v>2.8980000000000001</v>
      </c>
      <c r="F341" s="195">
        <f>SUM($E$2:E341)/SUM($C$2:C341)</f>
        <v>0.11225336708860754</v>
      </c>
      <c r="G341" s="165">
        <f t="shared" si="12"/>
        <v>33.255059999999972</v>
      </c>
      <c r="H341" s="393" t="s">
        <v>17</v>
      </c>
      <c r="I341" s="2"/>
      <c r="J341" s="2"/>
      <c r="K341" s="2"/>
      <c r="O341" s="58"/>
      <c r="P341" s="58"/>
    </row>
    <row r="342" spans="2:16">
      <c r="B342" s="587"/>
      <c r="C342" s="484">
        <v>3.22</v>
      </c>
      <c r="D342" s="164"/>
      <c r="E342" s="164">
        <f t="shared" si="11"/>
        <v>-3.22</v>
      </c>
      <c r="F342" s="197">
        <f>SUM($E$2:E342)/SUM($C$2:C342)</f>
        <v>0.10029405282666037</v>
      </c>
      <c r="G342" s="164">
        <f t="shared" si="12"/>
        <v>30.035059999999973</v>
      </c>
      <c r="H342" s="485" t="s">
        <v>155</v>
      </c>
      <c r="I342" s="2"/>
      <c r="J342" s="2"/>
      <c r="K342" s="2"/>
      <c r="O342" s="58"/>
      <c r="P342" s="58"/>
    </row>
    <row r="343" spans="2:16">
      <c r="B343" s="587"/>
      <c r="C343" s="402">
        <v>3.22</v>
      </c>
      <c r="D343" s="151">
        <v>1.79</v>
      </c>
      <c r="E343" s="151">
        <f t="shared" si="11"/>
        <v>2.5438000000000005</v>
      </c>
      <c r="F343" s="156">
        <f>SUM($E$2:E343)/SUM($C$2:C343)</f>
        <v>0.10763110773398518</v>
      </c>
      <c r="G343" s="151">
        <f t="shared" si="12"/>
        <v>32.57885999999997</v>
      </c>
      <c r="H343" s="481" t="s">
        <v>102</v>
      </c>
      <c r="I343" s="2"/>
      <c r="J343" s="2"/>
      <c r="K343" s="2"/>
      <c r="O343" s="58"/>
      <c r="P343" s="58"/>
    </row>
    <row r="344" spans="2:16">
      <c r="B344" s="587"/>
      <c r="C344" s="402">
        <v>3.22</v>
      </c>
      <c r="D344" s="151"/>
      <c r="E344" s="151">
        <f t="shared" si="11"/>
        <v>-3.22</v>
      </c>
      <c r="F344" s="156">
        <f>SUM($E$2:E344)/SUM($C$2:C344)</f>
        <v>9.5972214049883875E-2</v>
      </c>
      <c r="G344" s="151">
        <f t="shared" si="12"/>
        <v>29.358859999999972</v>
      </c>
      <c r="H344" s="481" t="s">
        <v>156</v>
      </c>
      <c r="I344" s="2"/>
      <c r="J344" s="2"/>
      <c r="K344" s="2"/>
      <c r="O344" s="58"/>
      <c r="P344" s="58"/>
    </row>
    <row r="345" spans="2:16">
      <c r="B345" s="587"/>
      <c r="C345" s="402">
        <v>3.22</v>
      </c>
      <c r="D345" s="151">
        <v>1.79</v>
      </c>
      <c r="E345" s="151">
        <f t="shared" si="11"/>
        <v>2.5438000000000005</v>
      </c>
      <c r="F345" s="156">
        <f>SUM($E$2:E345)/SUM($C$2:C345)</f>
        <v>0.10320143628893984</v>
      </c>
      <c r="G345" s="151">
        <f t="shared" si="12"/>
        <v>31.902659999999972</v>
      </c>
      <c r="H345" s="481" t="s">
        <v>157</v>
      </c>
      <c r="I345" s="2"/>
      <c r="J345" s="2"/>
      <c r="K345" s="2"/>
      <c r="O345" s="58"/>
      <c r="P345" s="58"/>
    </row>
    <row r="346" spans="2:16">
      <c r="B346" s="587"/>
      <c r="C346" s="402">
        <v>3.22</v>
      </c>
      <c r="D346" s="151"/>
      <c r="E346" s="151">
        <f t="shared" si="11"/>
        <v>-3.22</v>
      </c>
      <c r="F346" s="156">
        <f>SUM($E$2:E346)/SUM($C$2:C346)</f>
        <v>9.1828589723066983E-2</v>
      </c>
      <c r="G346" s="151">
        <f t="shared" si="12"/>
        <v>28.682659999999974</v>
      </c>
      <c r="H346" s="481" t="s">
        <v>158</v>
      </c>
      <c r="I346" s="2"/>
      <c r="J346" s="2"/>
      <c r="K346" s="2"/>
      <c r="O346" s="58"/>
      <c r="P346" s="58"/>
    </row>
    <row r="347" spans="2:16">
      <c r="B347" s="587"/>
      <c r="C347" s="491">
        <v>3.22</v>
      </c>
      <c r="D347" s="257">
        <v>1.79</v>
      </c>
      <c r="E347" s="257">
        <f t="shared" si="11"/>
        <v>2.5438000000000005</v>
      </c>
      <c r="F347" s="256">
        <f>SUM($E$2:E347)/SUM($C$2:C347)</f>
        <v>9.8952562030611174E-2</v>
      </c>
      <c r="G347" s="257">
        <f t="shared" si="12"/>
        <v>31.226459999999975</v>
      </c>
      <c r="H347" s="492" t="s">
        <v>159</v>
      </c>
      <c r="I347" s="2">
        <f>SUM(E330:E347)</f>
        <v>-4.2053199999999986</v>
      </c>
      <c r="L347" s="2">
        <f>I347/C347</f>
        <v>-1.3059999999999994</v>
      </c>
      <c r="O347" s="58"/>
      <c r="P347" s="58"/>
    </row>
    <row r="348" spans="2:16">
      <c r="B348" s="586">
        <v>45998</v>
      </c>
      <c r="C348" s="484">
        <v>3.2</v>
      </c>
      <c r="D348" s="164"/>
      <c r="E348" s="164">
        <f t="shared" ref="E348:E362" si="13">(C348*D348)-C348</f>
        <v>-3.2</v>
      </c>
      <c r="F348" s="197">
        <f>SUM($E$2:E348)/SUM($C$2:C348)</f>
        <v>8.7920632430906212E-2</v>
      </c>
      <c r="G348" s="164">
        <f t="shared" ref="G348:G362" si="14">G347+E348</f>
        <v>28.026459999999975</v>
      </c>
      <c r="H348" s="485" t="s">
        <v>64</v>
      </c>
      <c r="I348" s="2"/>
      <c r="J348" s="2"/>
      <c r="K348" s="2"/>
      <c r="O348" s="58"/>
      <c r="P348" s="58"/>
    </row>
    <row r="349" spans="2:16">
      <c r="B349" s="587"/>
      <c r="C349" s="402">
        <v>3.2</v>
      </c>
      <c r="D349" s="151"/>
      <c r="E349" s="151">
        <f t="shared" si="13"/>
        <v>-3.2</v>
      </c>
      <c r="F349" s="156">
        <f>SUM($E$2:E349)/SUM($C$2:C349)</f>
        <v>7.7107991427772693E-2</v>
      </c>
      <c r="G349" s="151">
        <f t="shared" si="14"/>
        <v>24.826459999999976</v>
      </c>
      <c r="H349" s="481" t="s">
        <v>59</v>
      </c>
      <c r="I349" s="2"/>
      <c r="J349" s="2"/>
      <c r="K349" s="2"/>
      <c r="O349" s="58"/>
      <c r="P349" s="58"/>
    </row>
    <row r="350" spans="2:16">
      <c r="B350" s="587"/>
      <c r="C350" s="488">
        <v>3.2</v>
      </c>
      <c r="D350" s="165"/>
      <c r="E350" s="165">
        <f t="shared" si="13"/>
        <v>-3.2</v>
      </c>
      <c r="F350" s="195">
        <f>SUM($E$2:E350)/SUM($C$2:C350)</f>
        <v>6.6508164959867069E-2</v>
      </c>
      <c r="G350" s="165">
        <f t="shared" si="14"/>
        <v>21.626459999999977</v>
      </c>
      <c r="H350" s="393" t="s">
        <v>52</v>
      </c>
      <c r="I350" s="2"/>
      <c r="J350" s="2"/>
      <c r="K350" s="2"/>
      <c r="O350" s="58"/>
      <c r="P350" s="58"/>
    </row>
    <row r="351" spans="2:16">
      <c r="B351" s="587"/>
      <c r="C351" s="484">
        <v>3.2</v>
      </c>
      <c r="D351" s="164"/>
      <c r="E351" s="164">
        <f t="shared" si="13"/>
        <v>-3.2</v>
      </c>
      <c r="F351" s="197">
        <f>SUM($E$2:E351)/SUM($C$2:C351)</f>
        <v>5.6114931327465901E-2</v>
      </c>
      <c r="G351" s="164">
        <f t="shared" si="14"/>
        <v>18.426459999999977</v>
      </c>
      <c r="H351" s="485" t="s">
        <v>29</v>
      </c>
      <c r="I351" s="2"/>
      <c r="J351" s="2"/>
      <c r="K351" s="2"/>
      <c r="O351" s="58"/>
      <c r="P351" s="58"/>
    </row>
    <row r="352" spans="2:16">
      <c r="B352" s="587"/>
      <c r="C352" s="402">
        <v>3.2</v>
      </c>
      <c r="D352" s="151">
        <v>1.784</v>
      </c>
      <c r="E352" s="151">
        <f t="shared" si="13"/>
        <v>2.5087999999999999</v>
      </c>
      <c r="F352" s="156">
        <f>SUM($E$2:E352)/SUM($C$2:C352)</f>
        <v>6.3139789486382908E-2</v>
      </c>
      <c r="G352" s="151">
        <f t="shared" si="14"/>
        <v>20.935259999999978</v>
      </c>
      <c r="H352" s="481" t="s">
        <v>25</v>
      </c>
      <c r="I352" s="2"/>
      <c r="J352" s="2"/>
      <c r="K352" s="2"/>
      <c r="O352" s="58"/>
      <c r="P352" s="58"/>
    </row>
    <row r="353" spans="2:16">
      <c r="B353" s="587"/>
      <c r="C353" s="402">
        <v>3.2</v>
      </c>
      <c r="D353" s="151"/>
      <c r="E353" s="151">
        <f t="shared" si="13"/>
        <v>-3.2</v>
      </c>
      <c r="F353" s="156">
        <f>SUM($E$2:E353)/SUM($C$2:C353)</f>
        <v>5.297744720255692E-2</v>
      </c>
      <c r="G353" s="151">
        <f t="shared" si="14"/>
        <v>17.735259999999979</v>
      </c>
      <c r="H353" s="481" t="s">
        <v>15</v>
      </c>
      <c r="I353" s="2"/>
      <c r="J353" s="2"/>
      <c r="K353" s="2"/>
      <c r="O353" s="58"/>
      <c r="P353" s="58"/>
    </row>
    <row r="354" spans="2:16">
      <c r="B354" s="587"/>
      <c r="C354" s="402">
        <v>3.2</v>
      </c>
      <c r="D354" s="151">
        <v>1.8069999999999999</v>
      </c>
      <c r="E354" s="151">
        <f t="shared" si="13"/>
        <v>2.5823999999999998</v>
      </c>
      <c r="F354" s="156">
        <f>SUM($E$2:E354)/SUM($C$2:C354)</f>
        <v>6.0116755925082054E-2</v>
      </c>
      <c r="G354" s="151">
        <f t="shared" si="14"/>
        <v>20.317659999999979</v>
      </c>
      <c r="H354" s="481" t="s">
        <v>26</v>
      </c>
      <c r="I354" s="2"/>
      <c r="J354" s="2"/>
      <c r="K354" s="2"/>
      <c r="O354" s="58"/>
      <c r="P354" s="58"/>
    </row>
    <row r="355" spans="2:16">
      <c r="B355" s="587"/>
      <c r="C355" s="402">
        <v>3.2</v>
      </c>
      <c r="D355" s="151"/>
      <c r="E355" s="151">
        <f t="shared" si="13"/>
        <v>-3.2</v>
      </c>
      <c r="F355" s="156">
        <f>SUM($E$2:E355)/SUM($C$2:C355)</f>
        <v>5.0173403288683006E-2</v>
      </c>
      <c r="G355" s="151">
        <f t="shared" si="14"/>
        <v>17.117659999999979</v>
      </c>
      <c r="H355" s="481" t="s">
        <v>35</v>
      </c>
      <c r="I355" s="2"/>
      <c r="J355" s="2"/>
      <c r="K355" s="2"/>
      <c r="O355" s="58"/>
      <c r="P355" s="58"/>
    </row>
    <row r="356" spans="2:16">
      <c r="B356" s="587"/>
      <c r="C356" s="402">
        <v>3.2</v>
      </c>
      <c r="D356" s="151"/>
      <c r="E356" s="151">
        <f t="shared" si="13"/>
        <v>-3.2</v>
      </c>
      <c r="F356" s="156">
        <f>SUM($E$2:E356)/SUM($C$2:C356)</f>
        <v>4.0414844498649655E-2</v>
      </c>
      <c r="G356" s="151">
        <f t="shared" si="14"/>
        <v>13.91765999999998</v>
      </c>
      <c r="H356" s="481" t="s">
        <v>51</v>
      </c>
      <c r="I356" s="2"/>
      <c r="J356" s="2"/>
      <c r="K356" s="2"/>
      <c r="O356" s="58"/>
      <c r="P356" s="58"/>
    </row>
    <row r="357" spans="2:16">
      <c r="B357" s="587"/>
      <c r="C357" s="488">
        <v>3.2</v>
      </c>
      <c r="D357" s="165"/>
      <c r="E357" s="165">
        <f t="shared" si="13"/>
        <v>-3.2</v>
      </c>
      <c r="F357" s="195">
        <f>SUM($E$2:E357)/SUM($C$2:C357)</f>
        <v>3.083597548695222E-2</v>
      </c>
      <c r="G357" s="165">
        <f t="shared" si="14"/>
        <v>10.717659999999981</v>
      </c>
      <c r="H357" s="393" t="s">
        <v>47</v>
      </c>
      <c r="I357" s="2"/>
      <c r="J357" s="2"/>
      <c r="K357" s="2"/>
      <c r="O357" s="58"/>
      <c r="P357" s="58"/>
    </row>
    <row r="358" spans="2:16">
      <c r="B358" s="587"/>
      <c r="C358" s="484">
        <v>3.2</v>
      </c>
      <c r="D358" s="164"/>
      <c r="E358" s="164">
        <f t="shared" si="13"/>
        <v>-3.2</v>
      </c>
      <c r="F358" s="197">
        <f>SUM($E$2:E358)/SUM($C$2:C358)</f>
        <v>2.1431878438863024E-2</v>
      </c>
      <c r="G358" s="164">
        <f t="shared" si="14"/>
        <v>7.5176599999999807</v>
      </c>
      <c r="H358" s="485" t="s">
        <v>160</v>
      </c>
      <c r="I358" s="2"/>
      <c r="J358" s="2"/>
      <c r="K358" s="2"/>
      <c r="O358" s="58"/>
      <c r="P358" s="58"/>
    </row>
    <row r="359" spans="2:16">
      <c r="B359" s="587"/>
      <c r="C359" s="402">
        <v>3.2</v>
      </c>
      <c r="D359" s="151">
        <v>1.794</v>
      </c>
      <c r="E359" s="151">
        <f t="shared" si="13"/>
        <v>2.5407999999999999</v>
      </c>
      <c r="F359" s="156">
        <f>SUM($E$2:E359)/SUM($C$2:C359)</f>
        <v>2.8416136960759338E-2</v>
      </c>
      <c r="G359" s="151">
        <f t="shared" si="14"/>
        <v>10.058459999999981</v>
      </c>
      <c r="H359" s="481" t="s">
        <v>161</v>
      </c>
      <c r="I359" s="2"/>
      <c r="J359" s="2"/>
      <c r="K359" s="2"/>
      <c r="O359" s="58"/>
      <c r="P359" s="58"/>
    </row>
    <row r="360" spans="2:16">
      <c r="B360" s="587"/>
      <c r="C360" s="402">
        <v>3.2</v>
      </c>
      <c r="D360" s="151"/>
      <c r="E360" s="151">
        <f t="shared" si="13"/>
        <v>-3.2</v>
      </c>
      <c r="F360" s="156">
        <f>SUM($E$2:E360)/SUM($C$2:C360)</f>
        <v>1.9202228630624023E-2</v>
      </c>
      <c r="G360" s="151">
        <f t="shared" si="14"/>
        <v>6.8584599999999805</v>
      </c>
      <c r="H360" s="481" t="s">
        <v>162</v>
      </c>
      <c r="I360" s="2"/>
      <c r="J360" s="2"/>
      <c r="K360" s="2"/>
      <c r="O360" s="58"/>
      <c r="P360" s="58"/>
    </row>
    <row r="361" spans="2:16">
      <c r="B361" s="587"/>
      <c r="C361" s="402">
        <v>3.2</v>
      </c>
      <c r="D361" s="151"/>
      <c r="E361" s="151">
        <f t="shared" si="13"/>
        <v>-3.2</v>
      </c>
      <c r="F361" s="156">
        <f>SUM($E$2:E361)/SUM($C$2:C361)</f>
        <v>1.0151954935205432E-2</v>
      </c>
      <c r="G361" s="151">
        <f t="shared" si="14"/>
        <v>3.6584599999999803</v>
      </c>
      <c r="H361" s="481" t="s">
        <v>163</v>
      </c>
      <c r="I361" s="154"/>
      <c r="J361" s="154"/>
      <c r="K361" s="2"/>
      <c r="O361" s="58"/>
      <c r="P361" s="58"/>
    </row>
    <row r="362" spans="2:16">
      <c r="B362" s="587"/>
      <c r="C362" s="491">
        <v>3.2</v>
      </c>
      <c r="D362" s="257"/>
      <c r="E362" s="257">
        <f t="shared" si="13"/>
        <v>-3.2</v>
      </c>
      <c r="F362" s="256">
        <f>SUM($E$2:E362)/SUM($C$2:C362)</f>
        <v>1.2609951316114648E-3</v>
      </c>
      <c r="G362" s="257">
        <f t="shared" si="14"/>
        <v>0.45845999999998011</v>
      </c>
      <c r="H362" s="492" t="s">
        <v>164</v>
      </c>
      <c r="I362" s="490">
        <f>SUM(E348:E362)</f>
        <v>-30.767999999999994</v>
      </c>
      <c r="J362" s="490">
        <f>SUM(E239:E362)</f>
        <v>0.45845999999998011</v>
      </c>
      <c r="L362" s="2">
        <f>I362/C362</f>
        <v>-9.6149999999999967</v>
      </c>
      <c r="O362" s="58"/>
      <c r="P362" s="58"/>
    </row>
    <row r="363" spans="2:16">
      <c r="B363" s="586">
        <v>45999</v>
      </c>
      <c r="C363" s="484">
        <v>7.13</v>
      </c>
      <c r="D363" s="164"/>
      <c r="E363" s="164">
        <f t="shared" ref="E363:E371" si="15">(C363*D363)-C363</f>
        <v>-7.13</v>
      </c>
      <c r="F363" s="197">
        <f>SUM($E$2:E363)/SUM($C$2:C363)</f>
        <v>-1.7997140544915084E-2</v>
      </c>
      <c r="G363" s="164">
        <f>G362+E363</f>
        <v>-6.6715400000000198</v>
      </c>
      <c r="H363" s="485" t="s">
        <v>38</v>
      </c>
      <c r="I363" s="2"/>
      <c r="J363" s="2"/>
      <c r="K363" s="2"/>
      <c r="O363" s="58"/>
      <c r="P363" s="58"/>
    </row>
    <row r="364" spans="2:16">
      <c r="B364" s="587"/>
      <c r="C364" s="402">
        <v>7.13</v>
      </c>
      <c r="D364" s="151">
        <v>1.9</v>
      </c>
      <c r="E364" s="151">
        <f t="shared" si="15"/>
        <v>6.4169999999999989</v>
      </c>
      <c r="F364" s="156">
        <f>SUM($E$2:E364)/SUM($C$2:C364)</f>
        <v>-6.7368922531302691E-4</v>
      </c>
      <c r="G364" s="151">
        <f t="shared" ref="G364:G371" si="16">G363+E364</f>
        <v>-0.25454000000002086</v>
      </c>
      <c r="H364" s="481" t="s">
        <v>36</v>
      </c>
      <c r="I364" s="2"/>
      <c r="J364" s="2"/>
      <c r="K364" s="2"/>
      <c r="O364" s="58"/>
      <c r="P364" s="58"/>
    </row>
    <row r="365" spans="2:16">
      <c r="B365" s="587"/>
      <c r="C365" s="488">
        <v>7.13</v>
      </c>
      <c r="D365" s="165">
        <v>1.91</v>
      </c>
      <c r="E365" s="165">
        <f t="shared" si="15"/>
        <v>6.4882999999999997</v>
      </c>
      <c r="F365" s="195">
        <f>SUM($E$2:E365)/SUM($C$2:C365)</f>
        <v>1.6193266832917656E-2</v>
      </c>
      <c r="G365" s="165">
        <f t="shared" si="16"/>
        <v>6.2337599999999789</v>
      </c>
      <c r="H365" s="393" t="s">
        <v>12</v>
      </c>
      <c r="I365" s="2"/>
      <c r="J365" s="2"/>
      <c r="K365" s="2"/>
      <c r="O365" s="58"/>
      <c r="P365" s="58"/>
    </row>
    <row r="366" spans="2:16">
      <c r="B366" s="587"/>
      <c r="C366" s="484">
        <v>7.13</v>
      </c>
      <c r="D366" s="164"/>
      <c r="E366" s="164">
        <f t="shared" si="15"/>
        <v>-7.13</v>
      </c>
      <c r="F366" s="197">
        <f>SUM($E$2:E366)/SUM($C$2:C366)</f>
        <v>-2.2858017291948821E-3</v>
      </c>
      <c r="G366" s="164">
        <f t="shared" si="16"/>
        <v>-0.89624000000002102</v>
      </c>
      <c r="H366" s="485" t="s">
        <v>60</v>
      </c>
      <c r="I366" s="2"/>
      <c r="J366" s="2"/>
      <c r="K366" s="2"/>
      <c r="O366" s="58"/>
      <c r="P366" s="58"/>
    </row>
    <row r="367" spans="2:16">
      <c r="B367" s="587"/>
      <c r="C367" s="402">
        <v>7.13</v>
      </c>
      <c r="D367" s="151"/>
      <c r="E367" s="151">
        <f t="shared" si="15"/>
        <v>-7.13</v>
      </c>
      <c r="F367" s="156">
        <f>SUM($E$2:E367)/SUM($C$2:C367)</f>
        <v>-2.0104804368518671E-2</v>
      </c>
      <c r="G367" s="151">
        <f t="shared" si="16"/>
        <v>-8.0262400000000209</v>
      </c>
      <c r="H367" s="481" t="s">
        <v>104</v>
      </c>
      <c r="I367" s="2"/>
      <c r="J367" s="2"/>
      <c r="K367" s="2"/>
      <c r="O367" s="58"/>
      <c r="P367" s="58"/>
    </row>
    <row r="368" spans="2:16">
      <c r="B368" s="587"/>
      <c r="C368" s="488">
        <v>7.13</v>
      </c>
      <c r="D368" s="165">
        <v>1.83</v>
      </c>
      <c r="E368" s="165">
        <f t="shared" si="15"/>
        <v>5.9179000000000004</v>
      </c>
      <c r="F368" s="195">
        <f>SUM($E$2:E368)/SUM($C$2:C368)</f>
        <v>-5.1884828349945157E-3</v>
      </c>
      <c r="G368" s="165">
        <f t="shared" si="16"/>
        <v>-2.1083400000000205</v>
      </c>
      <c r="H368" s="393" t="s">
        <v>13</v>
      </c>
      <c r="I368" s="2"/>
      <c r="J368" s="2"/>
      <c r="K368" s="2"/>
      <c r="O368" s="58"/>
      <c r="P368" s="58"/>
    </row>
    <row r="369" spans="2:16">
      <c r="B369" s="587"/>
      <c r="C369" s="484">
        <v>7.13</v>
      </c>
      <c r="D369" s="164"/>
      <c r="E369" s="164">
        <f t="shared" si="15"/>
        <v>-7.13</v>
      </c>
      <c r="F369" s="197">
        <f>SUM($E$2:E369)/SUM($C$2:C369)</f>
        <v>-2.2342894456805706E-2</v>
      </c>
      <c r="G369" s="164">
        <f t="shared" si="16"/>
        <v>-9.2383400000000204</v>
      </c>
      <c r="H369" s="485" t="s">
        <v>165</v>
      </c>
      <c r="I369" s="2"/>
      <c r="J369" s="2"/>
      <c r="K369" s="2"/>
      <c r="O369" s="58"/>
      <c r="P369" s="58"/>
    </row>
    <row r="370" spans="2:16">
      <c r="B370" s="587"/>
      <c r="C370" s="402">
        <v>7.13</v>
      </c>
      <c r="D370" s="151"/>
      <c r="E370" s="151">
        <f t="shared" si="15"/>
        <v>-7.13</v>
      </c>
      <c r="F370" s="156">
        <f>SUM($E$2:E370)/SUM($C$2:C370)</f>
        <v>-3.8915717648177708E-2</v>
      </c>
      <c r="G370" s="151">
        <f t="shared" si="16"/>
        <v>-16.368340000000021</v>
      </c>
      <c r="H370" s="481" t="s">
        <v>166</v>
      </c>
      <c r="I370" s="2"/>
      <c r="J370" s="2"/>
      <c r="K370" s="2"/>
      <c r="O370" s="58"/>
      <c r="P370" s="58"/>
    </row>
    <row r="371" spans="2:16">
      <c r="B371" s="587"/>
      <c r="C371" s="491">
        <v>7.13</v>
      </c>
      <c r="D371" s="257">
        <v>1.8</v>
      </c>
      <c r="E371" s="257">
        <f t="shared" si="15"/>
        <v>5.7039999999999997</v>
      </c>
      <c r="F371" s="256">
        <f>SUM($E$2:E371)/SUM($C$2:C371)</f>
        <v>-2.4931827745826963E-2</v>
      </c>
      <c r="G371" s="257">
        <f t="shared" si="16"/>
        <v>-10.664340000000021</v>
      </c>
      <c r="H371" s="492" t="s">
        <v>167</v>
      </c>
      <c r="I371" s="2">
        <f>SUM(E363:E371)</f>
        <v>-11.122799999999998</v>
      </c>
      <c r="L371" s="2">
        <f>I371/C371</f>
        <v>-1.5599999999999998</v>
      </c>
      <c r="O371" s="58"/>
      <c r="P371" s="58"/>
    </row>
    <row r="372" spans="2:16">
      <c r="B372" s="586">
        <v>46000</v>
      </c>
      <c r="C372" s="484">
        <v>10.51</v>
      </c>
      <c r="D372" s="164"/>
      <c r="E372" s="164">
        <f t="shared" ref="E372:E376" si="17">(C372*D372)-C372</f>
        <v>-10.51</v>
      </c>
      <c r="F372" s="197">
        <f>SUM($E$2:E372)/SUM($C$2:C372)</f>
        <v>-4.8315664575014329E-2</v>
      </c>
      <c r="G372" s="164">
        <f t="shared" ref="G372:G376" si="18">G371+E372</f>
        <v>-21.174340000000022</v>
      </c>
      <c r="H372" s="485" t="s">
        <v>16</v>
      </c>
      <c r="I372" s="2"/>
      <c r="J372" s="2"/>
      <c r="K372" s="2"/>
      <c r="O372" s="58"/>
      <c r="P372" s="58"/>
    </row>
    <row r="373" spans="2:16">
      <c r="B373" s="587"/>
      <c r="C373" s="488">
        <v>10.51</v>
      </c>
      <c r="D373" s="165">
        <v>1.9</v>
      </c>
      <c r="E373" s="165">
        <f t="shared" si="17"/>
        <v>9.4589999999999979</v>
      </c>
      <c r="F373" s="195">
        <f>SUM($E$2:E373)/SUM($C$2:C373)</f>
        <v>-2.61060254924682E-2</v>
      </c>
      <c r="G373" s="165">
        <f t="shared" si="18"/>
        <v>-11.715340000000024</v>
      </c>
      <c r="H373" s="393" t="s">
        <v>29</v>
      </c>
      <c r="I373" s="2"/>
      <c r="J373" s="2"/>
      <c r="K373" s="2"/>
      <c r="O373" s="58"/>
      <c r="P373" s="58"/>
    </row>
    <row r="374" spans="2:16">
      <c r="B374" s="587"/>
      <c r="C374" s="488">
        <v>10.51</v>
      </c>
      <c r="D374" s="165"/>
      <c r="E374" s="165">
        <f t="shared" si="17"/>
        <v>-10.51</v>
      </c>
      <c r="F374" s="195">
        <f>SUM($E$2:E374)/SUM($C$2:C374)</f>
        <v>-4.8392753717856674E-2</v>
      </c>
      <c r="G374" s="165">
        <f t="shared" si="18"/>
        <v>-22.225340000000024</v>
      </c>
      <c r="H374" s="393" t="s">
        <v>25</v>
      </c>
      <c r="I374" s="2"/>
      <c r="J374" s="2"/>
      <c r="K374" s="2"/>
      <c r="O374" s="58"/>
      <c r="P374" s="58"/>
    </row>
    <row r="375" spans="2:16">
      <c r="B375" s="587"/>
      <c r="C375" s="484">
        <v>10.51</v>
      </c>
      <c r="D375" s="164"/>
      <c r="E375" s="164">
        <f t="shared" si="17"/>
        <v>-10.51</v>
      </c>
      <c r="F375" s="197">
        <f>SUM($E$2:E375)/SUM($C$2:C375)</f>
        <v>-6.9682276810421981E-2</v>
      </c>
      <c r="G375" s="164">
        <f t="shared" si="18"/>
        <v>-32.735340000000022</v>
      </c>
      <c r="H375" s="485" t="s">
        <v>168</v>
      </c>
      <c r="I375" s="2"/>
      <c r="J375" s="2"/>
      <c r="K375" s="2"/>
      <c r="O375" s="58"/>
      <c r="P375" s="58"/>
    </row>
    <row r="376" spans="2:16">
      <c r="B376" s="587"/>
      <c r="C376" s="491">
        <v>10.51</v>
      </c>
      <c r="D376" s="257"/>
      <c r="E376" s="257">
        <f t="shared" si="17"/>
        <v>-10.51</v>
      </c>
      <c r="F376" s="256">
        <f>SUM($E$2:E376)/SUM($C$2:C376)</f>
        <v>-9.0040059130941805E-2</v>
      </c>
      <c r="G376" s="520">
        <f t="shared" si="18"/>
        <v>-43.24534000000002</v>
      </c>
      <c r="H376" s="492" t="s">
        <v>169</v>
      </c>
      <c r="I376" s="2">
        <f>SUM(E372:E376)</f>
        <v>-32.581000000000003</v>
      </c>
      <c r="L376" s="2">
        <f>I376/C376</f>
        <v>-3.1000000000000005</v>
      </c>
      <c r="O376" s="58"/>
      <c r="P376" s="58"/>
    </row>
    <row r="377" spans="2:16">
      <c r="B377" s="586">
        <v>46002</v>
      </c>
      <c r="C377" s="484">
        <v>4.99</v>
      </c>
      <c r="D377" s="164">
        <v>1.9</v>
      </c>
      <c r="E377" s="164">
        <f t="shared" ref="E377:E386" si="19">(C377*D377)-C377</f>
        <v>4.4909999999999997</v>
      </c>
      <c r="F377" s="197">
        <f>SUM($E$2:E377)/SUM($C$2:C377)</f>
        <v>-7.98597510715464E-2</v>
      </c>
      <c r="G377" s="164">
        <f t="shared" ref="G377:G386" si="20">G376+E377</f>
        <v>-38.75434000000002</v>
      </c>
      <c r="H377" s="485" t="s">
        <v>18</v>
      </c>
      <c r="I377" s="2"/>
      <c r="J377" s="2"/>
      <c r="K377" s="2"/>
      <c r="O377" s="58"/>
      <c r="P377" s="58"/>
    </row>
    <row r="378" spans="2:16">
      <c r="B378" s="587"/>
      <c r="C378" s="488">
        <v>4.99</v>
      </c>
      <c r="D378" s="165">
        <v>1.9</v>
      </c>
      <c r="E378" s="165">
        <f t="shared" si="19"/>
        <v>4.4909999999999997</v>
      </c>
      <c r="F378" s="195">
        <f>SUM($E$2:E378)/SUM($C$2:C378)</f>
        <v>-6.9886674689456904E-2</v>
      </c>
      <c r="G378" s="165">
        <f t="shared" si="20"/>
        <v>-34.263340000000021</v>
      </c>
      <c r="H378" s="393" t="s">
        <v>59</v>
      </c>
      <c r="I378" s="2"/>
      <c r="J378" s="2"/>
      <c r="K378" s="2"/>
      <c r="O378" s="58"/>
      <c r="P378" s="58"/>
    </row>
    <row r="379" spans="2:16">
      <c r="B379" s="587"/>
      <c r="C379" s="484">
        <v>4.99</v>
      </c>
      <c r="D379" s="164"/>
      <c r="E379" s="164">
        <f t="shared" si="19"/>
        <v>-4.99</v>
      </c>
      <c r="F379" s="197">
        <f>SUM($E$2:E379)/SUM($C$2:C379)</f>
        <v>-7.9258046278722363E-2</v>
      </c>
      <c r="G379" s="164">
        <f t="shared" si="20"/>
        <v>-39.253340000000023</v>
      </c>
      <c r="H379" s="485" t="s">
        <v>53</v>
      </c>
      <c r="I379" s="2"/>
      <c r="J379" s="2"/>
      <c r="K379" s="2"/>
      <c r="O379" s="58"/>
      <c r="P379" s="58"/>
    </row>
    <row r="380" spans="2:16">
      <c r="B380" s="587"/>
      <c r="C380" s="484">
        <v>4.99</v>
      </c>
      <c r="D380" s="164">
        <v>1.9</v>
      </c>
      <c r="E380" s="164">
        <f t="shared" si="19"/>
        <v>4.4909999999999997</v>
      </c>
      <c r="F380" s="197">
        <f>SUM($E$2:E380)/SUM($C$2:C380)</f>
        <v>-6.9489935032483824E-2</v>
      </c>
      <c r="G380" s="164">
        <f t="shared" si="20"/>
        <v>-34.762340000000023</v>
      </c>
      <c r="H380" s="485" t="s">
        <v>34</v>
      </c>
      <c r="I380" s="2"/>
      <c r="J380" s="2"/>
      <c r="K380" s="2"/>
      <c r="O380" s="58"/>
      <c r="P380" s="58"/>
    </row>
    <row r="381" spans="2:16">
      <c r="B381" s="587"/>
      <c r="C381" s="484">
        <v>4.99</v>
      </c>
      <c r="D381" s="164">
        <v>1.83</v>
      </c>
      <c r="E381" s="164">
        <f t="shared" si="19"/>
        <v>4.1417000000000002</v>
      </c>
      <c r="F381" s="197">
        <f>SUM($E$2:E381)/SUM($C$2:C381)</f>
        <v>-6.0606127780856688E-2</v>
      </c>
      <c r="G381" s="164">
        <f t="shared" si="20"/>
        <v>-30.620640000000023</v>
      </c>
      <c r="H381" s="485" t="s">
        <v>13</v>
      </c>
      <c r="I381" s="2"/>
      <c r="J381" s="2"/>
      <c r="K381" s="2"/>
      <c r="O381" s="58"/>
      <c r="P381" s="58"/>
    </row>
    <row r="382" spans="2:16">
      <c r="B382" s="587"/>
      <c r="C382" s="488">
        <v>4.99</v>
      </c>
      <c r="D382" s="165"/>
      <c r="E382" s="165">
        <f t="shared" si="19"/>
        <v>-4.99</v>
      </c>
      <c r="F382" s="195">
        <f>SUM($E$2:E382)/SUM($C$2:C382)</f>
        <v>-6.9793308899907952E-2</v>
      </c>
      <c r="G382" s="165">
        <f t="shared" si="20"/>
        <v>-35.610640000000025</v>
      </c>
      <c r="H382" s="393" t="s">
        <v>38</v>
      </c>
      <c r="I382" s="2"/>
      <c r="J382" s="2"/>
      <c r="K382" s="2"/>
      <c r="O382" s="58"/>
      <c r="P382" s="58"/>
    </row>
    <row r="383" spans="2:16">
      <c r="B383" s="587"/>
      <c r="C383" s="484">
        <v>4.99</v>
      </c>
      <c r="D383" s="164">
        <v>1.825</v>
      </c>
      <c r="E383" s="164">
        <f t="shared" si="19"/>
        <v>4.1167499999999997</v>
      </c>
      <c r="F383" s="197">
        <f>SUM($E$2:E383)/SUM($C$2:C383)</f>
        <v>-6.1127071930437558E-2</v>
      </c>
      <c r="G383" s="164">
        <f t="shared" si="20"/>
        <v>-31.493890000000025</v>
      </c>
      <c r="H383" s="485" t="s">
        <v>170</v>
      </c>
      <c r="I383" s="2"/>
      <c r="J383" s="2"/>
      <c r="K383" s="2"/>
      <c r="O383" s="58"/>
      <c r="P383" s="58"/>
    </row>
    <row r="384" spans="2:16">
      <c r="B384" s="587"/>
      <c r="C384" s="484">
        <v>4.99</v>
      </c>
      <c r="D384" s="164"/>
      <c r="E384" s="164">
        <f t="shared" si="19"/>
        <v>-4.99</v>
      </c>
      <c r="F384" s="197">
        <f>SUM($E$2:E384)/SUM($C$2:C384)</f>
        <v>-7.0133003979162334E-2</v>
      </c>
      <c r="G384" s="164">
        <f t="shared" si="20"/>
        <v>-36.483890000000024</v>
      </c>
      <c r="H384" s="485" t="s">
        <v>171</v>
      </c>
      <c r="I384" s="2"/>
      <c r="J384" s="2"/>
      <c r="K384" s="2"/>
      <c r="O384" s="58"/>
      <c r="P384" s="58"/>
    </row>
    <row r="385" spans="2:16">
      <c r="B385" s="587"/>
      <c r="C385" s="484">
        <v>4.99</v>
      </c>
      <c r="D385" s="164">
        <v>1.81</v>
      </c>
      <c r="E385" s="164">
        <f t="shared" si="19"/>
        <v>4.0419</v>
      </c>
      <c r="F385" s="197">
        <f>SUM($E$2:E385)/SUM($C$2:C385)</f>
        <v>-6.1770734958111265E-2</v>
      </c>
      <c r="G385" s="164">
        <f t="shared" si="20"/>
        <v>-32.441990000000025</v>
      </c>
      <c r="H385" s="485" t="s">
        <v>42</v>
      </c>
      <c r="I385" s="2"/>
      <c r="J385" s="2"/>
      <c r="K385" s="2"/>
      <c r="O385" s="58"/>
      <c r="P385" s="58"/>
    </row>
    <row r="386" spans="2:16">
      <c r="B386" s="587"/>
      <c r="C386" s="491">
        <v>4.99</v>
      </c>
      <c r="D386" s="257">
        <v>1.8160000000000001</v>
      </c>
      <c r="E386" s="257">
        <f t="shared" si="19"/>
        <v>4.0718399999999999</v>
      </c>
      <c r="F386" s="256">
        <f>SUM($E$2:E386)/SUM($C$2:C386)</f>
        <v>-5.3509402289745246E-2</v>
      </c>
      <c r="G386" s="257">
        <f t="shared" si="20"/>
        <v>-28.370150000000024</v>
      </c>
      <c r="H386" s="492" t="s">
        <v>172</v>
      </c>
      <c r="I386" s="2">
        <f>SUM(E377:E386)</f>
        <v>14.875189999999998</v>
      </c>
      <c r="L386" s="2">
        <f>I386/C386</f>
        <v>2.9809999999999994</v>
      </c>
      <c r="O386" s="58"/>
      <c r="P386" s="58"/>
    </row>
    <row r="387" spans="2:16">
      <c r="B387" s="586">
        <v>46003</v>
      </c>
      <c r="C387" s="484">
        <v>2.92</v>
      </c>
      <c r="D387" s="164">
        <v>1.91</v>
      </c>
      <c r="E387" s="164">
        <f t="shared" ref="E387:E401" si="21">(C387*D387)-C387</f>
        <v>2.6571999999999996</v>
      </c>
      <c r="F387" s="197">
        <f>SUM($E$2:E387)/SUM($C$2:C387)</f>
        <v>-4.8231978390951273E-2</v>
      </c>
      <c r="G387" s="164">
        <f t="shared" ref="G387:G401" si="22">G386+E387</f>
        <v>-25.712950000000024</v>
      </c>
      <c r="H387" s="485" t="s">
        <v>35</v>
      </c>
      <c r="I387" s="2"/>
      <c r="J387" s="2"/>
      <c r="K387" s="2"/>
      <c r="O387" s="58"/>
      <c r="P387" s="58"/>
    </row>
    <row r="388" spans="2:16">
      <c r="B388" s="587"/>
      <c r="C388" s="484">
        <v>2.92</v>
      </c>
      <c r="D388" s="164">
        <v>1.8620000000000001</v>
      </c>
      <c r="E388" s="164">
        <f t="shared" si="21"/>
        <v>2.5170400000000006</v>
      </c>
      <c r="F388" s="197">
        <f>SUM($E$2:E388)/SUM($C$2:C388)</f>
        <v>-4.3273529466634396E-2</v>
      </c>
      <c r="G388" s="164">
        <f t="shared" si="22"/>
        <v>-23.195910000000023</v>
      </c>
      <c r="H388" s="485" t="s">
        <v>14</v>
      </c>
      <c r="I388" s="2"/>
      <c r="J388" s="2"/>
      <c r="K388" s="2"/>
      <c r="O388" s="58"/>
      <c r="P388" s="58"/>
    </row>
    <row r="389" spans="2:16">
      <c r="B389" s="587"/>
      <c r="C389" s="484">
        <v>2.92</v>
      </c>
      <c r="D389" s="164">
        <v>1.8620000000000001</v>
      </c>
      <c r="E389" s="164">
        <f t="shared" si="21"/>
        <v>2.5170400000000006</v>
      </c>
      <c r="F389" s="197">
        <f>SUM($E$2:E389)/SUM($C$2:C389)</f>
        <v>-3.8368809722608838E-2</v>
      </c>
      <c r="G389" s="164">
        <f t="shared" si="22"/>
        <v>-20.678870000000021</v>
      </c>
      <c r="H389" s="485" t="s">
        <v>28</v>
      </c>
      <c r="I389" s="2"/>
      <c r="J389" s="2"/>
      <c r="K389" s="2"/>
      <c r="O389" s="58"/>
      <c r="P389" s="58"/>
    </row>
    <row r="390" spans="2:16">
      <c r="B390" s="587"/>
      <c r="C390" s="491">
        <v>2.92</v>
      </c>
      <c r="D390" s="257">
        <v>1.8</v>
      </c>
      <c r="E390" s="257">
        <f t="shared" si="21"/>
        <v>2.3360000000000003</v>
      </c>
      <c r="F390" s="256">
        <f>SUM($E$2:E390)/SUM($C$2:C390)</f>
        <v>-3.3851052835551017E-2</v>
      </c>
      <c r="G390" s="257">
        <f t="shared" si="22"/>
        <v>-18.342870000000019</v>
      </c>
      <c r="H390" s="492" t="s">
        <v>104</v>
      </c>
      <c r="I390" s="2"/>
      <c r="J390" s="2"/>
      <c r="K390" s="2"/>
      <c r="O390" s="58"/>
      <c r="P390" s="58"/>
    </row>
    <row r="391" spans="2:16">
      <c r="B391" s="587"/>
      <c r="C391" s="484">
        <v>2.92</v>
      </c>
      <c r="D391" s="164">
        <v>2</v>
      </c>
      <c r="E391" s="164">
        <f t="shared" si="21"/>
        <v>2.92</v>
      </c>
      <c r="F391" s="197">
        <f>SUM($E$2:E391)/SUM($C$2:C391)</f>
        <v>-2.83097523816517E-2</v>
      </c>
      <c r="G391" s="164">
        <f t="shared" si="22"/>
        <v>-15.422870000000019</v>
      </c>
      <c r="H391" s="485" t="s">
        <v>15</v>
      </c>
      <c r="I391" s="2"/>
      <c r="J391" s="2"/>
      <c r="K391" s="2"/>
      <c r="O391" s="58"/>
      <c r="P391" s="58"/>
    </row>
    <row r="392" spans="2:16">
      <c r="B392" s="587"/>
      <c r="C392" s="484">
        <v>2.92</v>
      </c>
      <c r="D392" s="164">
        <v>1.83</v>
      </c>
      <c r="E392" s="164">
        <f t="shared" si="21"/>
        <v>2.4236000000000004</v>
      </c>
      <c r="F392" s="197">
        <f>SUM($E$2:E392)/SUM($C$2:C392)</f>
        <v>-2.3733855507476635E-2</v>
      </c>
      <c r="G392" s="164">
        <f t="shared" si="22"/>
        <v>-12.999270000000019</v>
      </c>
      <c r="H392" s="485" t="s">
        <v>97</v>
      </c>
      <c r="I392" s="2"/>
      <c r="J392" s="2"/>
      <c r="K392" s="2"/>
      <c r="O392" s="58"/>
      <c r="P392" s="58"/>
    </row>
    <row r="393" spans="2:16">
      <c r="B393" s="587"/>
      <c r="C393" s="484">
        <v>2.92</v>
      </c>
      <c r="D393" s="164"/>
      <c r="E393" s="164">
        <f t="shared" si="21"/>
        <v>-2.92</v>
      </c>
      <c r="F393" s="197">
        <f>SUM($E$2:E393)/SUM($C$2:C393)</f>
        <v>-2.8911011023736506E-2</v>
      </c>
      <c r="G393" s="164">
        <f t="shared" si="22"/>
        <v>-15.919270000000019</v>
      </c>
      <c r="H393" s="485" t="s">
        <v>51</v>
      </c>
      <c r="I393" s="2"/>
      <c r="J393" s="2"/>
      <c r="K393" s="2"/>
      <c r="O393" s="58"/>
      <c r="P393" s="58"/>
    </row>
    <row r="394" spans="2:16">
      <c r="B394" s="587"/>
      <c r="C394" s="484">
        <v>2.92</v>
      </c>
      <c r="D394" s="164">
        <v>1.9</v>
      </c>
      <c r="E394" s="164">
        <f t="shared" si="21"/>
        <v>2.6280000000000001</v>
      </c>
      <c r="F394" s="197">
        <f>SUM($E$2:E394)/SUM($C$2:C394)</f>
        <v>-2.4010965585764665E-2</v>
      </c>
      <c r="G394" s="164">
        <f t="shared" si="22"/>
        <v>-13.291270000000019</v>
      </c>
      <c r="H394" s="485" t="s">
        <v>11</v>
      </c>
      <c r="I394" s="2"/>
      <c r="J394" s="2"/>
      <c r="K394" s="2"/>
      <c r="O394" s="58"/>
      <c r="P394" s="58"/>
    </row>
    <row r="395" spans="2:16">
      <c r="B395" s="587"/>
      <c r="C395" s="484">
        <v>2.92</v>
      </c>
      <c r="D395" s="164">
        <v>1.9</v>
      </c>
      <c r="E395" s="164">
        <f t="shared" si="21"/>
        <v>2.6280000000000001</v>
      </c>
      <c r="F395" s="197">
        <f>SUM($E$2:E395)/SUM($C$2:C395)</f>
        <v>-1.9162344780491364E-2</v>
      </c>
      <c r="G395" s="164">
        <f t="shared" si="22"/>
        <v>-10.663270000000018</v>
      </c>
      <c r="H395" s="485" t="s">
        <v>17</v>
      </c>
      <c r="I395" s="2"/>
      <c r="J395" s="2"/>
      <c r="K395" s="2"/>
      <c r="O395" s="58"/>
      <c r="P395" s="58"/>
    </row>
    <row r="396" spans="2:16">
      <c r="B396" s="587"/>
      <c r="C396" s="491">
        <v>2.92</v>
      </c>
      <c r="D396" s="257">
        <v>2</v>
      </c>
      <c r="E396" s="257">
        <f t="shared" si="21"/>
        <v>2.92</v>
      </c>
      <c r="F396" s="256">
        <f>SUM($E$2:E396)/SUM($C$2:C396)</f>
        <v>-1.3842346127031278E-2</v>
      </c>
      <c r="G396" s="257">
        <f t="shared" si="22"/>
        <v>-7.7432700000000185</v>
      </c>
      <c r="H396" s="492" t="s">
        <v>27</v>
      </c>
      <c r="I396" s="2"/>
      <c r="J396" s="2"/>
      <c r="K396" s="2"/>
      <c r="O396" s="58"/>
      <c r="P396" s="58"/>
    </row>
    <row r="397" spans="2:16">
      <c r="B397" s="587"/>
      <c r="C397" s="484">
        <v>2.92</v>
      </c>
      <c r="D397" s="164">
        <v>1.83</v>
      </c>
      <c r="E397" s="164">
        <f t="shared" si="21"/>
        <v>2.4236000000000004</v>
      </c>
      <c r="F397" s="197">
        <f>SUM($E$2:E397)/SUM($C$2:C397)</f>
        <v>-9.4603866194804005E-3</v>
      </c>
      <c r="G397" s="164">
        <f t="shared" si="22"/>
        <v>-5.3196700000000181</v>
      </c>
      <c r="H397" s="485" t="s">
        <v>173</v>
      </c>
      <c r="I397" s="2"/>
      <c r="J397" s="2"/>
      <c r="K397" s="2"/>
      <c r="O397" s="58"/>
      <c r="P397" s="58"/>
    </row>
    <row r="398" spans="2:16">
      <c r="B398" s="587"/>
      <c r="C398" s="484">
        <v>2.92</v>
      </c>
      <c r="D398" s="164">
        <v>1.9</v>
      </c>
      <c r="E398" s="164">
        <f t="shared" si="21"/>
        <v>2.6280000000000001</v>
      </c>
      <c r="F398" s="197">
        <f>SUM($E$2:E398)/SUM($C$2:C398)</f>
        <v>-4.7620791536189186E-3</v>
      </c>
      <c r="G398" s="164">
        <f t="shared" si="22"/>
        <v>-2.691670000000018</v>
      </c>
      <c r="H398" s="485" t="s">
        <v>126</v>
      </c>
      <c r="I398" s="2"/>
      <c r="J398" s="2"/>
      <c r="K398" s="2"/>
      <c r="O398" s="58"/>
      <c r="P398" s="58"/>
    </row>
    <row r="399" spans="2:16">
      <c r="B399" s="587"/>
      <c r="C399" s="484">
        <v>2.92</v>
      </c>
      <c r="D399" s="164">
        <v>1.8250000000000002</v>
      </c>
      <c r="E399" s="164">
        <f t="shared" si="21"/>
        <v>2.4090000000000007</v>
      </c>
      <c r="F399" s="197">
        <f>SUM($E$2:E399)/SUM($C$2:C399)</f>
        <v>-4.9752706151547598E-4</v>
      </c>
      <c r="G399" s="164">
        <f t="shared" si="22"/>
        <v>-0.2826700000000173</v>
      </c>
      <c r="H399" s="485" t="s">
        <v>174</v>
      </c>
      <c r="I399" s="2"/>
      <c r="J399" s="2"/>
      <c r="K399" s="2"/>
      <c r="O399" s="58"/>
      <c r="P399" s="58"/>
    </row>
    <row r="400" spans="2:16">
      <c r="B400" s="587"/>
      <c r="C400" s="484">
        <v>2.92</v>
      </c>
      <c r="D400" s="164">
        <v>1.8250000000000002</v>
      </c>
      <c r="E400" s="164">
        <f t="shared" si="21"/>
        <v>2.4090000000000007</v>
      </c>
      <c r="F400" s="197">
        <f>SUM($E$2:E400)/SUM($C$2:C400)</f>
        <v>3.723413942248737E-3</v>
      </c>
      <c r="G400" s="164">
        <f t="shared" si="22"/>
        <v>2.1263299999999834</v>
      </c>
      <c r="H400" s="485" t="s">
        <v>175</v>
      </c>
      <c r="I400" s="2"/>
      <c r="J400" s="2"/>
      <c r="K400" s="2"/>
      <c r="O400" s="58"/>
      <c r="P400" s="58"/>
    </row>
    <row r="401" spans="2:16">
      <c r="B401" s="587"/>
      <c r="C401" s="491">
        <v>2.92</v>
      </c>
      <c r="D401" s="257">
        <v>1.8560000000000001</v>
      </c>
      <c r="E401" s="257">
        <f t="shared" si="21"/>
        <v>2.4995200000000004</v>
      </c>
      <c r="F401" s="256">
        <f>SUM($E$2:E401)/SUM($C$2:C401)</f>
        <v>8.0591125280928076E-3</v>
      </c>
      <c r="G401" s="257">
        <f t="shared" si="22"/>
        <v>4.6258499999999838</v>
      </c>
      <c r="H401" s="492" t="s">
        <v>176</v>
      </c>
      <c r="I401" s="2">
        <f>SUM(E387:E401)</f>
        <v>32.995999999999995</v>
      </c>
      <c r="L401" s="2">
        <f>I401/C401</f>
        <v>11.299999999999999</v>
      </c>
      <c r="O401" s="58"/>
      <c r="P401" s="58"/>
    </row>
    <row r="402" spans="2:16">
      <c r="B402" s="586">
        <v>46005</v>
      </c>
      <c r="C402" s="484">
        <v>2.69</v>
      </c>
      <c r="D402" s="164"/>
      <c r="E402" s="164">
        <f t="shared" ref="E402:E417" si="23">(C402*D402)-C402</f>
        <v>-2.69</v>
      </c>
      <c r="F402" s="197">
        <f>SUM($E$2:E402)/SUM($C$2:C402)</f>
        <v>3.3568877020184267E-3</v>
      </c>
      <c r="G402" s="164">
        <f t="shared" ref="G402:G417" si="24">G401+E402</f>
        <v>1.9358499999999839</v>
      </c>
      <c r="H402" s="485" t="s">
        <v>11</v>
      </c>
      <c r="I402" s="2"/>
      <c r="J402" s="2"/>
      <c r="K402" s="2"/>
      <c r="L402" s="2"/>
      <c r="O402" s="58"/>
      <c r="P402" s="58"/>
    </row>
    <row r="403" spans="2:16">
      <c r="B403" s="587"/>
      <c r="C403" s="484">
        <v>2.69</v>
      </c>
      <c r="D403" s="164">
        <v>1.784</v>
      </c>
      <c r="E403" s="164">
        <f t="shared" si="23"/>
        <v>2.1089600000000002</v>
      </c>
      <c r="F403" s="197">
        <f>SUM($E$2:E403)/SUM($C$2:C403)</f>
        <v>6.9813935826846208E-3</v>
      </c>
      <c r="G403" s="164">
        <f t="shared" si="24"/>
        <v>4.044809999999984</v>
      </c>
      <c r="H403" s="485" t="s">
        <v>15</v>
      </c>
      <c r="I403" s="2"/>
      <c r="J403" s="2"/>
      <c r="K403" s="2"/>
      <c r="L403" s="2"/>
      <c r="O403" s="58"/>
      <c r="P403" s="58"/>
    </row>
    <row r="404" spans="2:16">
      <c r="B404" s="587"/>
      <c r="C404" s="484">
        <v>2.69</v>
      </c>
      <c r="D404" s="164">
        <v>1.7749999999999999</v>
      </c>
      <c r="E404" s="164">
        <f t="shared" si="23"/>
        <v>2.0847500000000001</v>
      </c>
      <c r="F404" s="197">
        <f>SUM($E$2:E404)/SUM($C$2:C404)</f>
        <v>1.0530804384427706E-2</v>
      </c>
      <c r="G404" s="164">
        <f t="shared" si="24"/>
        <v>6.1295599999999837</v>
      </c>
      <c r="H404" s="485" t="s">
        <v>51</v>
      </c>
      <c r="I404" s="2"/>
      <c r="J404" s="2"/>
      <c r="K404" s="2"/>
      <c r="L404" s="2"/>
      <c r="O404" s="58"/>
      <c r="P404" s="58"/>
    </row>
    <row r="405" spans="2:16">
      <c r="B405" s="587"/>
      <c r="C405" s="484">
        <v>2.69</v>
      </c>
      <c r="D405" s="164"/>
      <c r="E405" s="164">
        <f t="shared" si="23"/>
        <v>-2.69</v>
      </c>
      <c r="F405" s="197">
        <f>SUM($E$2:E405)/SUM($C$2:C405)</f>
        <v>5.882103463018362E-3</v>
      </c>
      <c r="G405" s="164">
        <f t="shared" si="24"/>
        <v>3.4395599999999837</v>
      </c>
      <c r="H405" s="485" t="s">
        <v>34</v>
      </c>
      <c r="I405" s="2"/>
      <c r="J405" s="2"/>
      <c r="K405" s="2"/>
      <c r="L405" s="2"/>
      <c r="O405" s="58"/>
      <c r="P405" s="58"/>
    </row>
    <row r="406" spans="2:16">
      <c r="B406" s="587"/>
      <c r="C406" s="484">
        <v>2.69</v>
      </c>
      <c r="D406" s="164"/>
      <c r="E406" s="164">
        <f t="shared" si="23"/>
        <v>-2.69</v>
      </c>
      <c r="F406" s="197">
        <f>SUM($E$2:E406)/SUM($C$2:C406)</f>
        <v>1.275977121067657E-3</v>
      </c>
      <c r="G406" s="164">
        <f t="shared" si="24"/>
        <v>0.74955999999998379</v>
      </c>
      <c r="H406" s="485" t="s">
        <v>38</v>
      </c>
      <c r="I406" s="2"/>
      <c r="J406" s="2"/>
      <c r="K406" s="2"/>
      <c r="L406" s="2"/>
      <c r="O406" s="58"/>
      <c r="P406" s="58"/>
    </row>
    <row r="407" spans="2:16">
      <c r="B407" s="587"/>
      <c r="C407" s="484">
        <v>2.69</v>
      </c>
      <c r="D407" s="164"/>
      <c r="E407" s="164">
        <f t="shared" si="23"/>
        <v>-2.69</v>
      </c>
      <c r="F407" s="197">
        <f>SUM($E$2:E407)/SUM($C$2:C407)</f>
        <v>-3.2881568467964984E-3</v>
      </c>
      <c r="G407" s="164">
        <f t="shared" si="24"/>
        <v>-1.9404400000000162</v>
      </c>
      <c r="H407" s="485" t="s">
        <v>13</v>
      </c>
      <c r="I407" s="2"/>
      <c r="J407" s="2"/>
      <c r="K407" s="2"/>
      <c r="L407" s="2"/>
      <c r="O407" s="58"/>
      <c r="P407" s="58"/>
    </row>
    <row r="408" spans="2:16">
      <c r="B408" s="587"/>
      <c r="C408" s="491">
        <v>2.69</v>
      </c>
      <c r="D408" s="257">
        <v>1.8160000000000001</v>
      </c>
      <c r="E408" s="257">
        <f t="shared" si="23"/>
        <v>2.1950400000000001</v>
      </c>
      <c r="F408" s="256">
        <f>SUM($E$2:E408)/SUM($C$2:C408)</f>
        <v>4.2947268985524126E-4</v>
      </c>
      <c r="G408" s="257">
        <f t="shared" si="24"/>
        <v>0.25459999999998395</v>
      </c>
      <c r="H408" s="492" t="s">
        <v>10</v>
      </c>
      <c r="I408" s="2"/>
      <c r="J408" s="2"/>
      <c r="K408" s="2"/>
      <c r="L408" s="2"/>
      <c r="O408" s="58"/>
      <c r="P408" s="58"/>
    </row>
    <row r="409" spans="2:16">
      <c r="B409" s="587"/>
      <c r="C409" s="484">
        <v>2.69</v>
      </c>
      <c r="D409" s="164"/>
      <c r="E409" s="164">
        <f t="shared" si="23"/>
        <v>-2.69</v>
      </c>
      <c r="F409" s="197">
        <f>SUM($E$2:E409)/SUM($C$2:C409)</f>
        <v>-4.0896038689526917E-3</v>
      </c>
      <c r="G409" s="164">
        <f t="shared" si="24"/>
        <v>-2.435400000000016</v>
      </c>
      <c r="H409" s="485" t="s">
        <v>60</v>
      </c>
      <c r="I409" s="2"/>
      <c r="J409" s="2"/>
      <c r="K409" s="2"/>
      <c r="L409" s="2"/>
      <c r="O409" s="58"/>
      <c r="P409" s="58"/>
    </row>
    <row r="410" spans="2:16">
      <c r="B410" s="587"/>
      <c r="C410" s="484">
        <v>2.69</v>
      </c>
      <c r="D410" s="164">
        <v>1.87</v>
      </c>
      <c r="E410" s="164">
        <f t="shared" si="23"/>
        <v>2.3403000000000005</v>
      </c>
      <c r="F410" s="197">
        <f>SUM($E$2:E410)/SUM($C$2:C410)</f>
        <v>-1.5897693079240313E-4</v>
      </c>
      <c r="G410" s="164">
        <f t="shared" si="24"/>
        <v>-9.5100000000015505E-2</v>
      </c>
      <c r="H410" s="485" t="s">
        <v>14</v>
      </c>
      <c r="I410" s="2"/>
      <c r="J410" s="2"/>
      <c r="K410" s="2"/>
      <c r="L410" s="2"/>
      <c r="O410" s="58"/>
      <c r="P410" s="58"/>
    </row>
    <row r="411" spans="2:16">
      <c r="B411" s="587"/>
      <c r="C411" s="484">
        <v>2.69</v>
      </c>
      <c r="D411" s="164">
        <v>1.86</v>
      </c>
      <c r="E411" s="164">
        <f t="shared" si="23"/>
        <v>2.3134000000000001</v>
      </c>
      <c r="F411" s="197">
        <f>SUM($E$2:E411)/SUM($C$2:C411)</f>
        <v>3.6916906588560063E-3</v>
      </c>
      <c r="G411" s="164">
        <f t="shared" si="24"/>
        <v>2.2182999999999846</v>
      </c>
      <c r="H411" s="485" t="s">
        <v>28</v>
      </c>
      <c r="I411" s="2"/>
      <c r="J411" s="2"/>
      <c r="K411" s="2"/>
      <c r="L411" s="2"/>
      <c r="O411" s="58"/>
      <c r="P411" s="58"/>
    </row>
    <row r="412" spans="2:16">
      <c r="B412" s="587"/>
      <c r="C412" s="491">
        <v>2.69</v>
      </c>
      <c r="D412" s="257"/>
      <c r="E412" s="257">
        <f t="shared" si="23"/>
        <v>-2.69</v>
      </c>
      <c r="F412" s="256">
        <f>SUM($E$2:E412)/SUM($C$2:C412)</f>
        <v>-7.8150369462211386E-4</v>
      </c>
      <c r="G412" s="257">
        <f t="shared" si="24"/>
        <v>-0.47170000000001533</v>
      </c>
      <c r="H412" s="492" t="s">
        <v>35</v>
      </c>
      <c r="I412" s="2"/>
      <c r="J412" s="2"/>
      <c r="K412" s="2"/>
      <c r="L412" s="2"/>
      <c r="O412" s="58"/>
      <c r="P412" s="58"/>
    </row>
    <row r="413" spans="2:16">
      <c r="B413" s="587"/>
      <c r="C413" s="484">
        <v>2.69</v>
      </c>
      <c r="D413" s="164"/>
      <c r="E413" s="164">
        <f t="shared" si="23"/>
        <v>-2.69</v>
      </c>
      <c r="F413" s="197">
        <f>SUM($E$2:E413)/SUM($C$2:C413)</f>
        <v>-5.2150032163887639E-3</v>
      </c>
      <c r="G413" s="164">
        <f t="shared" si="24"/>
        <v>-3.1617000000000153</v>
      </c>
      <c r="H413" s="485" t="s">
        <v>177</v>
      </c>
      <c r="I413" s="2"/>
      <c r="J413" s="2"/>
      <c r="K413" s="2"/>
      <c r="L413" s="2"/>
      <c r="O413" s="58"/>
      <c r="P413" s="58"/>
    </row>
    <row r="414" spans="2:16">
      <c r="B414" s="587"/>
      <c r="C414" s="484">
        <v>2.69</v>
      </c>
      <c r="D414" s="164">
        <v>1.845</v>
      </c>
      <c r="E414" s="164">
        <f t="shared" si="23"/>
        <v>2.27305</v>
      </c>
      <c r="F414" s="197">
        <f>SUM($E$2:E414)/SUM($C$2:C414)</f>
        <v>-1.4592912506568828E-3</v>
      </c>
      <c r="G414" s="164">
        <f t="shared" si="24"/>
        <v>-0.88865000000001526</v>
      </c>
      <c r="H414" s="485" t="s">
        <v>178</v>
      </c>
      <c r="I414" s="2"/>
      <c r="J414" s="2"/>
      <c r="K414" s="2"/>
      <c r="L414" s="2"/>
      <c r="O414" s="58"/>
      <c r="P414" s="58"/>
    </row>
    <row r="415" spans="2:16">
      <c r="B415" s="587"/>
      <c r="C415" s="484">
        <v>2.69</v>
      </c>
      <c r="D415" s="164"/>
      <c r="E415" s="164">
        <f t="shared" si="23"/>
        <v>-2.69</v>
      </c>
      <c r="F415" s="197">
        <f>SUM($E$2:E415)/SUM($C$2:C415)</f>
        <v>-5.8508133736614324E-3</v>
      </c>
      <c r="G415" s="164">
        <f t="shared" si="24"/>
        <v>-3.5786500000000152</v>
      </c>
      <c r="H415" s="485" t="s">
        <v>179</v>
      </c>
      <c r="O415" s="58"/>
      <c r="P415" s="58"/>
    </row>
    <row r="416" spans="2:16">
      <c r="B416" s="587"/>
      <c r="C416" s="484">
        <v>2.69</v>
      </c>
      <c r="D416" s="164"/>
      <c r="E416" s="164">
        <f t="shared" si="23"/>
        <v>-2.69</v>
      </c>
      <c r="F416" s="197">
        <f>SUM($E$2:E416)/SUM($C$2:C416)</f>
        <v>-1.0203877331770705E-2</v>
      </c>
      <c r="G416" s="164">
        <f t="shared" si="24"/>
        <v>-6.2686500000000152</v>
      </c>
      <c r="H416" s="485" t="s">
        <v>180</v>
      </c>
      <c r="I416" s="2"/>
      <c r="J416" s="2"/>
      <c r="K416" s="2"/>
      <c r="L416" s="2"/>
      <c r="O416" s="58"/>
      <c r="P416" s="58"/>
    </row>
    <row r="417" spans="2:16">
      <c r="B417" s="587"/>
      <c r="C417" s="491">
        <v>2.69</v>
      </c>
      <c r="D417" s="257"/>
      <c r="E417" s="257">
        <f t="shared" si="23"/>
        <v>-2.69</v>
      </c>
      <c r="F417" s="256">
        <f>SUM($E$2:E417)/SUM($C$2:C417)</f>
        <v>-1.4518986110886041E-2</v>
      </c>
      <c r="G417" s="257">
        <f t="shared" si="24"/>
        <v>-8.9586500000000147</v>
      </c>
      <c r="H417" s="492" t="s">
        <v>181</v>
      </c>
      <c r="I417" s="490">
        <f>SUM(E402:E417)</f>
        <v>-13.584499999999997</v>
      </c>
      <c r="J417" s="490">
        <f>SUM(E363:E417)</f>
        <v>-9.4171099999999885</v>
      </c>
      <c r="L417" s="2">
        <f>I417/C417</f>
        <v>-5.0499999999999989</v>
      </c>
      <c r="O417" s="58"/>
      <c r="P417" s="58"/>
    </row>
    <row r="418" spans="2:16">
      <c r="B418" s="586">
        <v>46006</v>
      </c>
      <c r="C418" s="484">
        <v>4.22</v>
      </c>
      <c r="D418" s="164"/>
      <c r="E418" s="164">
        <f t="shared" ref="E418:E427" si="25">(C418*D418)-C418</f>
        <v>-4.22</v>
      </c>
      <c r="F418" s="197">
        <f>SUM($E$2:E418)/SUM($C$2:C418)</f>
        <v>-2.1213118712273663E-2</v>
      </c>
      <c r="G418" s="164">
        <f t="shared" ref="G418:G427" si="26">G417+E418</f>
        <v>-13.178650000000015</v>
      </c>
      <c r="H418" s="485" t="s">
        <v>97</v>
      </c>
      <c r="I418" s="2"/>
      <c r="J418" s="2"/>
      <c r="K418" s="2"/>
      <c r="L418" s="2"/>
      <c r="O418" s="58"/>
      <c r="P418" s="58"/>
    </row>
    <row r="419" spans="2:16">
      <c r="B419" s="587"/>
      <c r="C419" s="484">
        <v>4.22</v>
      </c>
      <c r="D419" s="164">
        <v>1.9</v>
      </c>
      <c r="E419" s="164">
        <f t="shared" si="25"/>
        <v>3.7979999999999992</v>
      </c>
      <c r="F419" s="197">
        <f>SUM($E$2:E419)/SUM($C$2:C419)</f>
        <v>-1.4997761683214247E-2</v>
      </c>
      <c r="G419" s="164">
        <f t="shared" si="26"/>
        <v>-9.380650000000017</v>
      </c>
      <c r="H419" s="485" t="s">
        <v>53</v>
      </c>
      <c r="I419" s="2"/>
      <c r="J419" s="2"/>
      <c r="K419" s="2"/>
      <c r="L419" s="2"/>
      <c r="O419" s="58"/>
      <c r="P419" s="58"/>
    </row>
    <row r="420" spans="2:16">
      <c r="B420" s="587"/>
      <c r="C420" s="491">
        <v>4.22</v>
      </c>
      <c r="D420" s="257">
        <v>1.9</v>
      </c>
      <c r="E420" s="257">
        <f t="shared" si="25"/>
        <v>3.7979999999999992</v>
      </c>
      <c r="F420" s="256">
        <f>SUM($E$2:E420)/SUM($C$2:C420)</f>
        <v>-8.8657116994076707E-3</v>
      </c>
      <c r="G420" s="257">
        <f t="shared" si="26"/>
        <v>-5.5826500000000179</v>
      </c>
      <c r="H420" s="492" t="s">
        <v>26</v>
      </c>
      <c r="I420" s="2"/>
      <c r="J420" s="2"/>
      <c r="K420" s="2"/>
      <c r="L420" s="2"/>
      <c r="O420" s="58"/>
      <c r="P420" s="58"/>
    </row>
    <row r="421" spans="2:16">
      <c r="B421" s="587"/>
      <c r="C421" s="484">
        <v>4.22</v>
      </c>
      <c r="D421" s="164"/>
      <c r="E421" s="164">
        <f t="shared" si="25"/>
        <v>-4.22</v>
      </c>
      <c r="F421" s="197">
        <f>SUM($E$2:E421)/SUM($C$2:C421)</f>
        <v>-1.5463788234922962E-2</v>
      </c>
      <c r="G421" s="164">
        <f t="shared" si="26"/>
        <v>-9.8026500000000176</v>
      </c>
      <c r="H421" s="485" t="s">
        <v>37</v>
      </c>
      <c r="I421" s="2"/>
      <c r="J421" s="2"/>
      <c r="K421" s="2"/>
      <c r="L421" s="2"/>
      <c r="O421" s="58"/>
      <c r="P421" s="58"/>
    </row>
    <row r="422" spans="2:16">
      <c r="B422" s="587"/>
      <c r="C422" s="484">
        <v>4.22</v>
      </c>
      <c r="D422" s="164">
        <v>1.9</v>
      </c>
      <c r="E422" s="164">
        <f t="shared" si="25"/>
        <v>3.7979999999999992</v>
      </c>
      <c r="F422" s="197">
        <f>SUM($E$2:E422)/SUM($C$2:C422)</f>
        <v>-9.409759766818699E-3</v>
      </c>
      <c r="G422" s="164">
        <f t="shared" si="26"/>
        <v>-6.0046500000000185</v>
      </c>
      <c r="H422" s="485" t="s">
        <v>47</v>
      </c>
      <c r="I422" s="2"/>
      <c r="J422" s="2"/>
      <c r="K422" s="2"/>
      <c r="L422" s="2"/>
      <c r="O422" s="58"/>
      <c r="P422" s="58"/>
    </row>
    <row r="423" spans="2:16">
      <c r="B423" s="587"/>
      <c r="C423" s="491">
        <v>4.22</v>
      </c>
      <c r="D423" s="257">
        <v>1.9</v>
      </c>
      <c r="E423" s="257">
        <f t="shared" si="25"/>
        <v>3.7979999999999992</v>
      </c>
      <c r="F423" s="256">
        <f>SUM($E$2:E423)/SUM($C$2:C423)</f>
        <v>-3.4352767183000212E-3</v>
      </c>
      <c r="G423" s="257">
        <f t="shared" si="26"/>
        <v>-2.2066500000000193</v>
      </c>
      <c r="H423" s="492" t="s">
        <v>59</v>
      </c>
      <c r="I423" s="2"/>
      <c r="J423" s="2"/>
      <c r="K423" s="2"/>
      <c r="L423" s="2"/>
      <c r="O423" s="58"/>
      <c r="P423" s="58"/>
    </row>
    <row r="424" spans="2:16">
      <c r="B424" s="587"/>
      <c r="C424" s="484">
        <v>4.22</v>
      </c>
      <c r="D424" s="164"/>
      <c r="E424" s="164">
        <f t="shared" si="25"/>
        <v>-4.22</v>
      </c>
      <c r="F424" s="197">
        <f>SUM($E$2:E424)/SUM($C$2:C424)</f>
        <v>-9.9396043738497249E-3</v>
      </c>
      <c r="G424" s="164">
        <f t="shared" si="26"/>
        <v>-6.4266500000000191</v>
      </c>
      <c r="H424" s="485" t="s">
        <v>105</v>
      </c>
      <c r="I424" s="2"/>
      <c r="J424" s="2"/>
      <c r="K424" s="2"/>
      <c r="L424" s="2"/>
      <c r="O424" s="58"/>
      <c r="P424" s="58"/>
    </row>
    <row r="425" spans="2:16">
      <c r="B425" s="587"/>
      <c r="C425" s="484">
        <v>4.22</v>
      </c>
      <c r="D425" s="164">
        <v>1.825</v>
      </c>
      <c r="E425" s="164">
        <f t="shared" si="25"/>
        <v>3.4814999999999996</v>
      </c>
      <c r="F425" s="197">
        <f>SUM($E$2:E425)/SUM($C$2:C425)</f>
        <v>-4.5254997771939001E-3</v>
      </c>
      <c r="G425" s="164">
        <f t="shared" si="26"/>
        <v>-2.9451500000000195</v>
      </c>
      <c r="H425" s="485" t="s">
        <v>182</v>
      </c>
      <c r="I425" s="2"/>
      <c r="J425" s="2"/>
      <c r="K425" s="2"/>
      <c r="L425" s="2"/>
      <c r="O425" s="58"/>
      <c r="P425" s="58"/>
    </row>
    <row r="426" spans="2:16">
      <c r="B426" s="587"/>
      <c r="C426" s="484">
        <v>4.22</v>
      </c>
      <c r="D426" s="164">
        <v>1.84</v>
      </c>
      <c r="E426" s="164">
        <f t="shared" si="25"/>
        <v>3.5448000000000004</v>
      </c>
      <c r="F426" s="197">
        <f>SUM($E$2:E426)/SUM($C$2:C426)</f>
        <v>9.1548220637849894E-4</v>
      </c>
      <c r="G426" s="164">
        <f t="shared" si="26"/>
        <v>0.59964999999998092</v>
      </c>
      <c r="H426" s="485" t="s">
        <v>183</v>
      </c>
      <c r="I426" s="2"/>
      <c r="J426" s="2"/>
      <c r="K426" s="2"/>
      <c r="L426" s="2"/>
      <c r="O426" s="58"/>
      <c r="P426" s="58"/>
    </row>
    <row r="427" spans="2:16">
      <c r="B427" s="587"/>
      <c r="C427" s="491">
        <v>4.22</v>
      </c>
      <c r="D427" s="257"/>
      <c r="E427" s="257">
        <f t="shared" si="25"/>
        <v>-4.22</v>
      </c>
      <c r="F427" s="256">
        <f>SUM($E$2:E427)/SUM($C$2:C427)</f>
        <v>-5.4917858713954418E-3</v>
      </c>
      <c r="G427" s="257">
        <f t="shared" si="26"/>
        <v>-3.6203500000000188</v>
      </c>
      <c r="H427" s="492" t="s">
        <v>116</v>
      </c>
      <c r="I427" s="2">
        <f>SUM(E418:E427)</f>
        <v>5.3382999999999976</v>
      </c>
      <c r="L427" s="2">
        <f>I427/C427</f>
        <v>1.2649999999999995</v>
      </c>
      <c r="O427" s="58"/>
      <c r="P427" s="58"/>
    </row>
    <row r="428" spans="2:16">
      <c r="B428" s="586">
        <v>46008</v>
      </c>
      <c r="C428" s="484">
        <v>10.63</v>
      </c>
      <c r="D428" s="164"/>
      <c r="E428" s="164">
        <f t="shared" ref="E428:E433" si="27">(C428*D428)-C428</f>
        <v>-10.63</v>
      </c>
      <c r="F428" s="197">
        <f>SUM($E$2:E428)/SUM($C$2:C428)</f>
        <v>-2.1273624339414224E-2</v>
      </c>
      <c r="G428" s="164">
        <f t="shared" ref="G428:G433" si="28">G427+E428</f>
        <v>-14.250350000000019</v>
      </c>
      <c r="H428" s="485" t="s">
        <v>46</v>
      </c>
      <c r="I428" s="2"/>
      <c r="J428" s="2"/>
      <c r="K428" s="2"/>
      <c r="L428" s="2"/>
      <c r="O428" s="58"/>
      <c r="P428" s="58"/>
    </row>
    <row r="429" spans="2:16">
      <c r="B429" s="587"/>
      <c r="C429" s="491">
        <v>10.63</v>
      </c>
      <c r="D429" s="257">
        <v>1.8</v>
      </c>
      <c r="E429" s="257">
        <f t="shared" si="27"/>
        <v>8.5039999999999996</v>
      </c>
      <c r="F429" s="256">
        <f>SUM($E$2:E429)/SUM($C$2:C429)</f>
        <v>-8.444429749151371E-3</v>
      </c>
      <c r="G429" s="257">
        <f t="shared" si="28"/>
        <v>-5.7463500000000192</v>
      </c>
      <c r="H429" s="492" t="s">
        <v>26</v>
      </c>
      <c r="I429" s="2"/>
      <c r="J429" s="2"/>
      <c r="K429" s="2"/>
      <c r="L429" s="2"/>
      <c r="O429" s="58"/>
      <c r="P429" s="58"/>
    </row>
    <row r="430" spans="2:16">
      <c r="B430" s="587"/>
      <c r="C430" s="484">
        <v>10.63</v>
      </c>
      <c r="D430" s="164">
        <v>1.9</v>
      </c>
      <c r="E430" s="164">
        <f t="shared" si="27"/>
        <v>9.5669999999999984</v>
      </c>
      <c r="F430" s="197">
        <f>SUM($E$2:E430)/SUM($C$2:C430)</f>
        <v>5.5282006019214862E-3</v>
      </c>
      <c r="G430" s="164">
        <f t="shared" si="28"/>
        <v>3.8206499999999792</v>
      </c>
      <c r="H430" s="485" t="s">
        <v>35</v>
      </c>
      <c r="I430" s="2"/>
      <c r="J430" s="2"/>
      <c r="K430" s="2"/>
      <c r="L430" s="2"/>
      <c r="O430" s="58"/>
      <c r="P430" s="58"/>
    </row>
    <row r="431" spans="2:16">
      <c r="B431" s="587"/>
      <c r="C431" s="491">
        <v>10.63</v>
      </c>
      <c r="D431" s="257"/>
      <c r="E431" s="257">
        <f t="shared" si="27"/>
        <v>-10.63</v>
      </c>
      <c r="F431" s="256">
        <f>SUM($E$2:E431)/SUM($C$2:C431)</f>
        <v>-9.7033843961525021E-3</v>
      </c>
      <c r="G431" s="257">
        <f t="shared" si="28"/>
        <v>-6.8093500000000216</v>
      </c>
      <c r="H431" s="492" t="s">
        <v>104</v>
      </c>
      <c r="I431" s="2"/>
      <c r="J431" s="2"/>
      <c r="K431" s="2"/>
      <c r="L431" s="2"/>
      <c r="O431" s="58"/>
      <c r="P431" s="58"/>
    </row>
    <row r="432" spans="2:16">
      <c r="B432" s="587"/>
      <c r="C432" s="484">
        <v>10.63</v>
      </c>
      <c r="D432" s="164"/>
      <c r="E432" s="164">
        <f t="shared" si="27"/>
        <v>-10.63</v>
      </c>
      <c r="F432" s="197">
        <f>SUM($E$2:E432)/SUM($C$2:C432)</f>
        <v>-2.4480403717117287E-2</v>
      </c>
      <c r="G432" s="164">
        <f t="shared" si="28"/>
        <v>-17.439350000000022</v>
      </c>
      <c r="H432" s="485" t="s">
        <v>184</v>
      </c>
      <c r="I432" s="2"/>
      <c r="J432" s="2"/>
      <c r="K432" s="2"/>
      <c r="L432" s="2"/>
      <c r="O432" s="58"/>
      <c r="P432" s="58"/>
    </row>
    <row r="433" spans="2:16">
      <c r="B433" s="587"/>
      <c r="C433" s="491">
        <v>10.63</v>
      </c>
      <c r="D433" s="257"/>
      <c r="E433" s="257">
        <f t="shared" si="27"/>
        <v>-10.63</v>
      </c>
      <c r="F433" s="256">
        <f>SUM($E$2:E433)/SUM($C$2:C433)</f>
        <v>-3.8822907013734261E-2</v>
      </c>
      <c r="G433" s="257">
        <f t="shared" si="28"/>
        <v>-28.069350000000021</v>
      </c>
      <c r="H433" s="492" t="s">
        <v>185</v>
      </c>
      <c r="I433" s="2">
        <f>SUM(E428:E433)</f>
        <v>-24.449000000000005</v>
      </c>
      <c r="L433" s="2">
        <f>I433/C433</f>
        <v>-2.3000000000000003</v>
      </c>
      <c r="O433" s="58"/>
      <c r="P433" s="58"/>
    </row>
    <row r="434" spans="2:16">
      <c r="B434" s="586">
        <v>46009</v>
      </c>
      <c r="C434" s="484">
        <v>1.7</v>
      </c>
      <c r="D434" s="164">
        <v>1.8</v>
      </c>
      <c r="E434" s="164">
        <f t="shared" ref="E434:E457" si="29">(C434*D434)-C434</f>
        <v>1.36</v>
      </c>
      <c r="F434" s="197">
        <f>SUM($E$2:E434)/SUM($C$2:C434)</f>
        <v>-3.6855224848560124E-2</v>
      </c>
      <c r="G434" s="164">
        <f t="shared" ref="G434:G457" si="30">G433+E434</f>
        <v>-26.709350000000022</v>
      </c>
      <c r="H434" s="485" t="s">
        <v>14</v>
      </c>
      <c r="I434" s="2"/>
      <c r="J434" s="2"/>
      <c r="K434" s="2"/>
      <c r="L434" s="2"/>
      <c r="O434" s="58"/>
      <c r="P434" s="58"/>
    </row>
    <row r="435" spans="2:16">
      <c r="B435" s="587"/>
      <c r="C435" s="484">
        <v>1.7</v>
      </c>
      <c r="D435" s="164"/>
      <c r="E435" s="164">
        <f t="shared" si="29"/>
        <v>-1.7</v>
      </c>
      <c r="F435" s="197">
        <f>SUM($E$2:E435)/SUM($C$2:C435)</f>
        <v>-3.9109249597334847E-2</v>
      </c>
      <c r="G435" s="164">
        <f t="shared" si="30"/>
        <v>-28.409350000000021</v>
      </c>
      <c r="H435" s="485" t="s">
        <v>29</v>
      </c>
      <c r="I435" s="2"/>
      <c r="J435" s="2"/>
      <c r="K435" s="2"/>
      <c r="L435" s="2"/>
      <c r="O435" s="58"/>
      <c r="P435" s="58"/>
    </row>
    <row r="436" spans="2:16">
      <c r="B436" s="587"/>
      <c r="C436" s="484">
        <v>1.7</v>
      </c>
      <c r="D436" s="164"/>
      <c r="E436" s="164">
        <f t="shared" si="29"/>
        <v>-1.7</v>
      </c>
      <c r="F436" s="197">
        <f>SUM($E$2:E436)/SUM($C$2:C436)</f>
        <v>-4.1352748897831373E-2</v>
      </c>
      <c r="G436" s="164">
        <f t="shared" si="30"/>
        <v>-30.10935000000002</v>
      </c>
      <c r="H436" s="485" t="s">
        <v>18</v>
      </c>
      <c r="I436" s="2"/>
      <c r="J436" s="2"/>
      <c r="K436" s="2"/>
      <c r="L436" s="2"/>
      <c r="O436" s="58"/>
      <c r="P436" s="58"/>
    </row>
    <row r="437" spans="2:16">
      <c r="B437" s="587"/>
      <c r="C437" s="484">
        <v>1.7</v>
      </c>
      <c r="D437" s="164">
        <v>1.9</v>
      </c>
      <c r="E437" s="164">
        <f t="shared" si="29"/>
        <v>1.53</v>
      </c>
      <c r="F437" s="197">
        <f>SUM($E$2:E437)/SUM($C$2:C437)</f>
        <v>-3.9159986845891392E-2</v>
      </c>
      <c r="G437" s="164">
        <f t="shared" si="30"/>
        <v>-28.579350000000019</v>
      </c>
      <c r="H437" s="527" t="s">
        <v>53</v>
      </c>
      <c r="I437" s="2"/>
      <c r="J437" s="2"/>
      <c r="K437" s="2"/>
      <c r="L437" s="2"/>
      <c r="O437" s="58"/>
      <c r="P437" s="58"/>
    </row>
    <row r="438" spans="2:16">
      <c r="B438" s="587"/>
      <c r="C438" s="484">
        <v>1.7</v>
      </c>
      <c r="D438" s="164"/>
      <c r="E438" s="164">
        <f t="shared" si="29"/>
        <v>-1.7</v>
      </c>
      <c r="F438" s="197">
        <f>SUM($E$2:E438)/SUM($C$2:C438)</f>
        <v>-4.1392940629656455E-2</v>
      </c>
      <c r="G438" s="164">
        <f t="shared" si="30"/>
        <v>-30.279350000000019</v>
      </c>
      <c r="H438" s="527" t="s">
        <v>97</v>
      </c>
      <c r="I438" s="2"/>
      <c r="J438" s="2"/>
      <c r="K438" s="2"/>
      <c r="L438" s="2"/>
      <c r="O438" s="58"/>
      <c r="P438" s="58"/>
    </row>
    <row r="439" spans="2:16">
      <c r="B439" s="587"/>
      <c r="C439" s="491">
        <v>1.7</v>
      </c>
      <c r="D439" s="257"/>
      <c r="E439" s="257">
        <f t="shared" si="29"/>
        <v>-1.7</v>
      </c>
      <c r="F439" s="256">
        <f>SUM($E$2:E439)/SUM($C$2:C439)</f>
        <v>-4.3615539886253586E-2</v>
      </c>
      <c r="G439" s="257">
        <f t="shared" si="30"/>
        <v>-31.979350000000018</v>
      </c>
      <c r="H439" s="492" t="s">
        <v>64</v>
      </c>
      <c r="I439" s="2"/>
      <c r="J439" s="2"/>
      <c r="K439" s="2"/>
      <c r="L439" s="2"/>
      <c r="O439" s="58"/>
      <c r="P439" s="58"/>
    </row>
    <row r="440" spans="2:16">
      <c r="B440" s="587"/>
      <c r="C440" s="484">
        <v>1.7</v>
      </c>
      <c r="D440" s="164">
        <v>2</v>
      </c>
      <c r="E440" s="164">
        <f t="shared" si="29"/>
        <v>1.7</v>
      </c>
      <c r="F440" s="197">
        <f>SUM($E$2:E440)/SUM($C$2:C440)</f>
        <v>-4.1201439632063776E-2</v>
      </c>
      <c r="G440" s="164">
        <f t="shared" si="30"/>
        <v>-30.279350000000019</v>
      </c>
      <c r="H440" s="485" t="s">
        <v>15</v>
      </c>
      <c r="I440" s="2"/>
      <c r="J440" s="2"/>
      <c r="K440" s="2"/>
      <c r="L440" s="2"/>
      <c r="O440" s="58"/>
      <c r="P440" s="58"/>
    </row>
    <row r="441" spans="2:16">
      <c r="B441" s="587"/>
      <c r="C441" s="484">
        <v>1.7</v>
      </c>
      <c r="D441" s="164">
        <v>1.9</v>
      </c>
      <c r="E441" s="164">
        <f t="shared" si="29"/>
        <v>1.53</v>
      </c>
      <c r="F441" s="197">
        <f>SUM($E$2:E441)/SUM($C$2:C441)</f>
        <v>-3.9029269219804222E-2</v>
      </c>
      <c r="G441" s="164">
        <f t="shared" si="30"/>
        <v>-28.749350000000018</v>
      </c>
      <c r="H441" s="485" t="s">
        <v>60</v>
      </c>
      <c r="I441" s="2"/>
      <c r="J441" s="2"/>
      <c r="K441" s="2"/>
      <c r="L441" s="2"/>
      <c r="O441" s="58"/>
      <c r="P441" s="58"/>
    </row>
    <row r="442" spans="2:16">
      <c r="B442" s="587"/>
      <c r="C442" s="484">
        <v>1.7</v>
      </c>
      <c r="D442" s="164">
        <v>1.85</v>
      </c>
      <c r="E442" s="164">
        <f t="shared" si="29"/>
        <v>1.4450000000000001</v>
      </c>
      <c r="F442" s="197">
        <f>SUM($E$2:E442)/SUM($C$2:C442)</f>
        <v>-3.6982229686716946E-2</v>
      </c>
      <c r="G442" s="164">
        <f t="shared" si="30"/>
        <v>-27.304350000000017</v>
      </c>
      <c r="H442" s="485" t="s">
        <v>30</v>
      </c>
      <c r="I442" s="2"/>
      <c r="J442" s="2"/>
      <c r="K442" s="2"/>
      <c r="L442" s="2"/>
      <c r="O442" s="58"/>
      <c r="P442" s="58"/>
    </row>
    <row r="443" spans="2:16">
      <c r="B443" s="587"/>
      <c r="C443" s="484">
        <v>1.7</v>
      </c>
      <c r="D443" s="164"/>
      <c r="E443" s="164">
        <f t="shared" si="29"/>
        <v>-1.7</v>
      </c>
      <c r="F443" s="197">
        <f>SUM($E$2:E443)/SUM($C$2:C443)</f>
        <v>-3.9194537911649827E-2</v>
      </c>
      <c r="G443" s="164">
        <f t="shared" si="30"/>
        <v>-29.004350000000017</v>
      </c>
      <c r="H443" s="485" t="s">
        <v>12</v>
      </c>
      <c r="I443" s="2"/>
      <c r="J443" s="2"/>
      <c r="K443" s="2"/>
      <c r="L443" s="2"/>
      <c r="O443" s="58"/>
      <c r="P443" s="58"/>
    </row>
    <row r="444" spans="2:16">
      <c r="B444" s="587"/>
      <c r="C444" s="484">
        <v>1.7</v>
      </c>
      <c r="D444" s="164"/>
      <c r="E444" s="164">
        <f t="shared" si="29"/>
        <v>-1.7</v>
      </c>
      <c r="F444" s="197">
        <f>SUM($E$2:E444)/SUM($C$2:C444)</f>
        <v>-4.1396704911623117E-2</v>
      </c>
      <c r="G444" s="164">
        <f t="shared" si="30"/>
        <v>-30.704350000000016</v>
      </c>
      <c r="H444" s="485" t="s">
        <v>34</v>
      </c>
      <c r="I444" s="2"/>
      <c r="J444" s="2"/>
      <c r="K444" s="2"/>
      <c r="L444" s="2"/>
      <c r="O444" s="58"/>
      <c r="P444" s="58"/>
    </row>
    <row r="445" spans="2:16">
      <c r="B445" s="587"/>
      <c r="C445" s="484">
        <v>1.7</v>
      </c>
      <c r="D445" s="164">
        <v>1.9</v>
      </c>
      <c r="E445" s="164">
        <f t="shared" si="29"/>
        <v>1.53</v>
      </c>
      <c r="F445" s="197">
        <f>SUM($E$2:E445)/SUM($C$2:C445)</f>
        <v>-3.9243956901306117E-2</v>
      </c>
      <c r="G445" s="164">
        <f t="shared" si="30"/>
        <v>-29.174350000000015</v>
      </c>
      <c r="H445" s="485" t="s">
        <v>13</v>
      </c>
      <c r="I445" s="2"/>
      <c r="J445" s="2"/>
      <c r="K445" s="2"/>
      <c r="L445" s="2"/>
      <c r="O445" s="58"/>
      <c r="P445" s="58"/>
    </row>
    <row r="446" spans="2:16">
      <c r="B446" s="587"/>
      <c r="C446" s="484">
        <v>1.7</v>
      </c>
      <c r="D446" s="164">
        <v>1.9</v>
      </c>
      <c r="E446" s="164">
        <f t="shared" si="29"/>
        <v>1.53</v>
      </c>
      <c r="F446" s="197">
        <f>SUM($E$2:E446)/SUM($C$2:C446)</f>
        <v>-3.7101032062380024E-2</v>
      </c>
      <c r="G446" s="164">
        <f t="shared" si="30"/>
        <v>-27.644350000000014</v>
      </c>
      <c r="H446" s="485" t="s">
        <v>59</v>
      </c>
      <c r="I446" s="2"/>
      <c r="J446" s="2"/>
      <c r="K446" s="2"/>
      <c r="L446" s="2"/>
      <c r="O446" s="58"/>
      <c r="P446" s="58"/>
    </row>
    <row r="447" spans="2:16">
      <c r="B447" s="587"/>
      <c r="C447" s="484">
        <v>1.7</v>
      </c>
      <c r="D447" s="164"/>
      <c r="E447" s="164">
        <f t="shared" si="29"/>
        <v>-1.7</v>
      </c>
      <c r="F447" s="197">
        <f>SUM($E$2:E447)/SUM($C$2:C447)</f>
        <v>-3.9292925911543736E-2</v>
      </c>
      <c r="G447" s="164">
        <f t="shared" si="30"/>
        <v>-29.344350000000013</v>
      </c>
      <c r="H447" s="485" t="s">
        <v>36</v>
      </c>
      <c r="I447" s="2"/>
      <c r="J447" s="2"/>
      <c r="K447" s="2"/>
      <c r="L447" s="2"/>
      <c r="O447" s="58"/>
      <c r="P447" s="58"/>
    </row>
    <row r="448" spans="2:16">
      <c r="B448" s="587"/>
      <c r="C448" s="491">
        <v>1.7</v>
      </c>
      <c r="D448" s="257">
        <v>2</v>
      </c>
      <c r="E448" s="257">
        <f t="shared" si="29"/>
        <v>1.7</v>
      </c>
      <c r="F448" s="256">
        <f>SUM($E$2:E448)/SUM($C$2:C448)</f>
        <v>-3.6932505911744636E-2</v>
      </c>
      <c r="G448" s="257">
        <f t="shared" si="30"/>
        <v>-27.644350000000014</v>
      </c>
      <c r="H448" s="492" t="s">
        <v>47</v>
      </c>
      <c r="I448" s="2"/>
      <c r="J448" s="2"/>
      <c r="K448" s="2"/>
      <c r="L448" s="2"/>
      <c r="O448" s="58"/>
      <c r="P448" s="58"/>
    </row>
    <row r="449" spans="2:16">
      <c r="B449" s="587"/>
      <c r="C449" s="484">
        <v>1.7</v>
      </c>
      <c r="D449" s="164">
        <v>1.84</v>
      </c>
      <c r="E449" s="164">
        <f t="shared" si="29"/>
        <v>1.4280000000000002</v>
      </c>
      <c r="F449" s="197">
        <f>SUM($E$2:E449)/SUM($C$2:C449)</f>
        <v>-3.4945348635715301E-2</v>
      </c>
      <c r="G449" s="164">
        <f t="shared" si="30"/>
        <v>-26.216350000000013</v>
      </c>
      <c r="H449" s="485" t="s">
        <v>186</v>
      </c>
      <c r="I449" s="2"/>
      <c r="J449" s="2"/>
      <c r="K449" s="2"/>
      <c r="L449" s="2"/>
      <c r="O449" s="58"/>
      <c r="P449" s="58"/>
    </row>
    <row r="450" spans="2:16">
      <c r="B450" s="587"/>
      <c r="C450" s="484">
        <v>1.7</v>
      </c>
      <c r="D450" s="164">
        <v>1.9</v>
      </c>
      <c r="E450" s="164">
        <f t="shared" si="29"/>
        <v>1.53</v>
      </c>
      <c r="F450" s="197">
        <f>SUM($E$2:E450)/SUM($C$2:C450)</f>
        <v>-3.2831522389647663E-2</v>
      </c>
      <c r="G450" s="164">
        <f t="shared" si="30"/>
        <v>-24.686350000000012</v>
      </c>
      <c r="H450" s="485" t="s">
        <v>187</v>
      </c>
      <c r="I450" s="2"/>
      <c r="J450" s="2"/>
      <c r="K450" s="2"/>
      <c r="L450" s="2"/>
      <c r="O450" s="58"/>
      <c r="P450" s="58"/>
    </row>
    <row r="451" spans="2:16">
      <c r="B451" s="587"/>
      <c r="C451" s="484">
        <v>1.7</v>
      </c>
      <c r="D451" s="164">
        <v>1.845</v>
      </c>
      <c r="E451" s="164">
        <f t="shared" si="29"/>
        <v>1.4364999999999999</v>
      </c>
      <c r="F451" s="197">
        <f>SUM($E$2:E451)/SUM($C$2:C451)</f>
        <v>-3.0851302397791932E-2</v>
      </c>
      <c r="G451" s="164">
        <f t="shared" si="30"/>
        <v>-23.249850000000013</v>
      </c>
      <c r="H451" s="485" t="s">
        <v>188</v>
      </c>
      <c r="I451" s="2"/>
      <c r="J451" s="2"/>
      <c r="K451" s="2"/>
      <c r="L451" s="2"/>
      <c r="O451" s="58"/>
      <c r="P451" s="58"/>
    </row>
    <row r="452" spans="2:16">
      <c r="B452" s="587"/>
      <c r="C452" s="484">
        <v>1.7</v>
      </c>
      <c r="D452" s="164"/>
      <c r="E452" s="164">
        <f t="shared" si="29"/>
        <v>-1.7</v>
      </c>
      <c r="F452" s="197">
        <f>SUM($E$2:E452)/SUM($C$2:C452)</f>
        <v>-3.3032595887781138E-2</v>
      </c>
      <c r="G452" s="164">
        <f t="shared" si="30"/>
        <v>-24.949850000000012</v>
      </c>
      <c r="H452" s="485" t="s">
        <v>189</v>
      </c>
      <c r="I452" s="2"/>
      <c r="J452" s="2"/>
      <c r="K452" s="2"/>
      <c r="L452" s="2"/>
      <c r="O452" s="58"/>
      <c r="P452" s="58"/>
    </row>
    <row r="453" spans="2:16">
      <c r="B453" s="587"/>
      <c r="C453" s="484">
        <v>1.7</v>
      </c>
      <c r="D453" s="164"/>
      <c r="E453" s="164">
        <f t="shared" si="29"/>
        <v>-1.7</v>
      </c>
      <c r="F453" s="197">
        <f>SUM($E$2:E453)/SUM($C$2:C453)</f>
        <v>-3.5204092416216387E-2</v>
      </c>
      <c r="G453" s="164">
        <f t="shared" si="30"/>
        <v>-26.649850000000011</v>
      </c>
      <c r="H453" s="485" t="s">
        <v>190</v>
      </c>
      <c r="I453" s="2"/>
      <c r="J453" s="2"/>
      <c r="K453" s="2"/>
      <c r="L453" s="2"/>
      <c r="O453" s="58"/>
      <c r="P453" s="58"/>
    </row>
    <row r="454" spans="2:16">
      <c r="B454" s="587"/>
      <c r="C454" s="484">
        <v>1.7</v>
      </c>
      <c r="D454" s="164">
        <v>1.9</v>
      </c>
      <c r="E454" s="164">
        <f t="shared" si="29"/>
        <v>1.53</v>
      </c>
      <c r="F454" s="197">
        <f>SUM($E$2:E454)/SUM($C$2:C454)</f>
        <v>-3.3108631756534071E-2</v>
      </c>
      <c r="G454" s="164">
        <f t="shared" si="30"/>
        <v>-25.11985000000001</v>
      </c>
      <c r="H454" s="485" t="s">
        <v>191</v>
      </c>
      <c r="I454" s="2"/>
      <c r="J454" s="2"/>
      <c r="K454" s="2"/>
      <c r="L454" s="2"/>
      <c r="O454" s="58"/>
      <c r="P454" s="58"/>
    </row>
    <row r="455" spans="2:16">
      <c r="B455" s="587"/>
      <c r="C455" s="484">
        <v>1.7</v>
      </c>
      <c r="D455" s="164">
        <v>1.9</v>
      </c>
      <c r="E455" s="164">
        <f t="shared" si="29"/>
        <v>1.53</v>
      </c>
      <c r="F455" s="197">
        <f>SUM($E$2:E455)/SUM($C$2:C455)</f>
        <v>-3.1022540471587652E-2</v>
      </c>
      <c r="G455" s="164">
        <f t="shared" si="30"/>
        <v>-23.589850000000009</v>
      </c>
      <c r="H455" s="485" t="s">
        <v>192</v>
      </c>
      <c r="I455" s="2"/>
      <c r="J455" s="2"/>
      <c r="K455" s="2"/>
      <c r="L455" s="2"/>
      <c r="O455" s="58"/>
      <c r="P455" s="58"/>
    </row>
    <row r="456" spans="2:16">
      <c r="B456" s="587"/>
      <c r="C456" s="484">
        <v>1.7</v>
      </c>
      <c r="D456" s="164"/>
      <c r="E456" s="164">
        <f t="shared" si="29"/>
        <v>-1.7</v>
      </c>
      <c r="F456" s="197">
        <f>SUM($E$2:E456)/SUM($C$2:C456)</f>
        <v>-3.318398918791246E-2</v>
      </c>
      <c r="G456" s="164">
        <f t="shared" si="30"/>
        <v>-25.289850000000008</v>
      </c>
      <c r="H456" s="485" t="s">
        <v>193</v>
      </c>
      <c r="I456" s="2"/>
      <c r="J456" s="2"/>
      <c r="K456" s="2"/>
      <c r="L456" s="2"/>
      <c r="O456" s="58"/>
      <c r="P456" s="58"/>
    </row>
    <row r="457" spans="2:16">
      <c r="B457" s="587"/>
      <c r="C457" s="491">
        <v>1.7</v>
      </c>
      <c r="D457" s="257">
        <v>1.86</v>
      </c>
      <c r="E457" s="257">
        <f t="shared" si="29"/>
        <v>1.462</v>
      </c>
      <c r="F457" s="256">
        <f>SUM($E$2:E457)/SUM($C$2:C457)</f>
        <v>-3.1196043518676064E-2</v>
      </c>
      <c r="G457" s="257">
        <f t="shared" si="30"/>
        <v>-23.827850000000009</v>
      </c>
      <c r="H457" s="492" t="s">
        <v>194</v>
      </c>
      <c r="I457" s="2">
        <f>SUM(E434:E457)</f>
        <v>4.2415000000000003</v>
      </c>
      <c r="L457" s="2">
        <f>I457/C457</f>
        <v>2.4950000000000001</v>
      </c>
      <c r="O457" s="58"/>
      <c r="P457" s="58"/>
    </row>
    <row r="458" spans="2:16">
      <c r="B458" s="586">
        <v>46010</v>
      </c>
      <c r="C458" s="484">
        <v>4.12</v>
      </c>
      <c r="D458" s="164">
        <v>1.9</v>
      </c>
      <c r="E458" s="164">
        <f t="shared" ref="E458:E467" si="31">(C458*D458)-C458</f>
        <v>3.7079999999999993</v>
      </c>
      <c r="F458" s="197">
        <f>SUM($E$2:E458)/SUM($C$2:C458)</f>
        <v>-2.6200109384969947E-2</v>
      </c>
      <c r="G458" s="164">
        <f t="shared" ref="G458:G467" si="32">G457+E458</f>
        <v>-20.11985000000001</v>
      </c>
      <c r="H458" s="485" t="s">
        <v>16</v>
      </c>
      <c r="I458" s="2"/>
      <c r="J458" s="2"/>
      <c r="K458" s="2"/>
      <c r="L458" s="2"/>
      <c r="O458" s="58"/>
      <c r="P458" s="58"/>
    </row>
    <row r="459" spans="2:16">
      <c r="B459" s="587"/>
      <c r="C459" s="491">
        <v>4.12</v>
      </c>
      <c r="D459" s="257">
        <v>1.84</v>
      </c>
      <c r="E459" s="257">
        <f t="shared" si="31"/>
        <v>3.4608000000000008</v>
      </c>
      <c r="F459" s="256">
        <f>SUM($E$2:E459)/SUM($C$2:C459)</f>
        <v>-2.1577682792565219E-2</v>
      </c>
      <c r="G459" s="257">
        <f t="shared" si="32"/>
        <v>-16.659050000000008</v>
      </c>
      <c r="H459" s="492" t="s">
        <v>51</v>
      </c>
      <c r="I459" s="2"/>
      <c r="J459" s="2"/>
      <c r="K459" s="2"/>
      <c r="L459" s="2"/>
      <c r="O459" s="58"/>
      <c r="P459" s="58"/>
    </row>
    <row r="460" spans="2:16">
      <c r="B460" s="587"/>
      <c r="C460" s="484">
        <v>4.12</v>
      </c>
      <c r="D460" s="164">
        <v>1.9</v>
      </c>
      <c r="E460" s="164">
        <f t="shared" si="31"/>
        <v>3.7079999999999993</v>
      </c>
      <c r="F460" s="197">
        <f>SUM($E$2:E460)/SUM($C$2:C460)</f>
        <v>-1.6685842019145272E-2</v>
      </c>
      <c r="G460" s="164">
        <f t="shared" si="32"/>
        <v>-12.951050000000009</v>
      </c>
      <c r="H460" s="485" t="s">
        <v>37</v>
      </c>
      <c r="I460" s="2"/>
      <c r="J460" s="2"/>
      <c r="K460" s="2"/>
      <c r="L460" s="2"/>
      <c r="O460" s="58"/>
      <c r="P460" s="58"/>
    </row>
    <row r="461" spans="2:16">
      <c r="B461" s="587"/>
      <c r="C461" s="484">
        <v>4.12</v>
      </c>
      <c r="D461" s="164"/>
      <c r="E461" s="164">
        <f t="shared" si="31"/>
        <v>-4.12</v>
      </c>
      <c r="F461" s="197">
        <f>SUM($E$2:E461)/SUM($C$2:C461)</f>
        <v>-2.1877827474400518E-2</v>
      </c>
      <c r="G461" s="164">
        <f t="shared" si="32"/>
        <v>-17.07105000000001</v>
      </c>
      <c r="H461" s="485" t="s">
        <v>29</v>
      </c>
      <c r="I461" s="2"/>
      <c r="J461" s="2"/>
      <c r="K461" s="2"/>
      <c r="L461" s="2"/>
      <c r="O461" s="58"/>
      <c r="P461" s="58"/>
    </row>
    <row r="462" spans="2:16">
      <c r="B462" s="587"/>
      <c r="C462" s="484">
        <v>4.12</v>
      </c>
      <c r="D462" s="164"/>
      <c r="E462" s="164">
        <f t="shared" si="31"/>
        <v>-4.12</v>
      </c>
      <c r="F462" s="197">
        <f>SUM($E$2:E462)/SUM($C$2:C462)</f>
        <v>-2.7015272625285212E-2</v>
      </c>
      <c r="G462" s="164">
        <f t="shared" si="32"/>
        <v>-21.191050000000011</v>
      </c>
      <c r="H462" s="485" t="s">
        <v>14</v>
      </c>
      <c r="I462" s="2"/>
      <c r="J462" s="2"/>
      <c r="K462" s="2"/>
      <c r="L462" s="2"/>
      <c r="O462" s="58"/>
      <c r="P462" s="58"/>
    </row>
    <row r="463" spans="2:16">
      <c r="B463" s="587"/>
      <c r="C463" s="484">
        <v>4.12</v>
      </c>
      <c r="D463" s="164">
        <v>1.88</v>
      </c>
      <c r="E463" s="164">
        <f t="shared" si="31"/>
        <v>3.6255999999999995</v>
      </c>
      <c r="F463" s="197">
        <f>SUM($E$2:E463)/SUM($C$2:C463)</f>
        <v>-2.2276197481389395E-2</v>
      </c>
      <c r="G463" s="164">
        <f t="shared" si="32"/>
        <v>-17.565450000000013</v>
      </c>
      <c r="H463" s="485" t="s">
        <v>46</v>
      </c>
      <c r="I463" s="2"/>
      <c r="J463" s="2"/>
      <c r="K463" s="2"/>
      <c r="L463" s="2"/>
      <c r="O463" s="58"/>
      <c r="P463" s="58"/>
    </row>
    <row r="464" spans="2:16">
      <c r="B464" s="587"/>
      <c r="C464" s="491">
        <v>4.12</v>
      </c>
      <c r="D464" s="257">
        <v>1.9</v>
      </c>
      <c r="E464" s="257">
        <f t="shared" si="31"/>
        <v>3.7079999999999993</v>
      </c>
      <c r="F464" s="256">
        <f>SUM($E$2:E464)/SUM($C$2:C464)</f>
        <v>-1.7482432347189793E-2</v>
      </c>
      <c r="G464" s="257">
        <f t="shared" si="32"/>
        <v>-13.857450000000014</v>
      </c>
      <c r="H464" s="492" t="s">
        <v>104</v>
      </c>
      <c r="I464" s="2"/>
      <c r="J464" s="2"/>
      <c r="K464" s="2"/>
      <c r="L464" s="2"/>
      <c r="O464" s="58"/>
      <c r="P464" s="58"/>
    </row>
    <row r="465" spans="2:16">
      <c r="B465" s="587"/>
      <c r="C465" s="484">
        <v>4.12</v>
      </c>
      <c r="D465" s="164">
        <v>1.9</v>
      </c>
      <c r="E465" s="164">
        <f t="shared" si="31"/>
        <v>3.7079999999999993</v>
      </c>
      <c r="F465" s="197">
        <f>SUM($E$2:E465)/SUM($C$2:C465)</f>
        <v>-1.2738243156745356E-2</v>
      </c>
      <c r="G465" s="164">
        <f t="shared" si="32"/>
        <v>-10.149450000000016</v>
      </c>
      <c r="H465" s="485" t="s">
        <v>195</v>
      </c>
      <c r="I465" s="2"/>
      <c r="J465" s="2"/>
      <c r="K465" s="2"/>
      <c r="L465" s="2"/>
      <c r="O465" s="58"/>
      <c r="P465" s="58"/>
    </row>
    <row r="466" spans="2:16">
      <c r="B466" s="587"/>
      <c r="C466" s="484">
        <v>4.12</v>
      </c>
      <c r="D466" s="164"/>
      <c r="E466" s="164">
        <f t="shared" si="31"/>
        <v>-4.12</v>
      </c>
      <c r="F466" s="197">
        <f>SUM($E$2:E466)/SUM($C$2:C466)</f>
        <v>-1.7816991097404127E-2</v>
      </c>
      <c r="G466" s="164">
        <f t="shared" si="32"/>
        <v>-14.269450000000017</v>
      </c>
      <c r="H466" s="485" t="s">
        <v>196</v>
      </c>
      <c r="I466" s="2"/>
      <c r="J466" s="2"/>
      <c r="K466" s="2"/>
      <c r="L466" s="2"/>
      <c r="O466" s="58"/>
      <c r="P466" s="58"/>
    </row>
    <row r="467" spans="2:16">
      <c r="B467" s="587"/>
      <c r="C467" s="491">
        <v>4.12</v>
      </c>
      <c r="D467" s="257">
        <v>1.85</v>
      </c>
      <c r="E467" s="257">
        <f t="shared" si="31"/>
        <v>3.5020000000000007</v>
      </c>
      <c r="F467" s="256">
        <f>SUM($E$2:E467)/SUM($C$2:C467)</f>
        <v>-1.3375548129836892E-2</v>
      </c>
      <c r="G467" s="257">
        <f t="shared" si="32"/>
        <v>-10.767450000000016</v>
      </c>
      <c r="H467" s="492" t="s">
        <v>197</v>
      </c>
      <c r="I467" s="2">
        <f>SUM(E458:E467)</f>
        <v>13.060399999999996</v>
      </c>
      <c r="L467" s="2">
        <f>I467/C467</f>
        <v>3.169999999999999</v>
      </c>
      <c r="O467" s="58"/>
      <c r="P467" s="58"/>
    </row>
    <row r="468" spans="2:16">
      <c r="B468" s="586">
        <v>46011</v>
      </c>
      <c r="C468" s="484">
        <v>2.1</v>
      </c>
      <c r="D468" s="164"/>
      <c r="E468" s="164">
        <f t="shared" ref="E468:E486" si="33">(C468*D468)-C468</f>
        <v>-2.1</v>
      </c>
      <c r="F468" s="197">
        <f>SUM($E$2:E468)/SUM($C$2:C468)</f>
        <v>-1.5942622443037496E-2</v>
      </c>
      <c r="G468" s="164">
        <f t="shared" ref="G468:G486" si="34">G467+E468</f>
        <v>-12.867450000000016</v>
      </c>
      <c r="H468" s="485" t="s">
        <v>53</v>
      </c>
      <c r="I468" s="2"/>
      <c r="J468" s="2"/>
      <c r="K468" s="2"/>
      <c r="L468" s="2"/>
      <c r="O468" s="58"/>
      <c r="P468" s="58"/>
    </row>
    <row r="469" spans="2:16">
      <c r="B469" s="587"/>
      <c r="C469" s="484">
        <v>2.1</v>
      </c>
      <c r="D469" s="164"/>
      <c r="E469" s="164">
        <f t="shared" si="33"/>
        <v>-2.1</v>
      </c>
      <c r="F469" s="197">
        <f>SUM($E$2:E469)/SUM($C$2:C469)</f>
        <v>-1.8496373005771047E-2</v>
      </c>
      <c r="G469" s="164">
        <f t="shared" si="34"/>
        <v>-14.967450000000015</v>
      </c>
      <c r="H469" s="485" t="s">
        <v>60</v>
      </c>
      <c r="I469" s="2"/>
      <c r="J469" s="2"/>
      <c r="K469" s="2"/>
      <c r="L469" s="2"/>
      <c r="O469" s="58"/>
      <c r="P469" s="58"/>
    </row>
    <row r="470" spans="2:16">
      <c r="B470" s="587"/>
      <c r="C470" s="484">
        <v>2.1</v>
      </c>
      <c r="D470" s="164"/>
      <c r="E470" s="164">
        <f t="shared" si="33"/>
        <v>-2.1</v>
      </c>
      <c r="F470" s="197">
        <f>SUM($E$2:E470)/SUM($C$2:C470)</f>
        <v>-2.1036903279880666E-2</v>
      </c>
      <c r="G470" s="164">
        <f t="shared" si="34"/>
        <v>-17.067450000000015</v>
      </c>
      <c r="H470" s="485" t="s">
        <v>15</v>
      </c>
      <c r="I470" s="2"/>
      <c r="J470" s="2"/>
      <c r="K470" s="2"/>
      <c r="L470" s="2"/>
      <c r="O470" s="58"/>
      <c r="P470" s="58"/>
    </row>
    <row r="471" spans="2:16">
      <c r="B471" s="587"/>
      <c r="C471" s="484">
        <v>2.1</v>
      </c>
      <c r="D471" s="164">
        <v>2</v>
      </c>
      <c r="E471" s="164">
        <f t="shared" si="33"/>
        <v>2.1</v>
      </c>
      <c r="F471" s="197">
        <f>SUM($E$2:E471)/SUM($C$2:C471)</f>
        <v>-1.840086795097182E-2</v>
      </c>
      <c r="G471" s="164">
        <f t="shared" si="34"/>
        <v>-14.967450000000015</v>
      </c>
      <c r="H471" s="485" t="s">
        <v>11</v>
      </c>
      <c r="I471" s="2"/>
      <c r="J471" s="2"/>
      <c r="K471" s="2"/>
      <c r="L471" s="2"/>
      <c r="O471" s="58"/>
      <c r="P471" s="58"/>
    </row>
    <row r="472" spans="2:16">
      <c r="B472" s="587"/>
      <c r="C472" s="491">
        <v>2.1</v>
      </c>
      <c r="D472" s="257">
        <v>1.83</v>
      </c>
      <c r="E472" s="257">
        <f t="shared" si="33"/>
        <v>1.7430000000000003</v>
      </c>
      <c r="F472" s="256">
        <f>SUM($E$2:E472)/SUM($C$2:C472)</f>
        <v>-1.6216171475518373E-2</v>
      </c>
      <c r="G472" s="257">
        <f t="shared" si="34"/>
        <v>-13.224450000000015</v>
      </c>
      <c r="H472" s="492" t="s">
        <v>36</v>
      </c>
      <c r="I472" s="2"/>
      <c r="J472" s="2"/>
      <c r="K472" s="2"/>
      <c r="L472" s="2"/>
      <c r="O472" s="58"/>
      <c r="P472" s="58"/>
    </row>
    <row r="473" spans="2:16">
      <c r="B473" s="587"/>
      <c r="C473" s="484">
        <v>2.1</v>
      </c>
      <c r="D473" s="164"/>
      <c r="E473" s="164">
        <f t="shared" si="33"/>
        <v>-2.1</v>
      </c>
      <c r="F473" s="197">
        <f>SUM($E$2:E473)/SUM($C$2:C473)</f>
        <v>-1.8742982595614029E-2</v>
      </c>
      <c r="G473" s="164">
        <f t="shared" si="34"/>
        <v>-15.324450000000015</v>
      </c>
      <c r="H473" s="485" t="s">
        <v>59</v>
      </c>
      <c r="I473" s="2"/>
      <c r="J473" s="2"/>
      <c r="K473" s="2"/>
      <c r="L473" s="2"/>
      <c r="O473" s="58"/>
      <c r="P473" s="58"/>
    </row>
    <row r="474" spans="2:16">
      <c r="B474" s="587"/>
      <c r="C474" s="484">
        <v>2.1</v>
      </c>
      <c r="D474" s="164">
        <v>1.9</v>
      </c>
      <c r="E474" s="164">
        <f t="shared" si="33"/>
        <v>1.8899999999999997</v>
      </c>
      <c r="F474" s="197">
        <f>SUM($E$2:E474)/SUM($C$2:C474)</f>
        <v>-1.6389271815642103E-2</v>
      </c>
      <c r="G474" s="164">
        <f t="shared" si="34"/>
        <v>-13.434450000000016</v>
      </c>
      <c r="H474" s="485" t="s">
        <v>51</v>
      </c>
      <c r="I474" s="2"/>
      <c r="J474" s="2"/>
      <c r="K474" s="2"/>
      <c r="L474" s="2"/>
      <c r="O474" s="58"/>
      <c r="P474" s="58"/>
    </row>
    <row r="475" spans="2:16">
      <c r="B475" s="587"/>
      <c r="C475" s="484">
        <v>2.1</v>
      </c>
      <c r="D475" s="164">
        <v>2.1</v>
      </c>
      <c r="E475" s="164">
        <f t="shared" si="33"/>
        <v>2.31</v>
      </c>
      <c r="F475" s="197">
        <f>SUM($E$2:E475)/SUM($C$2:C475)</f>
        <v>-1.3536523040605484E-2</v>
      </c>
      <c r="G475" s="164">
        <f t="shared" si="34"/>
        <v>-11.124450000000015</v>
      </c>
      <c r="H475" s="485" t="s">
        <v>13</v>
      </c>
      <c r="I475" s="2"/>
      <c r="J475" s="2"/>
      <c r="K475" s="2"/>
      <c r="L475" s="2"/>
      <c r="O475" s="58"/>
      <c r="P475" s="58"/>
    </row>
    <row r="476" spans="2:16">
      <c r="B476" s="587"/>
      <c r="C476" s="484">
        <v>2.1</v>
      </c>
      <c r="D476" s="164"/>
      <c r="E476" s="164">
        <f t="shared" si="33"/>
        <v>-2.1</v>
      </c>
      <c r="F476" s="197">
        <f>SUM($E$2:E476)/SUM($C$2:C476)</f>
        <v>-1.6050842931873612E-2</v>
      </c>
      <c r="G476" s="164">
        <f t="shared" si="34"/>
        <v>-13.224450000000015</v>
      </c>
      <c r="H476" s="485" t="s">
        <v>26</v>
      </c>
      <c r="I476" s="2"/>
      <c r="J476" s="2"/>
      <c r="K476" s="2"/>
      <c r="L476" s="2"/>
      <c r="O476" s="58"/>
      <c r="P476" s="58"/>
    </row>
    <row r="477" spans="2:16">
      <c r="B477" s="587"/>
      <c r="C477" s="484">
        <v>2.1</v>
      </c>
      <c r="D477" s="164">
        <v>1.91</v>
      </c>
      <c r="E477" s="164">
        <f t="shared" si="33"/>
        <v>1.911</v>
      </c>
      <c r="F477" s="197">
        <f>SUM($E$2:E477)/SUM($C$2:C477)</f>
        <v>-1.3696504884928745E-2</v>
      </c>
      <c r="G477" s="164">
        <f t="shared" si="34"/>
        <v>-11.313450000000016</v>
      </c>
      <c r="H477" s="485" t="s">
        <v>27</v>
      </c>
      <c r="I477" s="2"/>
      <c r="J477" s="2"/>
      <c r="K477" s="2"/>
      <c r="L477" s="2"/>
      <c r="O477" s="58"/>
      <c r="P477" s="58"/>
    </row>
    <row r="478" spans="2:16">
      <c r="B478" s="587"/>
      <c r="C478" s="484">
        <v>2.1</v>
      </c>
      <c r="D478" s="164">
        <v>2.1</v>
      </c>
      <c r="E478" s="164">
        <f t="shared" si="33"/>
        <v>2.31</v>
      </c>
      <c r="F478" s="197">
        <f>SUM($E$2:E478)/SUM($C$2:C478)</f>
        <v>-1.0872287498037696E-2</v>
      </c>
      <c r="G478" s="164">
        <f t="shared" si="34"/>
        <v>-9.0034500000000151</v>
      </c>
      <c r="H478" s="485" t="s">
        <v>47</v>
      </c>
      <c r="I478" s="2"/>
      <c r="J478" s="2"/>
      <c r="K478" s="2"/>
      <c r="L478" s="2"/>
      <c r="O478" s="58"/>
      <c r="P478" s="58"/>
    </row>
    <row r="479" spans="2:16">
      <c r="B479" s="587"/>
      <c r="C479" s="491">
        <v>2.1</v>
      </c>
      <c r="D479" s="257"/>
      <c r="E479" s="257">
        <f t="shared" si="33"/>
        <v>-2.1</v>
      </c>
      <c r="F479" s="256">
        <f>SUM($E$2:E479)/SUM($C$2:C479)</f>
        <v>-1.3374266751785682E-2</v>
      </c>
      <c r="G479" s="257">
        <f t="shared" si="34"/>
        <v>-11.103450000000015</v>
      </c>
      <c r="H479" s="492" t="s">
        <v>18</v>
      </c>
      <c r="I479" s="2"/>
      <c r="J479" s="2"/>
      <c r="K479" s="2"/>
      <c r="L479" s="2"/>
      <c r="O479" s="58"/>
      <c r="P479" s="58"/>
    </row>
    <row r="480" spans="2:16">
      <c r="B480" s="587"/>
      <c r="C480" s="484">
        <v>2.1</v>
      </c>
      <c r="D480" s="164"/>
      <c r="E480" s="164">
        <f t="shared" si="33"/>
        <v>-2.1</v>
      </c>
      <c r="F480" s="197">
        <f>SUM($E$2:E480)/SUM($C$2:C480)</f>
        <v>-1.5863620526005918E-2</v>
      </c>
      <c r="G480" s="164">
        <f t="shared" si="34"/>
        <v>-13.203450000000014</v>
      </c>
      <c r="H480" s="485" t="s">
        <v>183</v>
      </c>
      <c r="I480" s="2"/>
      <c r="J480" s="2"/>
      <c r="K480" s="2"/>
      <c r="L480" s="2"/>
      <c r="O480" s="58"/>
      <c r="P480" s="58"/>
    </row>
    <row r="481" spans="2:16">
      <c r="B481" s="587"/>
      <c r="C481" s="484">
        <v>2.1</v>
      </c>
      <c r="D481" s="164">
        <v>1.9</v>
      </c>
      <c r="E481" s="164">
        <f t="shared" si="33"/>
        <v>1.8899999999999997</v>
      </c>
      <c r="F481" s="197">
        <f>SUM($E$2:E481)/SUM($C$2:C481)</f>
        <v>-1.3558622260040015E-2</v>
      </c>
      <c r="G481" s="164">
        <f t="shared" si="34"/>
        <v>-11.313450000000014</v>
      </c>
      <c r="H481" s="485" t="s">
        <v>198</v>
      </c>
      <c r="I481" s="2"/>
      <c r="J481" s="2"/>
      <c r="K481" s="2"/>
      <c r="L481" s="2"/>
      <c r="O481" s="58"/>
      <c r="P481" s="58"/>
    </row>
    <row r="482" spans="2:16">
      <c r="B482" s="587"/>
      <c r="C482" s="484">
        <v>2.1</v>
      </c>
      <c r="D482" s="164">
        <v>1.89</v>
      </c>
      <c r="E482" s="164">
        <f t="shared" si="33"/>
        <v>1.8689999999999998</v>
      </c>
      <c r="F482" s="197">
        <f>SUM($E$2:E482)/SUM($C$2:C482)</f>
        <v>-1.1290301371173081E-2</v>
      </c>
      <c r="G482" s="164">
        <f t="shared" si="34"/>
        <v>-9.444450000000014</v>
      </c>
      <c r="H482" s="485" t="s">
        <v>199</v>
      </c>
      <c r="I482" s="2"/>
      <c r="J482" s="2"/>
      <c r="K482" s="2"/>
      <c r="L482" s="2"/>
      <c r="O482" s="58"/>
      <c r="P482" s="58"/>
    </row>
    <row r="483" spans="2:16">
      <c r="B483" s="587"/>
      <c r="C483" s="484">
        <v>2.1</v>
      </c>
      <c r="D483" s="164">
        <v>1.8499999999999999</v>
      </c>
      <c r="E483" s="164">
        <f t="shared" si="33"/>
        <v>1.7849999999999997</v>
      </c>
      <c r="F483" s="197">
        <f>SUM($E$2:E483)/SUM($C$2:C483)</f>
        <v>-9.1335066359809654E-3</v>
      </c>
      <c r="G483" s="164">
        <f t="shared" si="34"/>
        <v>-7.6594500000000139</v>
      </c>
      <c r="H483" s="485" t="s">
        <v>200</v>
      </c>
      <c r="I483" s="2"/>
      <c r="J483" s="2"/>
      <c r="K483" s="2"/>
      <c r="L483" s="2"/>
      <c r="O483" s="58"/>
      <c r="P483" s="58"/>
    </row>
    <row r="484" spans="2:16">
      <c r="B484" s="587"/>
      <c r="C484" s="484">
        <v>2.1</v>
      </c>
      <c r="D484" s="164">
        <v>1.89</v>
      </c>
      <c r="E484" s="164">
        <f t="shared" si="33"/>
        <v>1.8689999999999998</v>
      </c>
      <c r="F484" s="197">
        <f>SUM($E$2:E484)/SUM($C$2:C484)</f>
        <v>-6.8875712195644173E-3</v>
      </c>
      <c r="G484" s="164">
        <f t="shared" si="34"/>
        <v>-5.7904500000000141</v>
      </c>
      <c r="H484" s="485" t="s">
        <v>201</v>
      </c>
      <c r="I484" s="2"/>
      <c r="J484" s="2"/>
      <c r="K484" s="2"/>
      <c r="L484" s="2"/>
      <c r="O484" s="58"/>
      <c r="P484" s="58"/>
    </row>
    <row r="485" spans="2:16">
      <c r="B485" s="587"/>
      <c r="C485" s="484">
        <v>2.1</v>
      </c>
      <c r="D485" s="164">
        <v>1.85</v>
      </c>
      <c r="E485" s="164">
        <f t="shared" si="33"/>
        <v>1.7850000000000001</v>
      </c>
      <c r="F485" s="197">
        <f>SUM($E$2:E485)/SUM($C$2:C485)</f>
        <v>-4.7524946310556412E-3</v>
      </c>
      <c r="G485" s="164">
        <f t="shared" si="34"/>
        <v>-4.0054500000000139</v>
      </c>
      <c r="H485" s="485" t="s">
        <v>202</v>
      </c>
      <c r="I485" s="2"/>
      <c r="J485" s="2"/>
      <c r="K485" s="2"/>
      <c r="L485" s="2"/>
      <c r="O485" s="58"/>
      <c r="P485" s="58"/>
    </row>
    <row r="486" spans="2:16">
      <c r="B486" s="587"/>
      <c r="C486" s="491">
        <v>2.1</v>
      </c>
      <c r="D486" s="257"/>
      <c r="E486" s="257">
        <f t="shared" si="33"/>
        <v>-2.1</v>
      </c>
      <c r="F486" s="256">
        <f>SUM($E$2:E486)/SUM($C$2:C486)</f>
        <v>-7.2261542649512964E-3</v>
      </c>
      <c r="G486" s="257">
        <f t="shared" si="34"/>
        <v>-6.1054500000000136</v>
      </c>
      <c r="H486" s="492" t="s">
        <v>203</v>
      </c>
      <c r="I486" s="2">
        <f>SUM(E468:E486)</f>
        <v>4.661999999999999</v>
      </c>
      <c r="L486" s="2">
        <f>I486/C486</f>
        <v>2.2199999999999993</v>
      </c>
      <c r="O486" s="58"/>
      <c r="P486" s="58"/>
    </row>
    <row r="487" spans="2:16">
      <c r="B487" s="586">
        <v>46012</v>
      </c>
      <c r="C487" s="484">
        <v>3.53</v>
      </c>
      <c r="D487" s="164">
        <v>1.9</v>
      </c>
      <c r="E487" s="164">
        <f t="shared" ref="E487:E500" si="35">(C487*D487)-C487</f>
        <v>3.1769999999999992</v>
      </c>
      <c r="F487" s="197">
        <f>SUM($E$2:E487)/SUM($C$2:C487)</f>
        <v>-3.4515699401254161E-3</v>
      </c>
      <c r="G487" s="164">
        <f t="shared" ref="G487:G500" si="36">G486+E487</f>
        <v>-2.9284500000000144</v>
      </c>
      <c r="H487" s="485" t="s">
        <v>35</v>
      </c>
      <c r="I487" s="2"/>
      <c r="J487" s="2"/>
      <c r="K487" s="2"/>
      <c r="L487" s="2"/>
      <c r="O487" s="58"/>
      <c r="P487" s="58"/>
    </row>
    <row r="488" spans="2:16">
      <c r="B488" s="587"/>
      <c r="C488" s="484">
        <v>3.53</v>
      </c>
      <c r="D488" s="164"/>
      <c r="E488" s="164">
        <f t="shared" si="35"/>
        <v>-3.53</v>
      </c>
      <c r="F488" s="197">
        <f>SUM($E$2:E488)/SUM($C$2:C488)</f>
        <v>-7.5806072983790511E-3</v>
      </c>
      <c r="G488" s="164">
        <f t="shared" si="36"/>
        <v>-6.4584500000000142</v>
      </c>
      <c r="H488" s="485" t="s">
        <v>25</v>
      </c>
      <c r="I488" s="2"/>
      <c r="J488" s="2"/>
      <c r="K488" s="2"/>
      <c r="L488" s="2"/>
      <c r="O488" s="58"/>
      <c r="P488" s="58"/>
    </row>
    <row r="489" spans="2:16">
      <c r="B489" s="587"/>
      <c r="C489" s="484">
        <v>3.53</v>
      </c>
      <c r="D489" s="164"/>
      <c r="E489" s="164">
        <f t="shared" si="35"/>
        <v>-3.53</v>
      </c>
      <c r="F489" s="197">
        <f>SUM($E$2:E489)/SUM($C$2:C489)</f>
        <v>-1.1675569842197538E-2</v>
      </c>
      <c r="G489" s="164">
        <f t="shared" si="36"/>
        <v>-9.9884500000000145</v>
      </c>
      <c r="H489" s="485" t="s">
        <v>12</v>
      </c>
      <c r="I489" s="2"/>
      <c r="J489" s="2"/>
      <c r="K489" s="2"/>
      <c r="L489" s="2"/>
      <c r="O489" s="58"/>
      <c r="P489" s="58"/>
    </row>
    <row r="490" spans="2:16">
      <c r="B490" s="587"/>
      <c r="C490" s="484">
        <v>3.53</v>
      </c>
      <c r="D490" s="164"/>
      <c r="E490" s="164">
        <f t="shared" si="35"/>
        <v>-3.53</v>
      </c>
      <c r="F490" s="197">
        <f>SUM($E$2:E490)/SUM($C$2:C490)</f>
        <v>-1.573687764106025E-2</v>
      </c>
      <c r="G490" s="164">
        <f t="shared" si="36"/>
        <v>-13.518450000000014</v>
      </c>
      <c r="H490" s="485" t="s">
        <v>34</v>
      </c>
      <c r="I490" s="2"/>
      <c r="J490" s="2"/>
      <c r="K490" s="2"/>
      <c r="L490" s="2"/>
      <c r="O490" s="58"/>
      <c r="P490" s="58"/>
    </row>
    <row r="491" spans="2:16">
      <c r="B491" s="587"/>
      <c r="C491" s="491">
        <v>3.53</v>
      </c>
      <c r="D491" s="257">
        <v>2</v>
      </c>
      <c r="E491" s="257">
        <f t="shared" si="35"/>
        <v>3.53</v>
      </c>
      <c r="F491" s="256">
        <f>SUM($E$2:E491)/SUM($C$2:C491)</f>
        <v>-1.1580006028566122E-2</v>
      </c>
      <c r="G491" s="257">
        <f t="shared" si="36"/>
        <v>-9.9884500000000145</v>
      </c>
      <c r="H491" s="492" t="s">
        <v>53</v>
      </c>
      <c r="I491" s="2"/>
      <c r="J491" s="2"/>
      <c r="K491" s="2"/>
      <c r="L491" s="2"/>
      <c r="O491" s="58"/>
      <c r="P491" s="58"/>
    </row>
    <row r="492" spans="2:16">
      <c r="B492" s="587"/>
      <c r="C492" s="484">
        <v>3.53</v>
      </c>
      <c r="D492" s="164"/>
      <c r="E492" s="164">
        <f t="shared" si="35"/>
        <v>-3.53</v>
      </c>
      <c r="F492" s="197">
        <f>SUM($E$2:E492)/SUM($C$2:C492)</f>
        <v>-1.560859725894536E-2</v>
      </c>
      <c r="G492" s="164">
        <f t="shared" si="36"/>
        <v>-13.518450000000014</v>
      </c>
      <c r="H492" s="485" t="s">
        <v>28</v>
      </c>
      <c r="I492" s="2"/>
      <c r="J492" s="2"/>
      <c r="K492" s="2"/>
      <c r="L492" s="2"/>
      <c r="O492" s="58"/>
      <c r="P492" s="58"/>
    </row>
    <row r="493" spans="2:16">
      <c r="B493" s="587"/>
      <c r="C493" s="484">
        <v>3.53</v>
      </c>
      <c r="D493" s="164">
        <v>1.9</v>
      </c>
      <c r="E493" s="164">
        <f t="shared" si="35"/>
        <v>3.1769999999999992</v>
      </c>
      <c r="F493" s="197">
        <f>SUM($E$2:E493)/SUM($C$2:C493)</f>
        <v>-1.1891918309146517E-2</v>
      </c>
      <c r="G493" s="164">
        <f t="shared" si="36"/>
        <v>-10.341450000000014</v>
      </c>
      <c r="H493" s="485" t="s">
        <v>29</v>
      </c>
      <c r="I493" s="2"/>
      <c r="J493" s="2"/>
      <c r="K493" s="2"/>
      <c r="L493" s="2"/>
      <c r="O493" s="58"/>
      <c r="P493" s="58"/>
    </row>
    <row r="494" spans="2:16">
      <c r="B494" s="587"/>
      <c r="C494" s="484">
        <v>3.53</v>
      </c>
      <c r="D494" s="164">
        <v>1.9390000000000001</v>
      </c>
      <c r="E494" s="164">
        <f t="shared" si="35"/>
        <v>3.31467</v>
      </c>
      <c r="F494" s="197">
        <f>SUM($E$2:E494)/SUM($C$2:C494)</f>
        <v>-8.0476206837313182E-3</v>
      </c>
      <c r="G494" s="164">
        <f t="shared" si="36"/>
        <v>-7.0267800000000147</v>
      </c>
      <c r="H494" s="485" t="s">
        <v>11</v>
      </c>
      <c r="I494" s="2"/>
      <c r="J494" s="2"/>
      <c r="K494" s="2"/>
      <c r="L494" s="2"/>
      <c r="O494" s="58"/>
      <c r="P494" s="58"/>
    </row>
    <row r="495" spans="2:16">
      <c r="B495" s="587"/>
      <c r="C495" s="491">
        <v>5</v>
      </c>
      <c r="D495" s="257">
        <v>2</v>
      </c>
      <c r="E495" s="257">
        <f t="shared" si="35"/>
        <v>5</v>
      </c>
      <c r="F495" s="256">
        <f>SUM($E$2:E495)/SUM($C$2:C495)</f>
        <v>-2.3080111598246435E-3</v>
      </c>
      <c r="G495" s="257">
        <f t="shared" si="36"/>
        <v>-2.0267800000000147</v>
      </c>
      <c r="H495" s="492" t="s">
        <v>38</v>
      </c>
      <c r="I495" s="2"/>
      <c r="J495" s="2"/>
      <c r="K495" s="2"/>
      <c r="L495" s="2"/>
      <c r="O495" s="58"/>
      <c r="P495" s="58"/>
    </row>
    <row r="496" spans="2:16">
      <c r="B496" s="587"/>
      <c r="C496" s="484">
        <v>3.53</v>
      </c>
      <c r="D496" s="164">
        <v>1.9</v>
      </c>
      <c r="E496" s="164">
        <f t="shared" si="35"/>
        <v>3.1769999999999992</v>
      </c>
      <c r="F496" s="197">
        <f>SUM($E$2:E496)/SUM($C$2:C496)</f>
        <v>1.3045776245349586E-3</v>
      </c>
      <c r="G496" s="164">
        <f t="shared" si="36"/>
        <v>1.1502199999999845</v>
      </c>
      <c r="H496" s="485" t="s">
        <v>204</v>
      </c>
      <c r="I496" s="2"/>
      <c r="J496" s="2"/>
      <c r="K496" s="2"/>
      <c r="L496" s="2"/>
      <c r="O496" s="58"/>
      <c r="P496" s="58"/>
    </row>
    <row r="497" spans="2:16">
      <c r="B497" s="587"/>
      <c r="C497" s="484">
        <v>3.53</v>
      </c>
      <c r="D497" s="164"/>
      <c r="E497" s="164">
        <f t="shared" si="35"/>
        <v>-3.53</v>
      </c>
      <c r="F497" s="197">
        <f>SUM($E$2:E497)/SUM($C$2:C497)</f>
        <v>-2.6883790287050655E-3</v>
      </c>
      <c r="G497" s="164">
        <f t="shared" si="36"/>
        <v>-2.3797800000000153</v>
      </c>
      <c r="H497" s="485" t="s">
        <v>31</v>
      </c>
      <c r="I497" s="2"/>
      <c r="J497" s="2"/>
      <c r="K497" s="2"/>
      <c r="L497" s="2"/>
      <c r="O497" s="58"/>
      <c r="P497" s="58"/>
    </row>
    <row r="498" spans="2:16">
      <c r="B498" s="587"/>
      <c r="C498" s="484">
        <v>3.53</v>
      </c>
      <c r="D498" s="164"/>
      <c r="E498" s="164">
        <f t="shared" si="35"/>
        <v>-3.53</v>
      </c>
      <c r="F498" s="197">
        <f>SUM($E$2:E498)/SUM($C$2:C498)</f>
        <v>-6.6496163107320535E-3</v>
      </c>
      <c r="G498" s="164">
        <f t="shared" si="36"/>
        <v>-5.9097800000000156</v>
      </c>
      <c r="H498" s="485" t="s">
        <v>205</v>
      </c>
      <c r="I498" s="2"/>
      <c r="J498" s="2"/>
      <c r="K498" s="2"/>
      <c r="L498" s="2"/>
      <c r="O498" s="58"/>
      <c r="P498" s="58"/>
    </row>
    <row r="499" spans="2:16">
      <c r="B499" s="587"/>
      <c r="C499" s="484">
        <v>3.53</v>
      </c>
      <c r="D499" s="164"/>
      <c r="E499" s="164">
        <f t="shared" si="35"/>
        <v>-3.53</v>
      </c>
      <c r="F499" s="197">
        <f>SUM($E$2:E499)/SUM($C$2:C499)</f>
        <v>-1.0579510686227261E-2</v>
      </c>
      <c r="G499" s="164">
        <f t="shared" si="36"/>
        <v>-9.4397800000000149</v>
      </c>
      <c r="H499" s="485" t="s">
        <v>206</v>
      </c>
      <c r="I499" s="2"/>
      <c r="J499" s="2"/>
      <c r="K499" s="2"/>
      <c r="L499" s="2"/>
      <c r="O499" s="58"/>
      <c r="P499" s="58"/>
    </row>
    <row r="500" spans="2:16">
      <c r="B500" s="587"/>
      <c r="C500" s="491">
        <v>3.53</v>
      </c>
      <c r="D500" s="257">
        <v>1.87</v>
      </c>
      <c r="E500" s="257">
        <f t="shared" si="35"/>
        <v>3.0710999999999999</v>
      </c>
      <c r="F500" s="256">
        <f>SUM($E$2:E500)/SUM($C$2:C500)</f>
        <v>-7.1094887251618713E-3</v>
      </c>
      <c r="G500" s="257">
        <f t="shared" si="36"/>
        <v>-6.3686800000000154</v>
      </c>
      <c r="H500" s="492" t="s">
        <v>207</v>
      </c>
      <c r="I500" s="490">
        <f>SUM(E487:E500)</f>
        <v>-0.26323000000000096</v>
      </c>
      <c r="J500" s="490">
        <f>SUM(E418:E500)</f>
        <v>2.5899699999999952</v>
      </c>
      <c r="L500" s="2">
        <f>I500/C500</f>
        <v>-7.4569405099150415E-2</v>
      </c>
      <c r="O500" s="58"/>
      <c r="P500" s="58"/>
    </row>
    <row r="501" spans="2:16">
      <c r="B501" s="586">
        <v>46013</v>
      </c>
      <c r="C501" s="484">
        <f>3.02*2</f>
        <v>6.04</v>
      </c>
      <c r="D501" s="164">
        <v>1.85</v>
      </c>
      <c r="E501" s="164">
        <f t="shared" ref="E501:E513" si="37">(C501*D501)-C501</f>
        <v>5.1340000000000012</v>
      </c>
      <c r="F501" s="197">
        <f>SUM($E$2:E501)/SUM($C$2:C501)</f>
        <v>-1.369067683846372E-3</v>
      </c>
      <c r="G501" s="164">
        <f t="shared" ref="G501:G513" si="38">G500+E501</f>
        <v>-1.2346800000000142</v>
      </c>
      <c r="H501" s="485" t="s">
        <v>15</v>
      </c>
      <c r="I501" s="2"/>
      <c r="J501" s="2"/>
      <c r="K501" s="2"/>
      <c r="L501" s="2"/>
      <c r="O501" s="58"/>
      <c r="P501" s="58"/>
    </row>
    <row r="502" spans="2:16">
      <c r="B502" s="587"/>
      <c r="C502" s="484">
        <f>3.02*2</f>
        <v>6.04</v>
      </c>
      <c r="D502" s="164"/>
      <c r="E502" s="164">
        <f t="shared" si="37"/>
        <v>-6.04</v>
      </c>
      <c r="F502" s="197">
        <f>SUM($E$2:E502)/SUM($C$2:C502)</f>
        <v>-8.0128210776754666E-3</v>
      </c>
      <c r="G502" s="164">
        <f t="shared" si="38"/>
        <v>-7.2746800000000142</v>
      </c>
      <c r="H502" s="485" t="s">
        <v>60</v>
      </c>
      <c r="I502" s="2"/>
      <c r="J502" s="2"/>
      <c r="K502" s="2"/>
      <c r="L502" s="2"/>
      <c r="O502" s="58"/>
      <c r="P502" s="58"/>
    </row>
    <row r="503" spans="2:16">
      <c r="B503" s="587"/>
      <c r="C503" s="484">
        <v>3.02</v>
      </c>
      <c r="D503" s="164"/>
      <c r="E503" s="164">
        <f t="shared" si="37"/>
        <v>-3.02</v>
      </c>
      <c r="F503" s="197">
        <f>SUM($E$2:E503)/SUM($C$2:C503)</f>
        <v>-1.130165770117466E-2</v>
      </c>
      <c r="G503" s="164">
        <f t="shared" si="38"/>
        <v>-10.294680000000014</v>
      </c>
      <c r="H503" s="485" t="s">
        <v>17</v>
      </c>
      <c r="I503" s="2"/>
      <c r="J503" s="2"/>
      <c r="K503" s="2"/>
      <c r="L503" s="2"/>
      <c r="O503" s="58"/>
      <c r="P503" s="58"/>
    </row>
    <row r="504" spans="2:16">
      <c r="B504" s="587"/>
      <c r="C504" s="491">
        <v>3.02</v>
      </c>
      <c r="D504" s="257"/>
      <c r="E504" s="257">
        <f t="shared" si="37"/>
        <v>-3.02</v>
      </c>
      <c r="F504" s="256">
        <f>SUM($E$2:E504)/SUM($C$2:C504)</f>
        <v>-1.4568758753501393E-2</v>
      </c>
      <c r="G504" s="257">
        <f t="shared" si="38"/>
        <v>-13.314680000000013</v>
      </c>
      <c r="H504" s="492" t="s">
        <v>64</v>
      </c>
      <c r="I504" s="2"/>
      <c r="J504" s="2"/>
      <c r="K504" s="2"/>
      <c r="L504" s="2"/>
      <c r="O504" s="58"/>
      <c r="P504" s="58"/>
    </row>
    <row r="505" spans="2:16">
      <c r="B505" s="587"/>
      <c r="C505" s="484">
        <v>3.02</v>
      </c>
      <c r="D505" s="164"/>
      <c r="E505" s="164">
        <f t="shared" si="37"/>
        <v>-3.02</v>
      </c>
      <c r="F505" s="197">
        <f>SUM($E$2:E505)/SUM($C$2:C505)</f>
        <v>-1.7814338997099034E-2</v>
      </c>
      <c r="G505" s="164">
        <f t="shared" si="38"/>
        <v>-16.334680000000013</v>
      </c>
      <c r="H505" s="485" t="s">
        <v>37</v>
      </c>
      <c r="I505" s="2"/>
      <c r="J505" s="2"/>
      <c r="K505" s="2"/>
      <c r="L505" s="2"/>
      <c r="O505" s="58"/>
      <c r="P505" s="58"/>
    </row>
    <row r="506" spans="2:16">
      <c r="B506" s="587"/>
      <c r="C506" s="484">
        <v>3.02</v>
      </c>
      <c r="D506" s="164"/>
      <c r="E506" s="164">
        <f t="shared" si="37"/>
        <v>-3.02</v>
      </c>
      <c r="F506" s="197">
        <f>SUM($E$2:E506)/SUM($C$2:C506)</f>
        <v>-2.1038610374364084E-2</v>
      </c>
      <c r="G506" s="164">
        <f t="shared" si="38"/>
        <v>-19.354680000000013</v>
      </c>
      <c r="H506" s="485" t="s">
        <v>13</v>
      </c>
      <c r="I506" s="2"/>
      <c r="J506" s="2"/>
      <c r="K506" s="2"/>
      <c r="L506" s="2"/>
      <c r="O506" s="58"/>
      <c r="P506" s="58"/>
    </row>
    <row r="507" spans="2:16">
      <c r="B507" s="587"/>
      <c r="C507" s="484">
        <v>3.02</v>
      </c>
      <c r="D507" s="164">
        <v>1.91</v>
      </c>
      <c r="E507" s="164">
        <f t="shared" si="37"/>
        <v>2.7482000000000002</v>
      </c>
      <c r="F507" s="197">
        <f>SUM($E$2:E507)/SUM($C$2:C507)</f>
        <v>-1.7992242518797791E-2</v>
      </c>
      <c r="G507" s="164">
        <f t="shared" si="38"/>
        <v>-16.606480000000012</v>
      </c>
      <c r="H507" s="485" t="s">
        <v>59</v>
      </c>
      <c r="I507" s="2"/>
      <c r="J507" s="2"/>
      <c r="K507" s="2"/>
      <c r="L507" s="2"/>
      <c r="O507" s="58"/>
      <c r="P507" s="58"/>
    </row>
    <row r="508" spans="2:16">
      <c r="B508" s="587"/>
      <c r="C508" s="491">
        <v>3.02</v>
      </c>
      <c r="D508" s="257">
        <v>2.31</v>
      </c>
      <c r="E508" s="257">
        <f t="shared" si="37"/>
        <v>3.9562000000000004</v>
      </c>
      <c r="F508" s="256">
        <f>SUM($E$2:E508)/SUM($C$2:C508)</f>
        <v>-1.3661209503239733E-2</v>
      </c>
      <c r="G508" s="257">
        <f t="shared" si="38"/>
        <v>-12.650280000000011</v>
      </c>
      <c r="H508" s="492" t="s">
        <v>27</v>
      </c>
      <c r="I508" s="2"/>
      <c r="J508" s="2"/>
      <c r="K508" s="2"/>
      <c r="L508" s="2"/>
      <c r="O508" s="58"/>
      <c r="P508" s="58"/>
    </row>
    <row r="509" spans="2:16">
      <c r="B509" s="587"/>
      <c r="C509" s="484">
        <v>3.02</v>
      </c>
      <c r="D509" s="164">
        <v>1.87</v>
      </c>
      <c r="E509" s="164">
        <f t="shared" si="37"/>
        <v>2.6274000000000002</v>
      </c>
      <c r="F509" s="197">
        <f>SUM($E$2:E509)/SUM($C$2:C509)</f>
        <v>-1.0788659017028693E-2</v>
      </c>
      <c r="G509" s="164">
        <f t="shared" si="38"/>
        <v>-10.022880000000011</v>
      </c>
      <c r="H509" s="485" t="s">
        <v>208</v>
      </c>
      <c r="I509" s="2"/>
      <c r="J509" s="2"/>
      <c r="K509" s="2"/>
      <c r="L509" s="2"/>
      <c r="O509" s="58"/>
      <c r="P509" s="58"/>
    </row>
    <row r="510" spans="2:16">
      <c r="B510" s="587"/>
      <c r="C510" s="484">
        <v>3.02</v>
      </c>
      <c r="D510" s="164"/>
      <c r="E510" s="164">
        <f t="shared" si="37"/>
        <v>-3.02</v>
      </c>
      <c r="F510" s="197">
        <f>SUM($E$2:E510)/SUM($C$2:C510)</f>
        <v>-1.3993905840951023E-2</v>
      </c>
      <c r="G510" s="164">
        <f t="shared" si="38"/>
        <v>-13.042880000000011</v>
      </c>
      <c r="H510" s="485" t="s">
        <v>209</v>
      </c>
      <c r="I510" s="2"/>
      <c r="J510" s="2"/>
      <c r="K510" s="2"/>
      <c r="L510" s="2"/>
      <c r="O510" s="58"/>
      <c r="P510" s="58"/>
    </row>
    <row r="511" spans="2:16">
      <c r="B511" s="587"/>
      <c r="C511" s="484">
        <v>3.02</v>
      </c>
      <c r="D511" s="164"/>
      <c r="E511" s="164">
        <f t="shared" si="37"/>
        <v>-3.02</v>
      </c>
      <c r="F511" s="197">
        <f>SUM($E$2:E511)/SUM($C$2:C511)</f>
        <v>-1.7178448441811208E-2</v>
      </c>
      <c r="G511" s="164">
        <f t="shared" si="38"/>
        <v>-16.06288000000001</v>
      </c>
      <c r="H511" s="485" t="s">
        <v>210</v>
      </c>
      <c r="I511" s="2"/>
      <c r="J511" s="2"/>
      <c r="K511" s="2"/>
      <c r="L511" s="2"/>
      <c r="O511" s="58"/>
      <c r="P511" s="58"/>
    </row>
    <row r="512" spans="2:16">
      <c r="B512" s="587"/>
      <c r="C512" s="484">
        <v>3.02</v>
      </c>
      <c r="D512" s="164"/>
      <c r="E512" s="164">
        <f t="shared" si="37"/>
        <v>-3.02</v>
      </c>
      <c r="F512" s="197">
        <f>SUM($E$2:E512)/SUM($C$2:C512)</f>
        <v>-2.0342486781511154E-2</v>
      </c>
      <c r="G512" s="164">
        <f t="shared" si="38"/>
        <v>-19.08288000000001</v>
      </c>
      <c r="H512" s="485" t="s">
        <v>211</v>
      </c>
      <c r="I512" s="2"/>
      <c r="J512" s="2"/>
      <c r="K512" s="2"/>
      <c r="L512" s="2"/>
      <c r="O512" s="58"/>
      <c r="P512" s="58"/>
    </row>
    <row r="513" spans="2:16">
      <c r="B513" s="587"/>
      <c r="C513" s="491">
        <v>3.02</v>
      </c>
      <c r="D513" s="257"/>
      <c r="E513" s="257">
        <f t="shared" si="37"/>
        <v>-3.02</v>
      </c>
      <c r="F513" s="256">
        <f>SUM($E$2:E513)/SUM($C$2:C513)</f>
        <v>-2.3486218255233216E-2</v>
      </c>
      <c r="G513" s="257">
        <f t="shared" si="38"/>
        <v>-22.10288000000001</v>
      </c>
      <c r="H513" s="492" t="s">
        <v>212</v>
      </c>
      <c r="I513" s="2">
        <f>SUM(E501:E513)</f>
        <v>-15.734199999999996</v>
      </c>
      <c r="L513" s="2">
        <f>I513/C513</f>
        <v>-5.2099999999999991</v>
      </c>
      <c r="O513" s="58"/>
      <c r="P513" s="58"/>
    </row>
    <row r="514" spans="2:16">
      <c r="B514" s="586">
        <v>46014</v>
      </c>
      <c r="C514" s="484">
        <v>1.47</v>
      </c>
      <c r="D514" s="164"/>
      <c r="E514" s="164">
        <f t="shared" ref="E514:E539" si="39">(C514*D514)-C514</f>
        <v>-1.47</v>
      </c>
      <c r="F514" s="197">
        <f>SUM($E$2:E514)/SUM($C$2:C514)</f>
        <v>-2.5009155818665963E-2</v>
      </c>
      <c r="G514" s="164">
        <f t="shared" ref="G514:G539" si="40">G513+E514</f>
        <v>-23.572880000000008</v>
      </c>
      <c r="H514" s="485" t="s">
        <v>11</v>
      </c>
      <c r="I514" s="2"/>
      <c r="J514" s="2"/>
      <c r="K514" s="2"/>
      <c r="L514" s="2"/>
      <c r="O514" s="58"/>
      <c r="P514" s="58"/>
    </row>
    <row r="515" spans="2:16">
      <c r="B515" s="587"/>
      <c r="C515" s="484">
        <v>1.47</v>
      </c>
      <c r="D515" s="164">
        <v>1.8620000000000001</v>
      </c>
      <c r="E515" s="164">
        <f t="shared" si="39"/>
        <v>1.2671400000000002</v>
      </c>
      <c r="F515" s="197">
        <f>SUM($E$2:E515)/SUM($C$2:C515)</f>
        <v>-2.3627960679632194E-2</v>
      </c>
      <c r="G515" s="164">
        <f t="shared" si="40"/>
        <v>-22.305740000000007</v>
      </c>
      <c r="H515" s="485" t="s">
        <v>28</v>
      </c>
      <c r="I515" s="2"/>
      <c r="J515" s="2"/>
      <c r="K515" s="2"/>
      <c r="L515" s="2"/>
      <c r="O515" s="58"/>
      <c r="P515" s="58"/>
    </row>
    <row r="516" spans="2:16">
      <c r="B516" s="587"/>
      <c r="C516" s="484">
        <v>1.47</v>
      </c>
      <c r="D516" s="164">
        <v>1.9</v>
      </c>
      <c r="E516" s="164">
        <f t="shared" si="39"/>
        <v>1.3229999999999997</v>
      </c>
      <c r="F516" s="197">
        <f>SUM($E$2:E516)/SUM($C$2:C516)</f>
        <v>-2.2191981047265472E-2</v>
      </c>
      <c r="G516" s="164">
        <f t="shared" si="40"/>
        <v>-20.982740000000007</v>
      </c>
      <c r="H516" s="485" t="s">
        <v>13</v>
      </c>
      <c r="I516" s="2"/>
      <c r="J516" s="2"/>
      <c r="K516" s="2"/>
      <c r="L516" s="2"/>
      <c r="O516" s="58"/>
      <c r="P516" s="58"/>
    </row>
    <row r="517" spans="2:16">
      <c r="B517" s="587"/>
      <c r="C517" s="484">
        <v>1.47</v>
      </c>
      <c r="D517" s="164">
        <v>1.87</v>
      </c>
      <c r="E517" s="164">
        <f t="shared" si="39"/>
        <v>1.2788999999999999</v>
      </c>
      <c r="F517" s="197">
        <f>SUM($E$2:E517)/SUM($C$2:C517)</f>
        <v>-2.0807028659528159E-2</v>
      </c>
      <c r="G517" s="164">
        <f t="shared" si="40"/>
        <v>-19.703840000000007</v>
      </c>
      <c r="H517" s="485" t="s">
        <v>34</v>
      </c>
      <c r="I517" s="2"/>
      <c r="J517" s="2"/>
      <c r="K517" s="2"/>
      <c r="L517" s="2"/>
      <c r="O517" s="58"/>
      <c r="P517" s="58"/>
    </row>
    <row r="518" spans="2:16">
      <c r="B518" s="587"/>
      <c r="C518" s="484">
        <v>1.47</v>
      </c>
      <c r="D518" s="164"/>
      <c r="E518" s="164">
        <f t="shared" si="39"/>
        <v>-1.47</v>
      </c>
      <c r="F518" s="197">
        <f>SUM($E$2:E518)/SUM($C$2:C518)</f>
        <v>-2.2324677104749828E-2</v>
      </c>
      <c r="G518" s="164">
        <f t="shared" si="40"/>
        <v>-21.173840000000006</v>
      </c>
      <c r="H518" s="485" t="s">
        <v>30</v>
      </c>
      <c r="I518" s="2"/>
      <c r="J518" s="2"/>
      <c r="K518" s="2"/>
      <c r="L518" s="2"/>
      <c r="O518" s="58"/>
      <c r="P518" s="58"/>
    </row>
    <row r="519" spans="2:16">
      <c r="B519" s="587"/>
      <c r="C519" s="484">
        <v>1.47</v>
      </c>
      <c r="D519" s="164"/>
      <c r="E519" s="164">
        <f t="shared" si="39"/>
        <v>-1.47</v>
      </c>
      <c r="F519" s="197">
        <f>SUM($E$2:E519)/SUM($C$2:C519)</f>
        <v>-2.3837628431867916E-2</v>
      </c>
      <c r="G519" s="164">
        <f t="shared" si="40"/>
        <v>-22.643840000000004</v>
      </c>
      <c r="H519" s="485" t="s">
        <v>10</v>
      </c>
      <c r="I519" s="2"/>
      <c r="J519" s="2"/>
      <c r="K519" s="2"/>
      <c r="L519" s="2"/>
      <c r="O519" s="58"/>
      <c r="P519" s="58"/>
    </row>
    <row r="520" spans="2:16">
      <c r="B520" s="587"/>
      <c r="C520" s="484">
        <v>1.47</v>
      </c>
      <c r="D520" s="164">
        <v>1.85</v>
      </c>
      <c r="E520" s="164">
        <f t="shared" si="39"/>
        <v>1.2495000000000001</v>
      </c>
      <c r="F520" s="197">
        <f>SUM($E$2:E520)/SUM($C$2:C520)</f>
        <v>-2.2487455197132585E-2</v>
      </c>
      <c r="G520" s="164">
        <f t="shared" si="40"/>
        <v>-21.394340000000003</v>
      </c>
      <c r="H520" s="485" t="s">
        <v>26</v>
      </c>
      <c r="I520" s="2"/>
      <c r="J520" s="2"/>
      <c r="K520" s="2"/>
      <c r="L520" s="2"/>
      <c r="O520" s="58"/>
      <c r="P520" s="58"/>
    </row>
    <row r="521" spans="2:16">
      <c r="B521" s="587"/>
      <c r="C521" s="484">
        <v>1.47</v>
      </c>
      <c r="D521" s="164">
        <v>1.9</v>
      </c>
      <c r="E521" s="164">
        <f t="shared" si="39"/>
        <v>1.3229999999999997</v>
      </c>
      <c r="F521" s="197">
        <f>SUM($E$2:E521)/SUM($C$2:C521)</f>
        <v>-2.1064311651239398E-2</v>
      </c>
      <c r="G521" s="164">
        <f t="shared" si="40"/>
        <v>-20.071340000000003</v>
      </c>
      <c r="H521" s="485" t="s">
        <v>97</v>
      </c>
      <c r="I521" s="2"/>
      <c r="J521" s="2"/>
      <c r="K521" s="2"/>
      <c r="L521" s="2"/>
      <c r="O521" s="58"/>
      <c r="P521" s="58"/>
    </row>
    <row r="522" spans="2:16">
      <c r="B522" s="587"/>
      <c r="C522" s="491">
        <v>1.47</v>
      </c>
      <c r="D522" s="257"/>
      <c r="E522" s="257">
        <f t="shared" si="39"/>
        <v>-1.47</v>
      </c>
      <c r="F522" s="256">
        <f>SUM($E$2:E522)/SUM($C$2:C522)</f>
        <v>-2.2572212966164708E-2</v>
      </c>
      <c r="G522" s="257">
        <f t="shared" si="40"/>
        <v>-21.541340000000002</v>
      </c>
      <c r="H522" s="492" t="s">
        <v>53</v>
      </c>
      <c r="I522" s="2"/>
      <c r="J522" s="2"/>
      <c r="K522" s="2"/>
      <c r="L522" s="2"/>
      <c r="O522" s="58"/>
      <c r="P522" s="58"/>
    </row>
    <row r="523" spans="2:16">
      <c r="B523" s="587"/>
      <c r="C523" s="484">
        <v>1.47</v>
      </c>
      <c r="D523" s="164"/>
      <c r="E523" s="164">
        <f t="shared" si="39"/>
        <v>-1.47</v>
      </c>
      <c r="F523" s="197">
        <f>SUM($E$2:E523)/SUM($C$2:C523)</f>
        <v>-2.4075476041012726E-2</v>
      </c>
      <c r="G523" s="164">
        <f t="shared" si="40"/>
        <v>-23.011340000000001</v>
      </c>
      <c r="H523" s="485" t="s">
        <v>51</v>
      </c>
      <c r="I523" s="2"/>
      <c r="J523" s="2"/>
      <c r="K523" s="2"/>
      <c r="L523" s="2"/>
      <c r="O523" s="58"/>
      <c r="P523" s="58"/>
    </row>
    <row r="524" spans="2:16">
      <c r="B524" s="587"/>
      <c r="C524" s="484">
        <v>1.47</v>
      </c>
      <c r="D524" s="164"/>
      <c r="E524" s="164">
        <f t="shared" si="39"/>
        <v>-1.47</v>
      </c>
      <c r="F524" s="197">
        <f>SUM($E$2:E524)/SUM($C$2:C524)</f>
        <v>-2.557412224346314E-2</v>
      </c>
      <c r="G524" s="164">
        <f t="shared" si="40"/>
        <v>-24.481339999999999</v>
      </c>
      <c r="H524" s="485" t="s">
        <v>104</v>
      </c>
      <c r="I524" s="2"/>
      <c r="J524" s="2"/>
      <c r="K524" s="2"/>
      <c r="L524" s="2"/>
      <c r="O524" s="58"/>
      <c r="P524" s="58"/>
    </row>
    <row r="525" spans="2:16">
      <c r="B525" s="587"/>
      <c r="C525" s="484">
        <v>1.47</v>
      </c>
      <c r="D525" s="164">
        <v>2.76</v>
      </c>
      <c r="E525" s="164">
        <f t="shared" si="39"/>
        <v>2.5872000000000002</v>
      </c>
      <c r="F525" s="197">
        <f>SUM($E$2:E525)/SUM($C$2:C525)</f>
        <v>-2.2836368567077586E-2</v>
      </c>
      <c r="G525" s="164">
        <f t="shared" si="40"/>
        <v>-21.89414</v>
      </c>
      <c r="H525" s="485" t="s">
        <v>12</v>
      </c>
      <c r="I525" s="2"/>
      <c r="J525" s="2"/>
      <c r="K525" s="2"/>
      <c r="L525" s="2"/>
      <c r="O525" s="58"/>
      <c r="P525" s="58"/>
    </row>
    <row r="526" spans="2:16">
      <c r="B526" s="587"/>
      <c r="C526" s="484">
        <v>1.47</v>
      </c>
      <c r="D526" s="164">
        <v>2.1</v>
      </c>
      <c r="E526" s="164">
        <f t="shared" si="39"/>
        <v>1.6170000000000002</v>
      </c>
      <c r="F526" s="197">
        <f>SUM($E$2:E526)/SUM($C$2:C526)</f>
        <v>-2.1117401401776658E-2</v>
      </c>
      <c r="G526" s="164">
        <f t="shared" si="40"/>
        <v>-20.277139999999999</v>
      </c>
      <c r="H526" s="485" t="s">
        <v>36</v>
      </c>
      <c r="I526" s="2"/>
      <c r="J526" s="2"/>
      <c r="K526" s="2"/>
      <c r="L526" s="2"/>
      <c r="O526" s="58"/>
      <c r="P526" s="58"/>
    </row>
    <row r="527" spans="2:16">
      <c r="B527" s="587"/>
      <c r="C527" s="484">
        <v>1.47</v>
      </c>
      <c r="D527" s="164">
        <v>1.95</v>
      </c>
      <c r="E527" s="164">
        <f t="shared" si="39"/>
        <v>1.3964999999999999</v>
      </c>
      <c r="F527" s="197">
        <f>SUM($E$2:E527)/SUM($C$2:C527)</f>
        <v>-1.9632975625987821E-2</v>
      </c>
      <c r="G527" s="164">
        <f t="shared" si="40"/>
        <v>-18.88064</v>
      </c>
      <c r="H527" s="485" t="s">
        <v>47</v>
      </c>
      <c r="I527" s="2"/>
      <c r="J527" s="2"/>
      <c r="K527" s="2"/>
      <c r="L527" s="2"/>
      <c r="O527" s="58"/>
      <c r="P527" s="58"/>
    </row>
    <row r="528" spans="2:16">
      <c r="B528" s="587"/>
      <c r="C528" s="491">
        <v>1.47</v>
      </c>
      <c r="D528" s="257">
        <v>2.5329999999999999</v>
      </c>
      <c r="E528" s="257">
        <f t="shared" si="39"/>
        <v>2.2535099999999995</v>
      </c>
      <c r="F528" s="256">
        <f>SUM($E$2:E528)/SUM($C$2:C528)</f>
        <v>-1.7263281939469421E-2</v>
      </c>
      <c r="G528" s="257">
        <f t="shared" si="40"/>
        <v>-16.627130000000001</v>
      </c>
      <c r="H528" s="492" t="s">
        <v>18</v>
      </c>
      <c r="I528" s="2"/>
      <c r="J528" s="2"/>
      <c r="K528" s="2"/>
      <c r="L528" s="2"/>
      <c r="O528" s="58"/>
      <c r="P528" s="58"/>
    </row>
    <row r="529" spans="2:16">
      <c r="B529" s="587"/>
      <c r="C529" s="484">
        <v>1.47</v>
      </c>
      <c r="D529" s="164">
        <v>1.9</v>
      </c>
      <c r="E529" s="164">
        <f t="shared" si="39"/>
        <v>1.3229999999999997</v>
      </c>
      <c r="F529" s="197">
        <f>SUM($E$2:E529)/SUM($C$2:C529)</f>
        <v>-1.5865449607099142E-2</v>
      </c>
      <c r="G529" s="164">
        <f t="shared" si="40"/>
        <v>-15.304130000000001</v>
      </c>
      <c r="H529" s="485" t="s">
        <v>213</v>
      </c>
      <c r="I529" s="2"/>
      <c r="J529" s="2"/>
      <c r="K529" s="2"/>
      <c r="L529" s="2"/>
      <c r="O529" s="58"/>
      <c r="P529" s="58"/>
    </row>
    <row r="530" spans="2:16">
      <c r="B530" s="587"/>
      <c r="C530" s="484">
        <v>1.47</v>
      </c>
      <c r="D530" s="164">
        <v>1.9</v>
      </c>
      <c r="E530" s="164">
        <f t="shared" si="39"/>
        <v>1.3229999999999997</v>
      </c>
      <c r="F530" s="197">
        <f>SUM($E$2:E530)/SUM($C$2:C530)</f>
        <v>-1.4471871150720921E-2</v>
      </c>
      <c r="G530" s="164">
        <f t="shared" si="40"/>
        <v>-13.98113</v>
      </c>
      <c r="H530" s="485" t="s">
        <v>214</v>
      </c>
      <c r="I530" s="2"/>
      <c r="J530" s="2"/>
      <c r="K530" s="2"/>
      <c r="L530" s="2"/>
      <c r="O530" s="58"/>
      <c r="P530" s="58"/>
    </row>
    <row r="531" spans="2:16">
      <c r="B531" s="587"/>
      <c r="C531" s="484">
        <v>1.47</v>
      </c>
      <c r="D531" s="164"/>
      <c r="E531" s="164">
        <f t="shared" si="39"/>
        <v>-1.47</v>
      </c>
      <c r="F531" s="197">
        <f>SUM($E$2:E531)/SUM($C$2:C531)</f>
        <v>-1.5969169870602311E-2</v>
      </c>
      <c r="G531" s="164">
        <f t="shared" si="40"/>
        <v>-15.451130000000001</v>
      </c>
      <c r="H531" s="485" t="s">
        <v>204</v>
      </c>
      <c r="I531" s="2"/>
      <c r="J531" s="2"/>
      <c r="K531" s="2"/>
      <c r="L531" s="2"/>
      <c r="O531" s="58"/>
      <c r="P531" s="58"/>
    </row>
    <row r="532" spans="2:16">
      <c r="B532" s="587"/>
      <c r="C532" s="484">
        <v>1.47</v>
      </c>
      <c r="D532" s="164">
        <v>1.9</v>
      </c>
      <c r="E532" s="164">
        <f t="shared" si="39"/>
        <v>1.3229999999999997</v>
      </c>
      <c r="F532" s="197">
        <f>SUM($E$2:E532)/SUM($C$2:C532)</f>
        <v>-1.4579662136363141E-2</v>
      </c>
      <c r="G532" s="164">
        <f t="shared" si="40"/>
        <v>-14.128130000000001</v>
      </c>
      <c r="H532" s="485" t="s">
        <v>215</v>
      </c>
      <c r="I532" s="2"/>
      <c r="J532" s="2"/>
      <c r="K532" s="2"/>
      <c r="L532" s="2"/>
      <c r="O532" s="58"/>
      <c r="P532" s="58"/>
    </row>
    <row r="533" spans="2:16">
      <c r="B533" s="587"/>
      <c r="C533" s="484">
        <v>1.47</v>
      </c>
      <c r="D533" s="164"/>
      <c r="E533" s="164">
        <f t="shared" si="39"/>
        <v>-1.47</v>
      </c>
      <c r="F533" s="197">
        <f>SUM($E$2:E533)/SUM($C$2:C533)</f>
        <v>-1.6072261720762464E-2</v>
      </c>
      <c r="G533" s="164">
        <f t="shared" si="40"/>
        <v>-15.598130000000001</v>
      </c>
      <c r="H533" s="485" t="s">
        <v>216</v>
      </c>
      <c r="I533" s="2"/>
      <c r="J533" s="2"/>
      <c r="K533" s="2"/>
      <c r="L533" s="2"/>
      <c r="O533" s="58"/>
      <c r="P533" s="58"/>
    </row>
    <row r="534" spans="2:16">
      <c r="B534" s="587"/>
      <c r="C534" s="484">
        <v>1.47</v>
      </c>
      <c r="D534" s="164"/>
      <c r="E534" s="164">
        <f t="shared" si="39"/>
        <v>-1.47</v>
      </c>
      <c r="F534" s="197">
        <f>SUM($E$2:E534)/SUM($C$2:C534)</f>
        <v>-1.7560346512752418E-2</v>
      </c>
      <c r="G534" s="164">
        <f t="shared" si="40"/>
        <v>-17.06813</v>
      </c>
      <c r="H534" s="485" t="s">
        <v>217</v>
      </c>
      <c r="I534" s="2"/>
      <c r="J534" s="2"/>
      <c r="K534" s="2"/>
      <c r="L534" s="2"/>
      <c r="O534" s="58"/>
      <c r="P534" s="58"/>
    </row>
    <row r="535" spans="2:16">
      <c r="B535" s="587"/>
      <c r="C535" s="484">
        <v>1.47</v>
      </c>
      <c r="D535" s="164">
        <v>1.9</v>
      </c>
      <c r="E535" s="164">
        <f t="shared" si="39"/>
        <v>1.3229999999999997</v>
      </c>
      <c r="F535" s="197">
        <f>SUM($E$2:E535)/SUM($C$2:C535)</f>
        <v>-1.6174730851413511E-2</v>
      </c>
      <c r="G535" s="164">
        <f t="shared" si="40"/>
        <v>-15.74513</v>
      </c>
      <c r="H535" s="485" t="s">
        <v>218</v>
      </c>
      <c r="I535" s="2"/>
      <c r="J535" s="2"/>
      <c r="K535" s="2"/>
      <c r="L535" s="2"/>
      <c r="O535" s="58"/>
      <c r="P535" s="58"/>
    </row>
    <row r="536" spans="2:16">
      <c r="B536" s="587"/>
      <c r="C536" s="484">
        <v>1.47</v>
      </c>
      <c r="D536" s="164">
        <v>1.9</v>
      </c>
      <c r="E536" s="164">
        <f t="shared" si="39"/>
        <v>1.3229999999999997</v>
      </c>
      <c r="F536" s="197">
        <f>SUM($E$2:E536)/SUM($C$2:C536)</f>
        <v>-1.4793293739934939E-2</v>
      </c>
      <c r="G536" s="164">
        <f t="shared" si="40"/>
        <v>-14.422129999999999</v>
      </c>
      <c r="H536" s="485" t="s">
        <v>219</v>
      </c>
      <c r="I536" s="2"/>
      <c r="J536" s="2"/>
      <c r="K536" s="2"/>
      <c r="L536" s="2"/>
      <c r="O536" s="58"/>
      <c r="P536" s="58"/>
    </row>
    <row r="537" spans="2:16">
      <c r="B537" s="587"/>
      <c r="C537" s="484">
        <v>1.47</v>
      </c>
      <c r="D537" s="164">
        <v>1.9</v>
      </c>
      <c r="E537" s="164">
        <f t="shared" si="39"/>
        <v>1.3229999999999997</v>
      </c>
      <c r="F537" s="197">
        <f>SUM($E$2:E537)/SUM($C$2:C537)</f>
        <v>-1.3416016305127074E-2</v>
      </c>
      <c r="G537" s="164">
        <f t="shared" si="40"/>
        <v>-13.099129999999999</v>
      </c>
      <c r="H537" s="485" t="s">
        <v>220</v>
      </c>
      <c r="I537" s="2"/>
      <c r="J537" s="2"/>
      <c r="K537" s="2"/>
      <c r="L537" s="2"/>
      <c r="O537" s="58"/>
      <c r="P537" s="58"/>
    </row>
    <row r="538" spans="2:16">
      <c r="B538" s="587"/>
      <c r="C538" s="484">
        <v>1.47</v>
      </c>
      <c r="D538" s="164">
        <v>1.9</v>
      </c>
      <c r="E538" s="164">
        <f t="shared" si="39"/>
        <v>1.3229999999999997</v>
      </c>
      <c r="F538" s="197">
        <f>SUM($E$2:E538)/SUM($C$2:C538)</f>
        <v>-1.2042879787288413E-2</v>
      </c>
      <c r="G538" s="164">
        <f t="shared" si="40"/>
        <v>-11.776129999999998</v>
      </c>
      <c r="H538" s="485" t="s">
        <v>221</v>
      </c>
      <c r="I538" s="2"/>
      <c r="J538" s="2"/>
      <c r="K538" s="2"/>
      <c r="L538" s="2"/>
      <c r="O538" s="58"/>
      <c r="P538" s="58"/>
    </row>
    <row r="539" spans="2:16">
      <c r="B539" s="587"/>
      <c r="C539" s="491">
        <v>1.47</v>
      </c>
      <c r="D539" s="257">
        <v>1.9</v>
      </c>
      <c r="E539" s="257">
        <f t="shared" si="39"/>
        <v>1.3229999999999997</v>
      </c>
      <c r="F539" s="256">
        <f>SUM($E$2:E539)/SUM($C$2:C539)</f>
        <v>-1.0673865539353814E-2</v>
      </c>
      <c r="G539" s="257">
        <f t="shared" si="40"/>
        <v>-10.453129999999998</v>
      </c>
      <c r="H539" s="492" t="s">
        <v>222</v>
      </c>
      <c r="I539" s="2">
        <f>SUM(E514:E539)</f>
        <v>11.649749999999999</v>
      </c>
      <c r="L539" s="2">
        <f>I539/C539</f>
        <v>7.9249999999999998</v>
      </c>
      <c r="O539" s="58"/>
      <c r="P539" s="58"/>
    </row>
    <row r="540" spans="2:16">
      <c r="B540" s="586">
        <v>46016</v>
      </c>
      <c r="C540" s="484">
        <v>4.21</v>
      </c>
      <c r="D540" s="164">
        <v>1.9</v>
      </c>
      <c r="E540" s="164">
        <f t="shared" ref="E540:E551" si="41">(C540*D540)-C540</f>
        <v>3.7889999999999997</v>
      </c>
      <c r="F540" s="197">
        <f>SUM($E$2:E540)/SUM($C$2:C540)</f>
        <v>-6.7757262106900498E-3</v>
      </c>
      <c r="G540" s="164">
        <f t="shared" ref="G540:G551" si="42">G539+E540</f>
        <v>-6.6641299999999983</v>
      </c>
      <c r="H540" s="485" t="s">
        <v>46</v>
      </c>
      <c r="I540" s="2"/>
      <c r="J540" s="2"/>
      <c r="K540" s="2"/>
      <c r="L540" s="2"/>
      <c r="O540" s="58"/>
      <c r="P540" s="58"/>
    </row>
    <row r="541" spans="2:16">
      <c r="B541" s="587"/>
      <c r="C541" s="484">
        <v>4.21</v>
      </c>
      <c r="D541" s="164">
        <v>1.88</v>
      </c>
      <c r="E541" s="164">
        <f t="shared" si="41"/>
        <v>3.7047999999999996</v>
      </c>
      <c r="F541" s="197">
        <f>SUM($E$2:E541)/SUM($C$2:C541)</f>
        <v>-2.9960617166460736E-3</v>
      </c>
      <c r="G541" s="164">
        <f t="shared" si="42"/>
        <v>-2.9593299999999987</v>
      </c>
      <c r="H541" s="485" t="s">
        <v>12</v>
      </c>
      <c r="I541" s="2"/>
      <c r="J541" s="2"/>
      <c r="K541" s="2"/>
      <c r="L541" s="2"/>
      <c r="O541" s="58"/>
      <c r="P541" s="58"/>
    </row>
    <row r="542" spans="2:16">
      <c r="B542" s="587"/>
      <c r="C542" s="491">
        <v>4.21</v>
      </c>
      <c r="D542" s="257">
        <v>1.87</v>
      </c>
      <c r="E542" s="257">
        <f t="shared" si="41"/>
        <v>3.6627000000000001</v>
      </c>
      <c r="F542" s="256">
        <f>SUM($E$2:E542)/SUM($C$2:C542)</f>
        <v>7.0907807853218393E-4</v>
      </c>
      <c r="G542" s="257">
        <f t="shared" si="42"/>
        <v>0.70337000000000138</v>
      </c>
      <c r="H542" s="492" t="s">
        <v>17</v>
      </c>
      <c r="I542" s="2"/>
      <c r="J542" s="2"/>
      <c r="K542" s="2"/>
      <c r="L542" s="2"/>
      <c r="O542" s="58"/>
      <c r="P542" s="58"/>
    </row>
    <row r="543" spans="2:16">
      <c r="B543" s="587"/>
      <c r="C543" s="484">
        <v>4.21</v>
      </c>
      <c r="D543" s="164">
        <v>1.94</v>
      </c>
      <c r="E543" s="164">
        <f t="shared" si="41"/>
        <v>3.9573999999999989</v>
      </c>
      <c r="F543" s="197">
        <f>SUM($E$2:E543)/SUM($C$2:C543)</f>
        <v>4.6787363475746767E-3</v>
      </c>
      <c r="G543" s="164">
        <f t="shared" si="42"/>
        <v>4.6607700000000003</v>
      </c>
      <c r="H543" s="485" t="s">
        <v>59</v>
      </c>
      <c r="I543" s="2"/>
      <c r="J543" s="2"/>
      <c r="K543" s="2"/>
      <c r="L543" s="2"/>
      <c r="O543" s="58"/>
      <c r="P543" s="58"/>
    </row>
    <row r="544" spans="2:16">
      <c r="B544" s="587"/>
      <c r="C544" s="484">
        <v>4.21</v>
      </c>
      <c r="D544" s="164"/>
      <c r="E544" s="164">
        <f t="shared" si="41"/>
        <v>-4.21</v>
      </c>
      <c r="F544" s="197">
        <f>SUM($E$2:E544)/SUM($C$2:C544)</f>
        <v>4.5060327678758796E-4</v>
      </c>
      <c r="G544" s="164">
        <f t="shared" si="42"/>
        <v>0.45077000000000034</v>
      </c>
      <c r="H544" s="485" t="s">
        <v>30</v>
      </c>
      <c r="I544" s="2"/>
      <c r="J544" s="2"/>
      <c r="K544" s="2"/>
      <c r="L544" s="2"/>
      <c r="O544" s="58"/>
      <c r="P544" s="58"/>
    </row>
    <row r="545" spans="2:16">
      <c r="B545" s="587"/>
      <c r="C545" s="484">
        <v>4.21</v>
      </c>
      <c r="D545" s="164">
        <v>1.94</v>
      </c>
      <c r="E545" s="164">
        <f t="shared" si="41"/>
        <v>3.9573999999999989</v>
      </c>
      <c r="F545" s="197">
        <f>SUM($E$2:E545)/SUM($C$2:C545)</f>
        <v>4.3880726273666506E-3</v>
      </c>
      <c r="G545" s="164">
        <f t="shared" si="42"/>
        <v>4.4081699999999993</v>
      </c>
      <c r="H545" s="485" t="s">
        <v>27</v>
      </c>
      <c r="I545" s="2"/>
      <c r="J545" s="2"/>
      <c r="K545" s="2"/>
      <c r="L545" s="2"/>
      <c r="O545" s="58"/>
      <c r="P545" s="58"/>
    </row>
    <row r="546" spans="2:16">
      <c r="B546" s="587"/>
      <c r="C546" s="484">
        <v>4.21</v>
      </c>
      <c r="D546" s="164"/>
      <c r="E546" s="164">
        <f t="shared" si="41"/>
        <v>-4.21</v>
      </c>
      <c r="F546" s="197">
        <f>SUM($E$2:E546)/SUM($C$2:C546)</f>
        <v>1.9644326371197064E-4</v>
      </c>
      <c r="G546" s="164">
        <f t="shared" si="42"/>
        <v>0.19816999999999929</v>
      </c>
      <c r="H546" s="485" t="s">
        <v>10</v>
      </c>
      <c r="I546" s="2"/>
      <c r="J546" s="2"/>
      <c r="K546" s="2"/>
      <c r="L546" s="2"/>
      <c r="O546" s="58"/>
      <c r="P546" s="58"/>
    </row>
    <row r="547" spans="2:16">
      <c r="B547" s="587"/>
      <c r="C547" s="491">
        <v>4.21</v>
      </c>
      <c r="D547" s="257">
        <v>1.94</v>
      </c>
      <c r="E547" s="257">
        <f t="shared" si="41"/>
        <v>3.9573999999999989</v>
      </c>
      <c r="F547" s="256">
        <f>SUM($E$2:E547)/SUM($C$2:C547)</f>
        <v>4.1022408687068001E-3</v>
      </c>
      <c r="G547" s="257">
        <f t="shared" si="42"/>
        <v>4.1555699999999982</v>
      </c>
      <c r="H547" s="492" t="s">
        <v>59</v>
      </c>
      <c r="I547" s="2"/>
      <c r="J547" s="2"/>
      <c r="K547" s="2"/>
      <c r="L547" s="2"/>
      <c r="O547" s="58"/>
      <c r="P547" s="58"/>
    </row>
    <row r="548" spans="2:16">
      <c r="B548" s="587"/>
      <c r="C548" s="484">
        <v>4.21</v>
      </c>
      <c r="D548" s="164">
        <v>1.94</v>
      </c>
      <c r="E548" s="164">
        <f t="shared" si="41"/>
        <v>3.9573999999999989</v>
      </c>
      <c r="F548" s="197">
        <f>SUM($E$2:E548)/SUM($C$2:C548)</f>
        <v>7.9757080642148415E-3</v>
      </c>
      <c r="G548" s="164">
        <f t="shared" si="42"/>
        <v>8.1129699999999971</v>
      </c>
      <c r="H548" s="485" t="s">
        <v>223</v>
      </c>
      <c r="I548" s="2"/>
      <c r="J548" s="2"/>
      <c r="K548" s="2"/>
      <c r="L548" s="2"/>
      <c r="O548" s="58"/>
      <c r="P548" s="58"/>
    </row>
    <row r="549" spans="2:16">
      <c r="B549" s="587"/>
      <c r="C549" s="484">
        <v>4.21</v>
      </c>
      <c r="D549" s="164"/>
      <c r="E549" s="164">
        <f t="shared" si="41"/>
        <v>-4.21</v>
      </c>
      <c r="F549" s="197">
        <f>SUM($E$2:E549)/SUM($C$2:C549)</f>
        <v>3.8211215758453803E-3</v>
      </c>
      <c r="G549" s="164">
        <f t="shared" si="42"/>
        <v>3.9029699999999972</v>
      </c>
      <c r="H549" s="485" t="s">
        <v>224</v>
      </c>
      <c r="I549" s="2"/>
      <c r="J549" s="2"/>
      <c r="K549" s="2"/>
      <c r="L549" s="2"/>
      <c r="O549" s="58"/>
      <c r="P549" s="58"/>
    </row>
    <row r="550" spans="2:16">
      <c r="B550" s="587"/>
      <c r="C550" s="484">
        <v>4.21</v>
      </c>
      <c r="D550" s="164">
        <v>1.94</v>
      </c>
      <c r="E550" s="164">
        <f t="shared" si="41"/>
        <v>3.9573999999999989</v>
      </c>
      <c r="F550" s="197">
        <f>SUM($E$2:E550)/SUM($C$2:C550)</f>
        <v>7.6639431373887049E-3</v>
      </c>
      <c r="G550" s="164">
        <f t="shared" si="42"/>
        <v>7.8603699999999961</v>
      </c>
      <c r="H550" s="485" t="s">
        <v>225</v>
      </c>
      <c r="I550" s="2"/>
      <c r="J550" s="2"/>
      <c r="K550" s="2"/>
      <c r="L550" s="2"/>
      <c r="O550" s="58"/>
      <c r="P550" s="58"/>
    </row>
    <row r="551" spans="2:16">
      <c r="B551" s="587"/>
      <c r="C551" s="491">
        <v>4.21</v>
      </c>
      <c r="D551" s="257"/>
      <c r="E551" s="257">
        <f t="shared" si="41"/>
        <v>-4.21</v>
      </c>
      <c r="F551" s="256">
        <f>SUM($E$2:E551)/SUM($C$2:C551)</f>
        <v>3.5445991610347119E-3</v>
      </c>
      <c r="G551" s="257">
        <f t="shared" si="42"/>
        <v>3.6503699999999961</v>
      </c>
      <c r="H551" s="492" t="s">
        <v>226</v>
      </c>
      <c r="I551" s="2">
        <f>SUM(E540:E551)</f>
        <v>14.103499999999993</v>
      </c>
      <c r="L551" s="2">
        <f>I551/C551</f>
        <v>3.3499999999999983</v>
      </c>
      <c r="O551" s="58"/>
      <c r="P551" s="58"/>
    </row>
    <row r="552" spans="2:16">
      <c r="B552" s="586">
        <v>46017</v>
      </c>
      <c r="C552" s="484">
        <v>2.39</v>
      </c>
      <c r="D552" s="164">
        <v>1.87</v>
      </c>
      <c r="E552" s="164">
        <f t="shared" ref="E552:E568" si="43">(C552*D552)-C552</f>
        <v>2.0793000000000004</v>
      </c>
      <c r="F552" s="197">
        <f>SUM($E$2:E552)/SUM($C$2:C552)</f>
        <v>5.5507687240246677E-3</v>
      </c>
      <c r="G552" s="164">
        <f t="shared" ref="G552:G568" si="44">G551+E552</f>
        <v>5.7296699999999969</v>
      </c>
      <c r="H552" s="485" t="s">
        <v>16</v>
      </c>
      <c r="I552" s="2"/>
      <c r="J552" s="2"/>
      <c r="K552" s="2"/>
      <c r="L552" s="2"/>
      <c r="O552" s="58"/>
      <c r="P552" s="58"/>
    </row>
    <row r="553" spans="2:16">
      <c r="B553" s="587"/>
      <c r="C553" s="484">
        <v>2.39</v>
      </c>
      <c r="D553" s="164">
        <v>2.1</v>
      </c>
      <c r="E553" s="164">
        <f t="shared" si="43"/>
        <v>2.629</v>
      </c>
      <c r="F553" s="197">
        <f>SUM($E$2:E553)/SUM($C$2:C553)</f>
        <v>8.0789758558697643E-3</v>
      </c>
      <c r="G553" s="164">
        <f t="shared" si="44"/>
        <v>8.3586699999999965</v>
      </c>
      <c r="H553" s="485" t="s">
        <v>37</v>
      </c>
      <c r="I553" s="2"/>
      <c r="J553" s="2"/>
      <c r="K553" s="2"/>
      <c r="L553" s="2"/>
      <c r="O553" s="58"/>
      <c r="P553" s="58"/>
    </row>
    <row r="554" spans="2:16">
      <c r="B554" s="587"/>
      <c r="C554" s="484">
        <v>2.39</v>
      </c>
      <c r="D554" s="164"/>
      <c r="E554" s="164">
        <f t="shared" si="43"/>
        <v>-2.39</v>
      </c>
      <c r="F554" s="197">
        <f>SUM($E$2:E554)/SUM($C$2:C554)</f>
        <v>5.7556532723888679E-3</v>
      </c>
      <c r="G554" s="164">
        <f t="shared" si="44"/>
        <v>5.9686699999999959</v>
      </c>
      <c r="H554" s="485" t="s">
        <v>51</v>
      </c>
      <c r="I554" s="2"/>
      <c r="J554" s="2"/>
      <c r="K554" s="2"/>
      <c r="L554" s="2"/>
      <c r="O554" s="58"/>
      <c r="P554" s="58"/>
    </row>
    <row r="555" spans="2:16">
      <c r="B555" s="587"/>
      <c r="C555" s="484">
        <v>2.39</v>
      </c>
      <c r="D555" s="164"/>
      <c r="E555" s="164">
        <f t="shared" si="43"/>
        <v>-2.39</v>
      </c>
      <c r="F555" s="197">
        <f>SUM($E$2:E555)/SUM($C$2:C555)</f>
        <v>3.4430152010775312E-3</v>
      </c>
      <c r="G555" s="164">
        <f t="shared" si="44"/>
        <v>3.5786699999999958</v>
      </c>
      <c r="H555" s="485" t="s">
        <v>34</v>
      </c>
      <c r="I555" s="2"/>
      <c r="J555" s="2"/>
      <c r="K555" s="2"/>
      <c r="L555" s="2"/>
      <c r="O555" s="58"/>
      <c r="P555" s="58"/>
    </row>
    <row r="556" spans="2:16">
      <c r="B556" s="587"/>
      <c r="C556" s="484">
        <v>2.39</v>
      </c>
      <c r="D556" s="164"/>
      <c r="E556" s="164">
        <f t="shared" si="43"/>
        <v>-2.39</v>
      </c>
      <c r="F556" s="197">
        <f>SUM($E$2:E556)/SUM($C$2:C556)</f>
        <v>1.140988107008123E-3</v>
      </c>
      <c r="G556" s="164">
        <f t="shared" si="44"/>
        <v>1.1886699999999957</v>
      </c>
      <c r="H556" s="485" t="s">
        <v>36</v>
      </c>
      <c r="I556" s="2"/>
      <c r="J556" s="2"/>
      <c r="K556" s="2"/>
      <c r="L556" s="2"/>
      <c r="O556" s="58"/>
      <c r="P556" s="58"/>
    </row>
    <row r="557" spans="2:16">
      <c r="B557" s="587"/>
      <c r="C557" s="491">
        <v>2.39</v>
      </c>
      <c r="D557" s="257">
        <v>1.8620000000000001</v>
      </c>
      <c r="E557" s="257">
        <f t="shared" si="43"/>
        <v>2.0601800000000003</v>
      </c>
      <c r="F557" s="256">
        <f>SUM($E$2:E557)/SUM($C$2:C557)</f>
        <v>3.1113888410044116E-3</v>
      </c>
      <c r="G557" s="257">
        <f t="shared" si="44"/>
        <v>3.248849999999996</v>
      </c>
      <c r="H557" s="492" t="s">
        <v>18</v>
      </c>
      <c r="I557" s="2"/>
      <c r="J557" s="2"/>
      <c r="K557" s="2"/>
      <c r="L557" s="2"/>
      <c r="O557" s="58"/>
      <c r="P557" s="58"/>
    </row>
    <row r="558" spans="2:16">
      <c r="B558" s="587"/>
      <c r="C558" s="484">
        <v>2.39</v>
      </c>
      <c r="D558" s="164">
        <v>1.9650000000000001</v>
      </c>
      <c r="E558" s="164">
        <f t="shared" si="43"/>
        <v>2.3063500000000006</v>
      </c>
      <c r="F558" s="197">
        <f>SUM($E$2:E558)/SUM($C$2:C558)</f>
        <v>5.3080061534345338E-3</v>
      </c>
      <c r="G558" s="164">
        <f t="shared" si="44"/>
        <v>5.5551999999999966</v>
      </c>
      <c r="H558" s="485" t="s">
        <v>11</v>
      </c>
      <c r="I558" s="2"/>
      <c r="J558" s="2"/>
      <c r="K558" s="2"/>
      <c r="L558" s="2"/>
      <c r="O558" s="58"/>
      <c r="P558" s="58"/>
    </row>
    <row r="559" spans="2:16">
      <c r="B559" s="587"/>
      <c r="C559" s="484">
        <v>2.39</v>
      </c>
      <c r="D559" s="164">
        <v>2.1</v>
      </c>
      <c r="E559" s="164">
        <f t="shared" si="43"/>
        <v>2.629</v>
      </c>
      <c r="F559" s="197">
        <f>SUM($E$2:E559)/SUM($C$2:C559)</f>
        <v>7.8022040878584237E-3</v>
      </c>
      <c r="G559" s="164">
        <f t="shared" si="44"/>
        <v>8.184199999999997</v>
      </c>
      <c r="H559" s="485" t="s">
        <v>60</v>
      </c>
      <c r="I559" s="2"/>
      <c r="J559" s="2"/>
      <c r="K559" s="2"/>
      <c r="L559" s="2"/>
      <c r="O559" s="58"/>
      <c r="P559" s="58"/>
    </row>
    <row r="560" spans="2:16">
      <c r="B560" s="587"/>
      <c r="C560" s="484">
        <v>2.39</v>
      </c>
      <c r="D560" s="164">
        <v>1.9650000000000001</v>
      </c>
      <c r="E560" s="164">
        <f t="shared" si="43"/>
        <v>2.3063500000000006</v>
      </c>
      <c r="F560" s="197">
        <f>SUM($E$2:E560)/SUM($C$2:C560)</f>
        <v>9.9781709230988384E-3</v>
      </c>
      <c r="G560" s="164">
        <f t="shared" si="44"/>
        <v>10.490549999999997</v>
      </c>
      <c r="H560" s="485" t="s">
        <v>26</v>
      </c>
      <c r="I560" s="2"/>
      <c r="J560" s="2"/>
      <c r="K560" s="2"/>
      <c r="L560" s="2"/>
      <c r="O560" s="58"/>
      <c r="P560" s="58"/>
    </row>
    <row r="561" spans="2:16">
      <c r="B561" s="587"/>
      <c r="C561" s="484">
        <v>2.39</v>
      </c>
      <c r="D561" s="164"/>
      <c r="E561" s="164">
        <f t="shared" si="43"/>
        <v>-2.39</v>
      </c>
      <c r="F561" s="197">
        <f>SUM($E$2:E561)/SUM($C$2:C561)</f>
        <v>7.687427638696424E-3</v>
      </c>
      <c r="G561" s="164">
        <f t="shared" si="44"/>
        <v>8.1005499999999966</v>
      </c>
      <c r="H561" s="485" t="s">
        <v>13</v>
      </c>
      <c r="I561" s="2"/>
      <c r="J561" s="2"/>
      <c r="K561" s="2"/>
      <c r="L561" s="2"/>
      <c r="O561" s="58"/>
      <c r="P561" s="58"/>
    </row>
    <row r="562" spans="2:16">
      <c r="B562" s="587"/>
      <c r="C562" s="491">
        <v>2.39</v>
      </c>
      <c r="D562" s="257">
        <v>1.9650000000000001</v>
      </c>
      <c r="E562" s="257">
        <f t="shared" si="43"/>
        <v>2.3063500000000006</v>
      </c>
      <c r="F562" s="256">
        <f>SUM($E$2:E562)/SUM($C$2:C562)</f>
        <v>9.8538058761705113E-3</v>
      </c>
      <c r="G562" s="257">
        <f t="shared" si="44"/>
        <v>10.406899999999997</v>
      </c>
      <c r="H562" s="492" t="s">
        <v>47</v>
      </c>
      <c r="I562" s="2"/>
      <c r="J562" s="2"/>
      <c r="K562" s="2"/>
      <c r="L562" s="2"/>
      <c r="O562" s="58"/>
      <c r="P562" s="58"/>
    </row>
    <row r="563" spans="2:16">
      <c r="B563" s="587"/>
      <c r="C563" s="484">
        <v>2.39</v>
      </c>
      <c r="D563" s="164"/>
      <c r="E563" s="164">
        <f t="shared" si="43"/>
        <v>-2.39</v>
      </c>
      <c r="F563" s="197">
        <f>SUM($E$2:E563)/SUM($C$2:C563)</f>
        <v>7.5736877904999137E-3</v>
      </c>
      <c r="G563" s="164">
        <f t="shared" si="44"/>
        <v>8.0168999999999961</v>
      </c>
      <c r="H563" s="485" t="s">
        <v>227</v>
      </c>
      <c r="I563" s="2"/>
      <c r="J563" s="2"/>
      <c r="K563" s="2"/>
      <c r="L563" s="2"/>
      <c r="O563" s="58"/>
      <c r="P563" s="58"/>
    </row>
    <row r="564" spans="2:16">
      <c r="B564" s="587"/>
      <c r="C564" s="484">
        <v>2.39</v>
      </c>
      <c r="D564" s="164">
        <v>1.93</v>
      </c>
      <c r="E564" s="164">
        <f t="shared" si="43"/>
        <v>2.2227000000000001</v>
      </c>
      <c r="F564" s="197">
        <f>SUM($E$2:E564)/SUM($C$2:C564)</f>
        <v>9.6517140945037369E-3</v>
      </c>
      <c r="G564" s="164">
        <f t="shared" si="44"/>
        <v>10.239599999999996</v>
      </c>
      <c r="H564" s="485" t="s">
        <v>228</v>
      </c>
      <c r="I564" s="2"/>
      <c r="J564" s="2"/>
      <c r="K564" s="2"/>
      <c r="L564" s="2"/>
      <c r="O564" s="58"/>
      <c r="P564" s="58"/>
    </row>
    <row r="565" spans="2:16">
      <c r="B565" s="587"/>
      <c r="C565" s="484">
        <v>2.39</v>
      </c>
      <c r="D565" s="164">
        <v>1.92</v>
      </c>
      <c r="E565" s="164">
        <f t="shared" si="43"/>
        <v>2.1987999999999999</v>
      </c>
      <c r="F565" s="197">
        <f>SUM($E$2:E565)/SUM($C$2:C565)</f>
        <v>1.1697921564939293E-2</v>
      </c>
      <c r="G565" s="164">
        <f t="shared" si="44"/>
        <v>12.438399999999996</v>
      </c>
      <c r="H565" s="485" t="s">
        <v>229</v>
      </c>
      <c r="I565" s="2"/>
      <c r="J565" s="2"/>
      <c r="K565" s="2"/>
      <c r="L565" s="2"/>
      <c r="O565" s="58"/>
      <c r="P565" s="58"/>
    </row>
    <row r="566" spans="2:16">
      <c r="B566" s="587"/>
      <c r="C566" s="484">
        <v>2.39</v>
      </c>
      <c r="D566" s="164">
        <v>1</v>
      </c>
      <c r="E566" s="164">
        <f t="shared" si="43"/>
        <v>0</v>
      </c>
      <c r="F566" s="197">
        <f>SUM($E$2:E566)/SUM($C$2:C566)</f>
        <v>1.167168688830706E-2</v>
      </c>
      <c r="G566" s="164">
        <f t="shared" si="44"/>
        <v>12.438399999999996</v>
      </c>
      <c r="H566" s="485" t="s">
        <v>230</v>
      </c>
      <c r="I566" s="2"/>
      <c r="J566" s="2"/>
      <c r="K566" s="2"/>
      <c r="L566" s="2"/>
      <c r="O566" s="58"/>
      <c r="P566" s="58"/>
    </row>
    <row r="567" spans="2:16">
      <c r="B567" s="587"/>
      <c r="C567" s="484">
        <v>2.39</v>
      </c>
      <c r="D567" s="164"/>
      <c r="E567" s="164">
        <f t="shared" si="43"/>
        <v>-2.39</v>
      </c>
      <c r="F567" s="197">
        <f>SUM($E$2:E567)/SUM($C$2:C567)</f>
        <v>9.4079095198861106E-3</v>
      </c>
      <c r="G567" s="164">
        <f t="shared" si="44"/>
        <v>10.048399999999996</v>
      </c>
      <c r="H567" s="485" t="s">
        <v>231</v>
      </c>
      <c r="I567" s="2"/>
      <c r="J567" s="2"/>
      <c r="K567" s="2"/>
      <c r="L567" s="2"/>
      <c r="O567" s="58"/>
      <c r="P567" s="58"/>
    </row>
    <row r="568" spans="2:16">
      <c r="B568" s="587"/>
      <c r="C568" s="491">
        <v>2.39</v>
      </c>
      <c r="D568" s="257"/>
      <c r="E568" s="257">
        <f t="shared" si="43"/>
        <v>-2.39</v>
      </c>
      <c r="F568" s="256">
        <f>SUM($E$2:E568)/SUM($C$2:C568)</f>
        <v>7.1542406606443579E-3</v>
      </c>
      <c r="G568" s="257">
        <f t="shared" si="44"/>
        <v>7.658399999999995</v>
      </c>
      <c r="H568" s="492" t="s">
        <v>232</v>
      </c>
      <c r="I568" s="2">
        <f>SUM(E552:E568)</f>
        <v>4.0080299999999998</v>
      </c>
      <c r="L568" s="2">
        <f>I568/C568</f>
        <v>1.6769999999999998</v>
      </c>
      <c r="O568" s="58"/>
      <c r="P568" s="58"/>
    </row>
    <row r="569" spans="2:16">
      <c r="B569" s="586">
        <v>46018</v>
      </c>
      <c r="C569" s="484">
        <v>2.41</v>
      </c>
      <c r="D569" s="164"/>
      <c r="E569" s="164">
        <f t="shared" ref="E569:E580" si="45">(C569*D569)-C569</f>
        <v>-2.41</v>
      </c>
      <c r="F569" s="197">
        <f>SUM($E$2:E569)/SUM($C$2:C569)</f>
        <v>4.8918798001640201E-3</v>
      </c>
      <c r="G569" s="164">
        <f t="shared" ref="G569:G580" si="46">G568+E569</f>
        <v>5.2483999999999948</v>
      </c>
      <c r="H569" s="485" t="s">
        <v>17</v>
      </c>
      <c r="I569" s="2"/>
      <c r="J569" s="2"/>
      <c r="K569" s="2"/>
      <c r="L569" s="2"/>
      <c r="O569" s="58"/>
      <c r="P569" s="58"/>
    </row>
    <row r="570" spans="2:16">
      <c r="B570" s="587"/>
      <c r="C570" s="484">
        <v>2.41</v>
      </c>
      <c r="D570" s="164">
        <v>1.9</v>
      </c>
      <c r="E570" s="164">
        <f t="shared" si="45"/>
        <v>2.1689999999999996</v>
      </c>
      <c r="F570" s="197">
        <f>SUM($E$2:E570)/SUM($C$2:C570)</f>
        <v>6.8980461084916303E-3</v>
      </c>
      <c r="G570" s="164">
        <f t="shared" si="46"/>
        <v>7.4173999999999944</v>
      </c>
      <c r="H570" s="485" t="s">
        <v>60</v>
      </c>
      <c r="I570" s="2"/>
      <c r="J570" s="2"/>
      <c r="K570" s="2"/>
      <c r="L570" s="2"/>
      <c r="O570" s="58"/>
      <c r="P570" s="58"/>
    </row>
    <row r="571" spans="2:16">
      <c r="B571" s="587"/>
      <c r="C571" s="484">
        <v>2.41</v>
      </c>
      <c r="D571" s="164"/>
      <c r="E571" s="164">
        <f t="shared" si="45"/>
        <v>-2.41</v>
      </c>
      <c r="F571" s="197">
        <f>SUM($E$2:E571)/SUM($C$2:C571)</f>
        <v>4.6463765426370731E-3</v>
      </c>
      <c r="G571" s="164">
        <f t="shared" si="46"/>
        <v>5.0073999999999943</v>
      </c>
      <c r="H571" s="485" t="s">
        <v>46</v>
      </c>
      <c r="I571" s="2"/>
      <c r="J571" s="2"/>
      <c r="K571" s="2"/>
      <c r="L571" s="2"/>
      <c r="O571" s="58"/>
      <c r="P571" s="58"/>
    </row>
    <row r="572" spans="2:16">
      <c r="B572" s="587"/>
      <c r="C572" s="491">
        <v>2.41</v>
      </c>
      <c r="D572" s="257">
        <v>1.91</v>
      </c>
      <c r="E572" s="257">
        <f t="shared" si="45"/>
        <v>2.1931000000000003</v>
      </c>
      <c r="F572" s="256">
        <f>SUM($E$2:E572)/SUM($C$2:C572)</f>
        <v>6.6664506392867069E-3</v>
      </c>
      <c r="G572" s="257">
        <f t="shared" si="46"/>
        <v>7.2004999999999946</v>
      </c>
      <c r="H572" s="492" t="s">
        <v>47</v>
      </c>
      <c r="I572" s="2"/>
      <c r="J572" s="2"/>
      <c r="K572" s="2"/>
      <c r="L572" s="2"/>
      <c r="O572" s="58"/>
      <c r="P572" s="58"/>
    </row>
    <row r="573" spans="2:16">
      <c r="B573" s="587"/>
      <c r="C573" s="484">
        <v>2.41</v>
      </c>
      <c r="D573" s="164"/>
      <c r="E573" s="164">
        <f t="shared" si="45"/>
        <v>-2.41</v>
      </c>
      <c r="F573" s="197">
        <f>SUM($E$2:E573)/SUM($C$2:C573)</f>
        <v>4.4253223958910454E-3</v>
      </c>
      <c r="G573" s="164">
        <f t="shared" si="46"/>
        <v>4.7904999999999944</v>
      </c>
      <c r="H573" s="485" t="s">
        <v>38</v>
      </c>
      <c r="I573" s="2"/>
      <c r="J573" s="2"/>
      <c r="K573" s="2"/>
      <c r="L573" s="2"/>
      <c r="O573" s="58"/>
      <c r="P573" s="58"/>
    </row>
    <row r="574" spans="2:16">
      <c r="B574" s="587"/>
      <c r="C574" s="484">
        <v>2.41</v>
      </c>
      <c r="D574" s="164"/>
      <c r="E574" s="164">
        <f t="shared" si="45"/>
        <v>-2.41</v>
      </c>
      <c r="F574" s="197">
        <f>SUM($E$2:E574)/SUM($C$2:C574)</f>
        <v>2.1941507747043443E-3</v>
      </c>
      <c r="G574" s="164">
        <f t="shared" si="46"/>
        <v>2.3804999999999943</v>
      </c>
      <c r="H574" s="485" t="s">
        <v>13</v>
      </c>
      <c r="I574" s="2"/>
      <c r="J574" s="2"/>
      <c r="K574" s="2"/>
      <c r="L574" s="2"/>
      <c r="O574" s="58"/>
      <c r="P574" s="58"/>
    </row>
    <row r="575" spans="2:16">
      <c r="B575" s="587"/>
      <c r="C575" s="484">
        <v>2.41</v>
      </c>
      <c r="D575" s="164">
        <v>1.99</v>
      </c>
      <c r="E575" s="164">
        <f t="shared" si="45"/>
        <v>2.3859000000000004</v>
      </c>
      <c r="F575" s="197">
        <f>SUM($E$2:E575)/SUM($C$2:C575)</f>
        <v>4.3835414865635164E-3</v>
      </c>
      <c r="G575" s="164">
        <f t="shared" si="46"/>
        <v>4.7663999999999946</v>
      </c>
      <c r="H575" s="485" t="s">
        <v>14</v>
      </c>
      <c r="I575" s="2"/>
      <c r="J575" s="2"/>
      <c r="K575" s="2"/>
      <c r="L575" s="2"/>
      <c r="O575" s="58"/>
      <c r="P575" s="58"/>
    </row>
    <row r="576" spans="2:16">
      <c r="B576" s="587"/>
      <c r="C576" s="491">
        <v>2.41</v>
      </c>
      <c r="D576" s="257"/>
      <c r="E576" s="257">
        <f t="shared" si="45"/>
        <v>-2.41</v>
      </c>
      <c r="F576" s="256">
        <f>SUM($E$2:E576)/SUM($C$2:C576)</f>
        <v>2.1623308098187512E-3</v>
      </c>
      <c r="G576" s="257">
        <f t="shared" si="46"/>
        <v>2.3563999999999945</v>
      </c>
      <c r="H576" s="492" t="s">
        <v>35</v>
      </c>
      <c r="I576" s="2"/>
      <c r="J576" s="2"/>
      <c r="K576" s="2"/>
      <c r="L576" s="2"/>
      <c r="O576" s="58"/>
      <c r="P576" s="58"/>
    </row>
    <row r="577" spans="2:16">
      <c r="B577" s="587"/>
      <c r="C577" s="484">
        <v>2.41</v>
      </c>
      <c r="D577" s="164"/>
      <c r="E577" s="164">
        <f t="shared" si="45"/>
        <v>-2.41</v>
      </c>
      <c r="F577" s="197">
        <f>SUM($E$2:E577)/SUM($C$2:C577)</f>
        <v>-4.9077058306480193E-5</v>
      </c>
      <c r="G577" s="164">
        <f t="shared" si="46"/>
        <v>-5.3600000000005643E-2</v>
      </c>
      <c r="H577" s="485" t="s">
        <v>233</v>
      </c>
      <c r="I577" s="2"/>
      <c r="J577" s="2"/>
      <c r="K577" s="2"/>
      <c r="L577" s="2"/>
      <c r="O577" s="58"/>
      <c r="P577" s="58"/>
    </row>
    <row r="578" spans="2:16">
      <c r="B578" s="587"/>
      <c r="C578" s="484">
        <v>2.41</v>
      </c>
      <c r="D578" s="164">
        <v>1.94</v>
      </c>
      <c r="E578" s="164">
        <f t="shared" si="45"/>
        <v>2.2653999999999996</v>
      </c>
      <c r="F578" s="197">
        <f>SUM($E$2:E578)/SUM($C$2:C578)</f>
        <v>2.0207021935554456E-3</v>
      </c>
      <c r="G578" s="164">
        <f t="shared" si="46"/>
        <v>2.211799999999994</v>
      </c>
      <c r="H578" s="485" t="s">
        <v>234</v>
      </c>
      <c r="I578" s="2"/>
      <c r="J578" s="2"/>
      <c r="K578" s="2"/>
      <c r="L578" s="2"/>
      <c r="O578" s="58"/>
      <c r="P578" s="58"/>
    </row>
    <row r="579" spans="2:16">
      <c r="B579" s="587"/>
      <c r="C579" s="484">
        <v>2.41</v>
      </c>
      <c r="D579" s="164"/>
      <c r="E579" s="164">
        <f t="shared" si="45"/>
        <v>-2.41</v>
      </c>
      <c r="F579" s="197">
        <f>SUM($E$2:E579)/SUM($C$2:C579)</f>
        <v>-1.8067786103666907E-4</v>
      </c>
      <c r="G579" s="164">
        <f t="shared" si="46"/>
        <v>-0.19820000000000615</v>
      </c>
      <c r="H579" s="485" t="s">
        <v>235</v>
      </c>
      <c r="I579" s="2"/>
      <c r="J579" s="2"/>
      <c r="K579" s="2"/>
      <c r="L579" s="2"/>
      <c r="O579" s="58"/>
      <c r="P579" s="58"/>
    </row>
    <row r="580" spans="2:16">
      <c r="B580" s="587"/>
      <c r="C580" s="491">
        <v>2.41</v>
      </c>
      <c r="D580" s="257"/>
      <c r="E580" s="257">
        <f t="shared" si="45"/>
        <v>-2.41</v>
      </c>
      <c r="F580" s="256">
        <f>SUM($E$2:E580)/SUM($C$2:C580)</f>
        <v>-2.3724065163408747E-3</v>
      </c>
      <c r="G580" s="257">
        <f t="shared" si="46"/>
        <v>-2.6082000000000063</v>
      </c>
      <c r="H580" s="492" t="s">
        <v>236</v>
      </c>
      <c r="I580" s="2">
        <f>SUM(E569:E580)</f>
        <v>-10.2666</v>
      </c>
      <c r="L580" s="2">
        <f>I580/C580</f>
        <v>-4.26</v>
      </c>
      <c r="O580" s="58"/>
      <c r="P580" s="58"/>
    </row>
    <row r="581" spans="2:16">
      <c r="B581" s="586">
        <v>46019</v>
      </c>
      <c r="C581" s="484">
        <v>3.55</v>
      </c>
      <c r="D581" s="164">
        <v>1.9</v>
      </c>
      <c r="E581" s="164">
        <f t="shared" ref="E581:E594" si="47">(C581*D581)-C581</f>
        <v>3.1949999999999994</v>
      </c>
      <c r="F581" s="197">
        <f>SUM($E$2:E581)/SUM($C$2:C581)</f>
        <v>5.3203256750139667E-4</v>
      </c>
      <c r="G581" s="164">
        <f t="shared" ref="G581:G594" si="48">G580+E581</f>
        <v>0.5867999999999931</v>
      </c>
      <c r="H581" s="485" t="s">
        <v>27</v>
      </c>
      <c r="I581" s="2"/>
      <c r="J581" s="2"/>
      <c r="K581" s="2"/>
      <c r="L581" s="2"/>
      <c r="O581" s="58"/>
      <c r="P581" s="58"/>
    </row>
    <row r="582" spans="2:16">
      <c r="B582" s="587"/>
      <c r="C582" s="484">
        <v>3.55</v>
      </c>
      <c r="D582" s="164"/>
      <c r="E582" s="164">
        <f t="shared" si="47"/>
        <v>-3.55</v>
      </c>
      <c r="F582" s="197">
        <f>SUM($E$2:E582)/SUM($C$2:C582)</f>
        <v>-2.678017876347724E-3</v>
      </c>
      <c r="G582" s="164">
        <f t="shared" si="48"/>
        <v>-2.9632000000000067</v>
      </c>
      <c r="H582" s="485" t="s">
        <v>51</v>
      </c>
      <c r="I582" s="2"/>
      <c r="J582" s="2"/>
      <c r="K582" s="2"/>
      <c r="L582" s="2"/>
      <c r="O582" s="58"/>
      <c r="P582" s="58"/>
    </row>
    <row r="583" spans="2:16">
      <c r="B583" s="587"/>
      <c r="C583" s="484">
        <v>3.55</v>
      </c>
      <c r="D583" s="164"/>
      <c r="E583" s="164">
        <f t="shared" si="47"/>
        <v>-3.55</v>
      </c>
      <c r="F583" s="197">
        <f>SUM($E$2:E583)/SUM($C$2:C583)</f>
        <v>-5.8675363049979978E-3</v>
      </c>
      <c r="G583" s="164">
        <f t="shared" si="48"/>
        <v>-6.5132000000000065</v>
      </c>
      <c r="H583" s="485" t="s">
        <v>97</v>
      </c>
      <c r="I583" s="2"/>
      <c r="J583" s="2"/>
      <c r="K583" s="2"/>
      <c r="L583" s="2"/>
      <c r="O583" s="58"/>
      <c r="P583" s="58"/>
    </row>
    <row r="584" spans="2:16">
      <c r="B584" s="587"/>
      <c r="C584" s="491">
        <v>3.55</v>
      </c>
      <c r="D584" s="257"/>
      <c r="E584" s="257">
        <f t="shared" si="47"/>
        <v>-3.55</v>
      </c>
      <c r="F584" s="256">
        <f>SUM($E$2:E584)/SUM($C$2:C584)</f>
        <v>-9.0367190797330799E-3</v>
      </c>
      <c r="G584" s="257">
        <f t="shared" si="48"/>
        <v>-10.063200000000005</v>
      </c>
      <c r="H584" s="492" t="s">
        <v>38</v>
      </c>
      <c r="I584" s="2"/>
      <c r="J584" s="2"/>
      <c r="K584" s="2"/>
      <c r="L584" s="2"/>
      <c r="O584" s="58"/>
      <c r="P584" s="58"/>
    </row>
    <row r="585" spans="2:16">
      <c r="B585" s="587"/>
      <c r="C585" s="484">
        <v>3.55</v>
      </c>
      <c r="D585" s="164">
        <v>4.29</v>
      </c>
      <c r="E585" s="164">
        <f t="shared" si="47"/>
        <v>11.679500000000001</v>
      </c>
      <c r="F585" s="197">
        <f>SUM($E$2:E585)/SUM($C$2:C585)</f>
        <v>1.4468195570832558E-3</v>
      </c>
      <c r="G585" s="164">
        <f t="shared" si="48"/>
        <v>1.6162999999999954</v>
      </c>
      <c r="H585" s="485" t="s">
        <v>25</v>
      </c>
      <c r="I585" s="2"/>
      <c r="J585" s="2"/>
      <c r="K585" s="2"/>
      <c r="L585" s="2"/>
      <c r="O585" s="58"/>
      <c r="P585" s="58"/>
    </row>
    <row r="586" spans="2:16">
      <c r="B586" s="587"/>
      <c r="C586" s="484">
        <v>3.55</v>
      </c>
      <c r="D586" s="164"/>
      <c r="E586" s="164">
        <f t="shared" si="47"/>
        <v>-3.55</v>
      </c>
      <c r="F586" s="197">
        <f>SUM($E$2:E586)/SUM($C$2:C586)</f>
        <v>-1.7254548537061953E-3</v>
      </c>
      <c r="G586" s="164">
        <f t="shared" si="48"/>
        <v>-1.9337000000000044</v>
      </c>
      <c r="H586" s="485" t="s">
        <v>11</v>
      </c>
      <c r="I586" s="2"/>
      <c r="J586" s="2"/>
      <c r="K586" s="2"/>
      <c r="L586" s="2"/>
      <c r="O586" s="58"/>
      <c r="P586" s="58"/>
    </row>
    <row r="587" spans="2:16">
      <c r="B587" s="587"/>
      <c r="C587" s="484">
        <v>3.55</v>
      </c>
      <c r="D587" s="164">
        <v>1.98</v>
      </c>
      <c r="E587" s="164">
        <f t="shared" si="47"/>
        <v>3.4790000000000001</v>
      </c>
      <c r="F587" s="197">
        <f>SUM($E$2:E587)/SUM($C$2:C587)</f>
        <v>1.374528570412002E-3</v>
      </c>
      <c r="G587" s="164">
        <f t="shared" si="48"/>
        <v>1.5452999999999957</v>
      </c>
      <c r="H587" s="485" t="s">
        <v>52</v>
      </c>
      <c r="I587" s="2"/>
      <c r="J587" s="2"/>
      <c r="K587" s="2"/>
      <c r="L587" s="2"/>
      <c r="O587" s="58"/>
      <c r="P587" s="58"/>
    </row>
    <row r="588" spans="2:16">
      <c r="B588" s="587"/>
      <c r="C588" s="491">
        <v>3.55</v>
      </c>
      <c r="D588" s="257">
        <v>2</v>
      </c>
      <c r="E588" s="257">
        <f t="shared" si="47"/>
        <v>3.55</v>
      </c>
      <c r="F588" s="256">
        <f>SUM($E$2:E588)/SUM($C$2:C588)</f>
        <v>4.5179510369838128E-3</v>
      </c>
      <c r="G588" s="257">
        <f t="shared" si="48"/>
        <v>5.0952999999999955</v>
      </c>
      <c r="H588" s="492" t="s">
        <v>10</v>
      </c>
      <c r="I588" s="2"/>
      <c r="J588" s="2"/>
      <c r="K588" s="2"/>
      <c r="L588" s="2"/>
      <c r="O588" s="58"/>
      <c r="P588" s="58"/>
    </row>
    <row r="589" spans="2:16">
      <c r="B589" s="587"/>
      <c r="C589" s="484">
        <v>3.55</v>
      </c>
      <c r="D589" s="164">
        <v>1.98</v>
      </c>
      <c r="E589" s="164">
        <f t="shared" si="47"/>
        <v>3.4790000000000001</v>
      </c>
      <c r="F589" s="197">
        <f>SUM($E$2:E589)/SUM($C$2:C589)</f>
        <v>7.5788887513921193E-3</v>
      </c>
      <c r="G589" s="164">
        <f t="shared" si="48"/>
        <v>8.5742999999999956</v>
      </c>
      <c r="H589" s="485" t="s">
        <v>237</v>
      </c>
      <c r="I589" s="2"/>
      <c r="J589" s="2"/>
      <c r="K589" s="2"/>
      <c r="L589" s="2"/>
      <c r="O589" s="58"/>
      <c r="P589" s="58"/>
    </row>
    <row r="590" spans="2:16">
      <c r="B590" s="587"/>
      <c r="C590" s="484">
        <v>3.55</v>
      </c>
      <c r="D590" s="164">
        <v>1.98</v>
      </c>
      <c r="E590" s="164">
        <f t="shared" si="47"/>
        <v>3.4790000000000001</v>
      </c>
      <c r="F590" s="197">
        <f>SUM($E$2:E590)/SUM($C$2:C590)</f>
        <v>1.0620676893795828E-2</v>
      </c>
      <c r="G590" s="164">
        <f t="shared" si="48"/>
        <v>12.053299999999997</v>
      </c>
      <c r="H590" s="485" t="s">
        <v>238</v>
      </c>
      <c r="I590" s="2"/>
      <c r="J590" s="2"/>
      <c r="K590" s="2"/>
      <c r="L590" s="2"/>
      <c r="O590" s="58"/>
      <c r="P590" s="58"/>
    </row>
    <row r="591" spans="2:16">
      <c r="B591" s="587"/>
      <c r="C591" s="484">
        <v>3.55</v>
      </c>
      <c r="D591" s="164"/>
      <c r="E591" s="164">
        <f t="shared" si="47"/>
        <v>-3.55</v>
      </c>
      <c r="F591" s="197">
        <f>SUM($E$2:E591)/SUM($C$2:C591)</f>
        <v>7.4692561751167931E-3</v>
      </c>
      <c r="G591" s="164">
        <f t="shared" si="48"/>
        <v>8.5032999999999959</v>
      </c>
      <c r="H591" s="485" t="s">
        <v>239</v>
      </c>
      <c r="I591" s="2"/>
      <c r="J591" s="2"/>
      <c r="K591" s="2"/>
      <c r="L591" s="2"/>
      <c r="O591" s="58"/>
      <c r="P591" s="58"/>
    </row>
    <row r="592" spans="2:16">
      <c r="B592" s="587"/>
      <c r="C592" s="484">
        <v>3.55</v>
      </c>
      <c r="D592" s="164"/>
      <c r="E592" s="164">
        <f t="shared" si="47"/>
        <v>-3.55</v>
      </c>
      <c r="F592" s="197">
        <f>SUM($E$2:E592)/SUM($C$2:C592)</f>
        <v>4.3374285238924823E-3</v>
      </c>
      <c r="G592" s="164">
        <f t="shared" si="48"/>
        <v>4.953299999999996</v>
      </c>
      <c r="H592" s="485" t="s">
        <v>240</v>
      </c>
      <c r="I592" s="2"/>
      <c r="J592" s="2"/>
      <c r="K592" s="2"/>
      <c r="L592" s="2"/>
      <c r="O592" s="58"/>
      <c r="P592" s="58"/>
    </row>
    <row r="593" spans="2:16">
      <c r="B593" s="587"/>
      <c r="C593" s="484">
        <v>3.55</v>
      </c>
      <c r="D593" s="164"/>
      <c r="E593" s="164">
        <f t="shared" si="47"/>
        <v>-3.55</v>
      </c>
      <c r="F593" s="197">
        <f>SUM($E$2:E593)/SUM($C$2:C593)</f>
        <v>1.2250117848350915E-3</v>
      </c>
      <c r="G593" s="164">
        <f t="shared" si="48"/>
        <v>1.4032999999999962</v>
      </c>
      <c r="H593" s="485" t="s">
        <v>241</v>
      </c>
      <c r="I593" s="2"/>
      <c r="J593" s="2"/>
      <c r="K593" s="2"/>
      <c r="L593" s="2"/>
      <c r="O593" s="58"/>
      <c r="P593" s="58"/>
    </row>
    <row r="594" spans="2:16">
      <c r="B594" s="587"/>
      <c r="C594" s="491">
        <v>3.55</v>
      </c>
      <c r="D594" s="257"/>
      <c r="E594" s="257">
        <f t="shared" si="47"/>
        <v>-3.55</v>
      </c>
      <c r="F594" s="256">
        <f>SUM($E$2:E594)/SUM($C$2:C594)</f>
        <v>-1.8681739463401433E-3</v>
      </c>
      <c r="G594" s="257">
        <f t="shared" si="48"/>
        <v>-2.1467000000000036</v>
      </c>
      <c r="H594" s="492" t="s">
        <v>242</v>
      </c>
      <c r="I594" s="490">
        <f>SUM(E581:E594)</f>
        <v>0.46150000000000002</v>
      </c>
      <c r="J594" s="490">
        <f>SUM(E501:E594)</f>
        <v>4.2219799999999932</v>
      </c>
      <c r="L594" s="2">
        <f>I594/C594</f>
        <v>0.13</v>
      </c>
      <c r="O594" s="58"/>
      <c r="P594" s="58"/>
    </row>
    <row r="595" spans="2:16">
      <c r="B595" s="586">
        <v>46020</v>
      </c>
      <c r="C595" s="484">
        <v>1.94</v>
      </c>
      <c r="D595" s="164">
        <v>1.9</v>
      </c>
      <c r="E595" s="164">
        <f t="shared" ref="E595:E615" si="49">(C595*D595)-C595</f>
        <v>1.746</v>
      </c>
      <c r="F595" s="197">
        <f>SUM($E$2:E595)/SUM($C$2:C595)</f>
        <v>-3.4812298549994529E-4</v>
      </c>
      <c r="G595" s="164">
        <f t="shared" ref="G595:G615" si="50">G594+E595</f>
        <v>-0.40070000000000361</v>
      </c>
      <c r="H595" s="485" t="s">
        <v>34</v>
      </c>
      <c r="I595" s="2"/>
      <c r="J595" s="2"/>
      <c r="K595" s="2"/>
      <c r="L595" s="2"/>
      <c r="O595" s="58"/>
      <c r="P595" s="58"/>
    </row>
    <row r="596" spans="2:16">
      <c r="B596" s="587"/>
      <c r="C596" s="484">
        <v>1.94</v>
      </c>
      <c r="D596" s="164">
        <v>1.9</v>
      </c>
      <c r="E596" s="164">
        <f t="shared" si="49"/>
        <v>1.746</v>
      </c>
      <c r="F596" s="197">
        <f>SUM($E$2:E596)/SUM($C$2:C596)</f>
        <v>1.1668126664180257E-3</v>
      </c>
      <c r="G596" s="164">
        <f t="shared" si="50"/>
        <v>1.3452999999999964</v>
      </c>
      <c r="H596" s="485" t="s">
        <v>60</v>
      </c>
      <c r="I596" s="2"/>
      <c r="J596" s="2"/>
      <c r="K596" s="2"/>
      <c r="L596" s="2"/>
      <c r="O596" s="58"/>
      <c r="P596" s="58"/>
    </row>
    <row r="597" spans="2:16">
      <c r="B597" s="587"/>
      <c r="C597" s="484">
        <v>1.94</v>
      </c>
      <c r="D597" s="164">
        <v>1.9</v>
      </c>
      <c r="E597" s="164">
        <f t="shared" si="49"/>
        <v>1.746</v>
      </c>
      <c r="F597" s="197">
        <f>SUM($E$2:E597)/SUM($C$2:C597)</f>
        <v>2.6766587872647947E-3</v>
      </c>
      <c r="G597" s="164">
        <f t="shared" si="50"/>
        <v>3.0912999999999964</v>
      </c>
      <c r="H597" s="485" t="s">
        <v>14</v>
      </c>
      <c r="I597" s="2"/>
      <c r="J597" s="2"/>
      <c r="K597" s="2"/>
      <c r="L597" s="2"/>
      <c r="O597" s="58"/>
      <c r="P597" s="58"/>
    </row>
    <row r="598" spans="2:16">
      <c r="B598" s="587"/>
      <c r="C598" s="484">
        <v>1.94</v>
      </c>
      <c r="D598" s="164"/>
      <c r="E598" s="164">
        <f t="shared" si="49"/>
        <v>-1.94</v>
      </c>
      <c r="F598" s="197">
        <f>SUM($E$2:E598)/SUM($C$2:C598)</f>
        <v>9.9520248951894528E-4</v>
      </c>
      <c r="G598" s="164">
        <f t="shared" si="50"/>
        <v>1.1512999999999964</v>
      </c>
      <c r="H598" s="485" t="s">
        <v>46</v>
      </c>
      <c r="I598" s="2"/>
      <c r="J598" s="2"/>
      <c r="K598" s="2"/>
      <c r="L598" s="2"/>
      <c r="O598" s="58"/>
      <c r="P598" s="58"/>
    </row>
    <row r="599" spans="2:16">
      <c r="B599" s="587"/>
      <c r="C599" s="491">
        <v>1.94</v>
      </c>
      <c r="D599" s="257">
        <v>1.91</v>
      </c>
      <c r="E599" s="257">
        <f t="shared" si="49"/>
        <v>1.7653999999999996</v>
      </c>
      <c r="F599" s="256">
        <f>SUM($E$2:E599)/SUM($C$2:C599)</f>
        <v>2.5170220661206812E-3</v>
      </c>
      <c r="G599" s="257">
        <f t="shared" si="50"/>
        <v>2.9166999999999961</v>
      </c>
      <c r="H599" s="492" t="s">
        <v>17</v>
      </c>
      <c r="I599" s="2"/>
      <c r="J599" s="2"/>
      <c r="K599" s="2"/>
      <c r="L599" s="2"/>
      <c r="O599" s="58"/>
      <c r="P599" s="58"/>
    </row>
    <row r="600" spans="2:16">
      <c r="B600" s="587"/>
      <c r="C600" s="484">
        <v>1.94</v>
      </c>
      <c r="D600" s="164"/>
      <c r="E600" s="164">
        <f t="shared" si="49"/>
        <v>-1.94</v>
      </c>
      <c r="F600" s="197">
        <f>SUM($E$2:E600)/SUM($C$2:C600)</f>
        <v>8.4145322340250714E-4</v>
      </c>
      <c r="G600" s="164">
        <f t="shared" si="50"/>
        <v>0.97669999999999613</v>
      </c>
      <c r="H600" s="485" t="s">
        <v>11</v>
      </c>
      <c r="I600" s="2"/>
      <c r="J600" s="2"/>
      <c r="K600" s="2"/>
      <c r="L600" s="2"/>
      <c r="O600" s="58"/>
      <c r="P600" s="58"/>
    </row>
    <row r="601" spans="2:16">
      <c r="B601" s="587"/>
      <c r="C601" s="484">
        <v>1.94</v>
      </c>
      <c r="D601" s="164">
        <v>1.9650000000000001</v>
      </c>
      <c r="E601" s="164">
        <f t="shared" si="49"/>
        <v>1.8721000000000001</v>
      </c>
      <c r="F601" s="197">
        <f>SUM($E$2:E601)/SUM($C$2:C601)</f>
        <v>2.4502223330781598E-3</v>
      </c>
      <c r="G601" s="164">
        <f t="shared" si="50"/>
        <v>2.8487999999999962</v>
      </c>
      <c r="H601" s="485" t="s">
        <v>16</v>
      </c>
      <c r="I601" s="2"/>
      <c r="J601" s="2"/>
      <c r="K601" s="2"/>
      <c r="L601" s="2"/>
      <c r="O601" s="58"/>
      <c r="P601" s="58"/>
    </row>
    <row r="602" spans="2:16">
      <c r="B602" s="587"/>
      <c r="C602" s="484">
        <v>1.94</v>
      </c>
      <c r="D602" s="164"/>
      <c r="E602" s="164">
        <f t="shared" si="49"/>
        <v>-1.94</v>
      </c>
      <c r="F602" s="197">
        <f>SUM($E$2:E602)/SUM($C$2:C602)</f>
        <v>7.8034706897587387E-4</v>
      </c>
      <c r="G602" s="164">
        <f t="shared" si="50"/>
        <v>0.90879999999999628</v>
      </c>
      <c r="H602" s="485" t="s">
        <v>35</v>
      </c>
      <c r="I602" s="2"/>
      <c r="J602" s="2"/>
      <c r="K602" s="2"/>
      <c r="L602" s="2"/>
      <c r="O602" s="58"/>
      <c r="P602" s="58"/>
    </row>
    <row r="603" spans="2:16">
      <c r="B603" s="587"/>
      <c r="C603" s="484">
        <v>1.94</v>
      </c>
      <c r="D603" s="164">
        <v>2.1019999999999999</v>
      </c>
      <c r="E603" s="164">
        <f t="shared" si="49"/>
        <v>2.1378799999999996</v>
      </c>
      <c r="F603" s="197">
        <f>SUM($E$2:E603)/SUM($C$2:C603)</f>
        <v>2.611701170116997E-3</v>
      </c>
      <c r="G603" s="164">
        <f t="shared" si="50"/>
        <v>3.0466799999999958</v>
      </c>
      <c r="H603" s="485" t="s">
        <v>53</v>
      </c>
      <c r="I603" s="2"/>
      <c r="J603" s="2"/>
      <c r="K603" s="2"/>
      <c r="L603" s="2"/>
      <c r="O603" s="58"/>
      <c r="P603" s="58"/>
    </row>
    <row r="604" spans="2:16">
      <c r="B604" s="587"/>
      <c r="C604" s="484">
        <v>1.94</v>
      </c>
      <c r="D604" s="164">
        <v>1.94</v>
      </c>
      <c r="E604" s="164">
        <f t="shared" si="49"/>
        <v>1.8235999999999999</v>
      </c>
      <c r="F604" s="197">
        <f>SUM($E$2:E604)/SUM($C$2:C604)</f>
        <v>4.1680117074172438E-3</v>
      </c>
      <c r="G604" s="164">
        <f t="shared" si="50"/>
        <v>4.8702799999999957</v>
      </c>
      <c r="H604" s="485" t="s">
        <v>13</v>
      </c>
      <c r="I604" s="2"/>
      <c r="J604" s="2"/>
      <c r="K604" s="2"/>
      <c r="L604" s="2"/>
      <c r="O604" s="58"/>
      <c r="P604" s="58"/>
    </row>
    <row r="605" spans="2:16">
      <c r="B605" s="587"/>
      <c r="C605" s="484">
        <v>1.94</v>
      </c>
      <c r="D605" s="164">
        <v>2.444</v>
      </c>
      <c r="E605" s="164">
        <f t="shared" si="49"/>
        <v>2.8013599999999994</v>
      </c>
      <c r="F605" s="197">
        <f>SUM($E$2:E605)/SUM($C$2:C605)</f>
        <v>6.5545483283920968E-3</v>
      </c>
      <c r="G605" s="164">
        <f t="shared" si="50"/>
        <v>7.6716399999999947</v>
      </c>
      <c r="H605" s="485" t="s">
        <v>30</v>
      </c>
      <c r="I605" s="2"/>
      <c r="J605" s="2"/>
      <c r="K605" s="2"/>
      <c r="L605" s="2"/>
      <c r="O605" s="58"/>
      <c r="P605" s="58"/>
    </row>
    <row r="606" spans="2:16">
      <c r="B606" s="587"/>
      <c r="C606" s="484">
        <v>1.94</v>
      </c>
      <c r="D606" s="164"/>
      <c r="E606" s="164">
        <f t="shared" si="49"/>
        <v>-1.94</v>
      </c>
      <c r="F606" s="197">
        <f>SUM($E$2:E606)/SUM($C$2:C606)</f>
        <v>4.8889343807841977E-3</v>
      </c>
      <c r="G606" s="164">
        <f t="shared" si="50"/>
        <v>5.7316399999999952</v>
      </c>
      <c r="H606" s="485" t="s">
        <v>12</v>
      </c>
      <c r="I606" s="2"/>
      <c r="J606" s="2"/>
      <c r="K606" s="2"/>
      <c r="L606" s="2"/>
      <c r="O606" s="58"/>
      <c r="P606" s="58"/>
    </row>
    <row r="607" spans="2:16">
      <c r="B607" s="587"/>
      <c r="C607" s="491">
        <v>1.94</v>
      </c>
      <c r="D607" s="257">
        <v>1.9650000000000001</v>
      </c>
      <c r="E607" s="257">
        <f t="shared" si="49"/>
        <v>1.8721000000000001</v>
      </c>
      <c r="F607" s="256">
        <f>SUM($E$2:E607)/SUM($C$2:C607)</f>
        <v>6.4750704669124517E-3</v>
      </c>
      <c r="G607" s="257">
        <f t="shared" si="50"/>
        <v>7.6037399999999948</v>
      </c>
      <c r="H607" s="492" t="s">
        <v>52</v>
      </c>
      <c r="I607" s="2"/>
      <c r="J607" s="2"/>
      <c r="K607" s="2"/>
      <c r="L607" s="2"/>
      <c r="O607" s="58"/>
      <c r="P607" s="58"/>
    </row>
    <row r="608" spans="2:16">
      <c r="B608" s="587"/>
      <c r="C608" s="484">
        <v>1.94</v>
      </c>
      <c r="D608" s="164">
        <v>1.96</v>
      </c>
      <c r="E608" s="164">
        <f t="shared" si="49"/>
        <v>1.8624000000000001</v>
      </c>
      <c r="F608" s="197">
        <f>SUM($E$2:E608)/SUM($C$2:C608)</f>
        <v>8.047727948990396E-3</v>
      </c>
      <c r="G608" s="164">
        <f t="shared" si="50"/>
        <v>9.4661399999999958</v>
      </c>
      <c r="H608" s="485" t="s">
        <v>39</v>
      </c>
      <c r="I608" s="2"/>
      <c r="J608" s="2"/>
      <c r="K608" s="2"/>
      <c r="L608" s="2"/>
      <c r="O608" s="58"/>
      <c r="P608" s="58"/>
    </row>
    <row r="609" spans="2:16">
      <c r="B609" s="587"/>
      <c r="C609" s="484">
        <v>1.94</v>
      </c>
      <c r="D609" s="164"/>
      <c r="E609" s="164">
        <f t="shared" si="49"/>
        <v>-1.94</v>
      </c>
      <c r="F609" s="197">
        <f>SUM($E$2:E609)/SUM($C$2:C609)</f>
        <v>6.3878831088364039E-3</v>
      </c>
      <c r="G609" s="164">
        <f t="shared" si="50"/>
        <v>7.5261399999999963</v>
      </c>
      <c r="H609" s="485" t="s">
        <v>243</v>
      </c>
      <c r="I609" s="2"/>
      <c r="J609" s="2"/>
      <c r="K609" s="2"/>
      <c r="L609" s="2"/>
      <c r="O609" s="58"/>
      <c r="P609" s="58"/>
    </row>
    <row r="610" spans="2:16">
      <c r="B610" s="587"/>
      <c r="C610" s="484">
        <v>1.94</v>
      </c>
      <c r="D610" s="164">
        <v>1.98</v>
      </c>
      <c r="E610" s="164">
        <f t="shared" si="49"/>
        <v>1.9011999999999998</v>
      </c>
      <c r="F610" s="197">
        <f>SUM($E$2:E610)/SUM($C$2:C610)</f>
        <v>7.9883911094540041E-3</v>
      </c>
      <c r="G610" s="164">
        <f t="shared" si="50"/>
        <v>9.4273399999999956</v>
      </c>
      <c r="H610" s="485" t="s">
        <v>244</v>
      </c>
      <c r="I610" s="2"/>
      <c r="J610" s="2"/>
      <c r="K610" s="2"/>
      <c r="L610" s="2"/>
      <c r="O610" s="58"/>
      <c r="P610" s="58"/>
    </row>
    <row r="611" spans="2:16">
      <c r="B611" s="587"/>
      <c r="C611" s="484">
        <v>1.94</v>
      </c>
      <c r="D611" s="164">
        <v>1.98</v>
      </c>
      <c r="E611" s="164">
        <f t="shared" si="49"/>
        <v>1.9011999999999998</v>
      </c>
      <c r="F611" s="197">
        <f>SUM($E$2:E611)/SUM($C$2:C611)</f>
        <v>9.5836456385831152E-3</v>
      </c>
      <c r="G611" s="164">
        <f t="shared" si="50"/>
        <v>11.328539999999995</v>
      </c>
      <c r="H611" s="485" t="s">
        <v>245</v>
      </c>
      <c r="I611" s="2"/>
      <c r="J611" s="2"/>
      <c r="K611" s="2"/>
      <c r="L611" s="2"/>
      <c r="O611" s="58"/>
      <c r="P611" s="58"/>
    </row>
    <row r="612" spans="2:16">
      <c r="B612" s="587"/>
      <c r="C612" s="484">
        <v>1.94</v>
      </c>
      <c r="D612" s="164">
        <v>1.9550000000000001</v>
      </c>
      <c r="E612" s="164">
        <f t="shared" si="49"/>
        <v>1.8527</v>
      </c>
      <c r="F612" s="197">
        <f>SUM($E$2:E612)/SUM($C$2:C612)</f>
        <v>1.1132710027786872E-2</v>
      </c>
      <c r="G612" s="164">
        <f t="shared" si="50"/>
        <v>13.181239999999995</v>
      </c>
      <c r="H612" s="485" t="s">
        <v>246</v>
      </c>
      <c r="I612" s="2"/>
      <c r="J612" s="2"/>
      <c r="K612" s="2"/>
      <c r="L612" s="2"/>
      <c r="O612" s="58"/>
      <c r="P612" s="58"/>
    </row>
    <row r="613" spans="2:16">
      <c r="B613" s="587"/>
      <c r="C613" s="484">
        <v>1.94</v>
      </c>
      <c r="D613" s="164">
        <v>3.42</v>
      </c>
      <c r="E613" s="164">
        <f t="shared" si="49"/>
        <v>4.694799999999999</v>
      </c>
      <c r="F613" s="197">
        <f>SUM($E$2:E613)/SUM($C$2:C613)</f>
        <v>1.5073181837345516E-2</v>
      </c>
      <c r="G613" s="164">
        <f t="shared" si="50"/>
        <v>17.876039999999996</v>
      </c>
      <c r="H613" s="485" t="s">
        <v>247</v>
      </c>
      <c r="I613" s="2"/>
      <c r="J613" s="2"/>
      <c r="K613" s="2"/>
      <c r="L613" s="2"/>
      <c r="O613" s="58"/>
      <c r="P613" s="58"/>
    </row>
    <row r="614" spans="2:16">
      <c r="B614" s="587"/>
      <c r="C614" s="484">
        <v>1.94</v>
      </c>
      <c r="D614" s="164"/>
      <c r="E614" s="164">
        <f t="shared" si="49"/>
        <v>-1.94</v>
      </c>
      <c r="F614" s="197">
        <f>SUM($E$2:E614)/SUM($C$2:C614)</f>
        <v>1.3415417252439133E-2</v>
      </c>
      <c r="G614" s="164">
        <f t="shared" si="50"/>
        <v>15.936039999999997</v>
      </c>
      <c r="H614" s="485" t="s">
        <v>248</v>
      </c>
      <c r="I614" s="2"/>
      <c r="J614" s="2"/>
      <c r="K614" s="2"/>
      <c r="L614" s="2"/>
      <c r="O614" s="58"/>
      <c r="P614" s="58"/>
    </row>
    <row r="615" spans="2:16">
      <c r="B615" s="587"/>
      <c r="C615" s="491">
        <v>1.94</v>
      </c>
      <c r="D615" s="257">
        <v>1.98</v>
      </c>
      <c r="E615" s="257">
        <f t="shared" si="49"/>
        <v>1.9011999999999998</v>
      </c>
      <c r="F615" s="256">
        <f>SUM($E$2:E615)/SUM($C$2:C615)</f>
        <v>1.4991418942201755E-2</v>
      </c>
      <c r="G615" s="257">
        <f t="shared" si="50"/>
        <v>17.837239999999998</v>
      </c>
      <c r="H615" s="492" t="s">
        <v>249</v>
      </c>
      <c r="I615" s="2">
        <f>SUM(E595:E615)</f>
        <v>19.983939999999997</v>
      </c>
      <c r="L615" s="2">
        <f>I615/C615</f>
        <v>10.300999999999998</v>
      </c>
      <c r="O615" s="58"/>
      <c r="P615" s="58"/>
    </row>
    <row r="616" spans="2:16">
      <c r="B616" s="586">
        <v>46021</v>
      </c>
      <c r="C616" s="484">
        <v>5.49</v>
      </c>
      <c r="D616" s="164">
        <v>1.9390000000000001</v>
      </c>
      <c r="E616" s="164">
        <f t="shared" ref="E616:E624" si="51">(C616*D616)-C616</f>
        <v>5.1551100000000005</v>
      </c>
      <c r="F616" s="197">
        <f>SUM($E$2:E616)/SUM($C$2:C616)</f>
        <v>1.9235309373222143E-2</v>
      </c>
      <c r="G616" s="164">
        <f t="shared" ref="G616:G624" si="52">G615+E616</f>
        <v>22.992349999999998</v>
      </c>
      <c r="H616" s="485" t="s">
        <v>51</v>
      </c>
      <c r="I616" s="2"/>
      <c r="J616" s="2"/>
      <c r="K616" s="2"/>
      <c r="L616" s="2"/>
      <c r="O616" s="58"/>
      <c r="P616" s="58"/>
    </row>
    <row r="617" spans="2:16">
      <c r="B617" s="587"/>
      <c r="C617" s="484">
        <v>5.49</v>
      </c>
      <c r="D617" s="164">
        <v>1.87</v>
      </c>
      <c r="E617" s="164">
        <f t="shared" si="51"/>
        <v>4.7763000000000009</v>
      </c>
      <c r="F617" s="197">
        <f>SUM($E$2:E617)/SUM($C$2:C617)</f>
        <v>2.3124932337338856E-2</v>
      </c>
      <c r="G617" s="164">
        <f t="shared" si="52"/>
        <v>27.768650000000001</v>
      </c>
      <c r="H617" s="485" t="s">
        <v>37</v>
      </c>
      <c r="I617" s="2"/>
      <c r="J617" s="2"/>
      <c r="K617" s="2"/>
      <c r="L617" s="2"/>
      <c r="O617" s="58"/>
      <c r="P617" s="58"/>
    </row>
    <row r="618" spans="2:16">
      <c r="B618" s="587"/>
      <c r="C618" s="491">
        <v>5.49</v>
      </c>
      <c r="D618" s="257"/>
      <c r="E618" s="257">
        <f t="shared" si="51"/>
        <v>-5.49</v>
      </c>
      <c r="F618" s="256">
        <f>SUM($E$2:E618)/SUM($C$2:C618)</f>
        <v>1.8468581613197293E-2</v>
      </c>
      <c r="G618" s="257">
        <f t="shared" si="52"/>
        <v>22.278649999999999</v>
      </c>
      <c r="H618" s="492" t="s">
        <v>38</v>
      </c>
      <c r="I618" s="2"/>
      <c r="J618" s="2"/>
      <c r="K618" s="2"/>
      <c r="L618" s="2"/>
      <c r="O618" s="58"/>
      <c r="P618" s="58"/>
    </row>
    <row r="619" spans="2:16">
      <c r="B619" s="587"/>
      <c r="C619" s="484">
        <v>5.49</v>
      </c>
      <c r="D619" s="164">
        <v>1.96</v>
      </c>
      <c r="E619" s="164">
        <f t="shared" si="51"/>
        <v>5.2704000000000004</v>
      </c>
      <c r="F619" s="197">
        <f>SUM($E$2:E619)/SUM($C$2:C619)</f>
        <v>2.2734178364237922E-2</v>
      </c>
      <c r="G619" s="164">
        <f t="shared" si="52"/>
        <v>27.549050000000001</v>
      </c>
      <c r="H619" s="485" t="s">
        <v>26</v>
      </c>
      <c r="I619" s="2"/>
      <c r="J619" s="2"/>
      <c r="K619" s="2"/>
      <c r="L619" s="2"/>
      <c r="O619" s="58"/>
      <c r="P619" s="58"/>
    </row>
    <row r="620" spans="2:16">
      <c r="B620" s="587"/>
      <c r="C620" s="484">
        <v>5.49</v>
      </c>
      <c r="D620" s="164"/>
      <c r="E620" s="164">
        <f t="shared" si="51"/>
        <v>-5.49</v>
      </c>
      <c r="F620" s="197">
        <f>SUM($E$2:E620)/SUM($C$2:C620)</f>
        <v>1.8121590759726518E-2</v>
      </c>
      <c r="G620" s="164">
        <f t="shared" si="52"/>
        <v>22.059049999999999</v>
      </c>
      <c r="H620" s="485" t="s">
        <v>47</v>
      </c>
      <c r="I620" s="2"/>
      <c r="J620" s="2"/>
      <c r="K620" s="2"/>
      <c r="L620" s="2"/>
      <c r="O620" s="58"/>
      <c r="P620" s="58"/>
    </row>
    <row r="621" spans="2:16">
      <c r="B621" s="587"/>
      <c r="C621" s="484">
        <v>5.49</v>
      </c>
      <c r="D621" s="164"/>
      <c r="E621" s="164">
        <f t="shared" si="51"/>
        <v>-5.49</v>
      </c>
      <c r="F621" s="197">
        <f>SUM($E$2:E621)/SUM($C$2:C621)</f>
        <v>1.3550422401596309E-2</v>
      </c>
      <c r="G621" s="164">
        <f t="shared" si="52"/>
        <v>16.569049999999997</v>
      </c>
      <c r="H621" s="485" t="s">
        <v>10</v>
      </c>
      <c r="I621" s="2"/>
      <c r="J621" s="2"/>
      <c r="K621" s="2"/>
      <c r="L621" s="2"/>
      <c r="O621" s="58"/>
      <c r="P621" s="58"/>
    </row>
    <row r="622" spans="2:16">
      <c r="B622" s="587"/>
      <c r="C622" s="491">
        <v>5.49</v>
      </c>
      <c r="D622" s="257">
        <v>2.7839999999999998</v>
      </c>
      <c r="E622" s="257">
        <f t="shared" si="51"/>
        <v>9.7941599999999998</v>
      </c>
      <c r="F622" s="256">
        <f>SUM($E$2:E622)/SUM($C$2:C622)</f>
        <v>2.1463867585038897E-2</v>
      </c>
      <c r="G622" s="257">
        <f t="shared" si="52"/>
        <v>26.363209999999995</v>
      </c>
      <c r="H622" s="492" t="s">
        <v>18</v>
      </c>
      <c r="I622" s="2"/>
      <c r="J622" s="2"/>
      <c r="K622" s="2"/>
      <c r="L622" s="2"/>
      <c r="O622" s="58"/>
      <c r="P622" s="58"/>
    </row>
    <row r="623" spans="2:16">
      <c r="B623" s="587"/>
      <c r="C623" s="484">
        <v>5.49</v>
      </c>
      <c r="D623" s="164">
        <v>1.9750000000000001</v>
      </c>
      <c r="E623" s="164">
        <f t="shared" si="51"/>
        <v>5.3527500000000003</v>
      </c>
      <c r="F623" s="197">
        <f>SUM($E$2:E623)/SUM($C$2:C623)</f>
        <v>2.5706958459979615E-2</v>
      </c>
      <c r="G623" s="164">
        <f t="shared" si="52"/>
        <v>31.715959999999995</v>
      </c>
      <c r="H623" s="485" t="s">
        <v>250</v>
      </c>
      <c r="I623" s="2"/>
      <c r="J623" s="2"/>
      <c r="K623" s="2"/>
      <c r="L623" s="2"/>
      <c r="O623" s="58"/>
      <c r="P623" s="58"/>
    </row>
    <row r="624" spans="2:16">
      <c r="B624" s="587"/>
      <c r="C624" s="491">
        <v>5.49</v>
      </c>
      <c r="D624" s="257">
        <v>1.98</v>
      </c>
      <c r="E624" s="257">
        <f t="shared" si="51"/>
        <v>5.3802000000000003</v>
      </c>
      <c r="F624" s="256">
        <f>SUM($E$2:E624)/SUM($C$2:C624)</f>
        <v>2.993460508053309E-2</v>
      </c>
      <c r="G624" s="257">
        <f t="shared" si="52"/>
        <v>37.096159999999998</v>
      </c>
      <c r="H624" s="492" t="s">
        <v>251</v>
      </c>
      <c r="I624" s="2">
        <f>SUM(E616:E624)</f>
        <v>19.258920000000003</v>
      </c>
      <c r="L624" s="2">
        <f>I624/C624</f>
        <v>3.5080000000000005</v>
      </c>
      <c r="O624" s="58"/>
      <c r="P624" s="58"/>
    </row>
    <row r="625" spans="2:16">
      <c r="B625" s="586">
        <v>46022</v>
      </c>
      <c r="C625" s="484">
        <v>2.5099999999999998</v>
      </c>
      <c r="D625" s="164">
        <v>1.9</v>
      </c>
      <c r="E625" s="164">
        <f t="shared" ref="E625:E639" si="53">(C625*D625)-C625</f>
        <v>2.2589999999999995</v>
      </c>
      <c r="F625" s="197">
        <f>SUM($E$2:E625)/SUM($C$2:C625)</f>
        <v>3.1693303805113607E-2</v>
      </c>
      <c r="G625" s="164">
        <f t="shared" ref="G625:G639" si="54">G624+E625</f>
        <v>39.355159999999998</v>
      </c>
      <c r="H625" s="485" t="s">
        <v>27</v>
      </c>
      <c r="I625" s="2"/>
      <c r="J625" s="2"/>
      <c r="K625" s="2"/>
      <c r="L625" s="2"/>
      <c r="O625" s="58"/>
      <c r="P625" s="58"/>
    </row>
    <row r="626" spans="2:16">
      <c r="B626" s="587"/>
      <c r="C626" s="484">
        <v>2.5099999999999998</v>
      </c>
      <c r="D626" s="164"/>
      <c r="E626" s="164">
        <f t="shared" si="53"/>
        <v>-2.5099999999999998</v>
      </c>
      <c r="F626" s="197">
        <f>SUM($E$2:E626)/SUM($C$2:C626)</f>
        <v>2.961210679439975E-2</v>
      </c>
      <c r="G626" s="164">
        <f t="shared" si="54"/>
        <v>36.84516</v>
      </c>
      <c r="H626" s="485" t="s">
        <v>36</v>
      </c>
      <c r="I626" s="2"/>
      <c r="J626" s="2"/>
      <c r="K626" s="2"/>
      <c r="L626" s="2"/>
      <c r="O626" s="58"/>
      <c r="P626" s="58"/>
    </row>
    <row r="627" spans="2:16">
      <c r="B627" s="587"/>
      <c r="C627" s="484">
        <v>2.5099999999999998</v>
      </c>
      <c r="D627" s="164">
        <v>1.86</v>
      </c>
      <c r="E627" s="164">
        <f t="shared" si="53"/>
        <v>2.1585999999999999</v>
      </c>
      <c r="F627" s="197">
        <f>SUM($E$2:E627)/SUM($C$2:C627)</f>
        <v>3.1283845456659867E-2</v>
      </c>
      <c r="G627" s="164">
        <f t="shared" si="54"/>
        <v>39.00376</v>
      </c>
      <c r="H627" s="485" t="s">
        <v>29</v>
      </c>
      <c r="I627" s="2"/>
      <c r="J627" s="2"/>
      <c r="K627" s="2"/>
      <c r="L627" s="2"/>
      <c r="O627" s="58"/>
      <c r="P627" s="58"/>
    </row>
    <row r="628" spans="2:16">
      <c r="B628" s="587"/>
      <c r="C628" s="484">
        <v>2.5099999999999998</v>
      </c>
      <c r="D628" s="164"/>
      <c r="E628" s="164">
        <f t="shared" si="53"/>
        <v>-2.5099999999999998</v>
      </c>
      <c r="F628" s="197">
        <f>SUM($E$2:E628)/SUM($C$2:C628)</f>
        <v>2.9211834016393313E-2</v>
      </c>
      <c r="G628" s="164">
        <f t="shared" si="54"/>
        <v>36.493760000000002</v>
      </c>
      <c r="H628" s="485" t="s">
        <v>59</v>
      </c>
      <c r="I628" s="2"/>
      <c r="J628" s="2"/>
      <c r="K628" s="2"/>
      <c r="L628" s="2"/>
      <c r="O628" s="58"/>
      <c r="P628" s="58"/>
    </row>
    <row r="629" spans="2:16">
      <c r="B629" s="587"/>
      <c r="C629" s="491">
        <v>2.5099999999999998</v>
      </c>
      <c r="D629" s="257"/>
      <c r="E629" s="257">
        <f t="shared" si="53"/>
        <v>-2.5099999999999998</v>
      </c>
      <c r="F629" s="256">
        <f>SUM($E$2:E629)/SUM($C$2:C629)</f>
        <v>2.714813187515466E-2</v>
      </c>
      <c r="G629" s="257">
        <f t="shared" si="54"/>
        <v>33.983760000000004</v>
      </c>
      <c r="H629" s="492" t="s">
        <v>52</v>
      </c>
      <c r="I629" s="2"/>
      <c r="J629" s="2"/>
      <c r="K629" s="2"/>
      <c r="L629" s="2"/>
      <c r="O629" s="58"/>
      <c r="P629" s="58"/>
    </row>
    <row r="630" spans="2:16">
      <c r="B630" s="587"/>
      <c r="C630" s="484">
        <v>2.5099999999999998</v>
      </c>
      <c r="D630" s="164">
        <v>2.87</v>
      </c>
      <c r="E630" s="164">
        <f t="shared" si="53"/>
        <v>4.6936999999999998</v>
      </c>
      <c r="F630" s="197">
        <f>SUM($E$2:E630)/SUM($C$2:C630)</f>
        <v>3.0835892529697703E-2</v>
      </c>
      <c r="G630" s="164">
        <f t="shared" si="54"/>
        <v>38.677460000000004</v>
      </c>
      <c r="H630" s="485" t="s">
        <v>15</v>
      </c>
      <c r="I630" s="2"/>
      <c r="J630" s="2"/>
      <c r="K630" s="2"/>
      <c r="L630" s="2"/>
      <c r="O630" s="58"/>
      <c r="P630" s="58"/>
    </row>
    <row r="631" spans="2:16">
      <c r="B631" s="587"/>
      <c r="C631" s="484">
        <v>2.5099999999999998</v>
      </c>
      <c r="D631" s="164">
        <v>1.98</v>
      </c>
      <c r="E631" s="164">
        <f t="shared" si="53"/>
        <v>2.4597999999999995</v>
      </c>
      <c r="F631" s="197">
        <f>SUM($E$2:E631)/SUM($C$2:C631)</f>
        <v>3.2731486859588814E-2</v>
      </c>
      <c r="G631" s="164">
        <f t="shared" si="54"/>
        <v>41.137260000000005</v>
      </c>
      <c r="H631" s="485" t="s">
        <v>14</v>
      </c>
      <c r="I631" s="2"/>
      <c r="J631" s="2"/>
      <c r="K631" s="2"/>
      <c r="L631" s="2"/>
      <c r="O631" s="58"/>
      <c r="P631" s="58"/>
    </row>
    <row r="632" spans="2:16">
      <c r="B632" s="587"/>
      <c r="C632" s="484">
        <v>2.5099999999999998</v>
      </c>
      <c r="D632" s="164"/>
      <c r="E632" s="164">
        <f t="shared" si="53"/>
        <v>-2.5099999999999998</v>
      </c>
      <c r="F632" s="197">
        <f>SUM($E$2:E632)/SUM($C$2:C632)</f>
        <v>3.0673109297080833E-2</v>
      </c>
      <c r="G632" s="164">
        <f t="shared" si="54"/>
        <v>38.627260000000007</v>
      </c>
      <c r="H632" s="485" t="s">
        <v>60</v>
      </c>
      <c r="I632" s="2"/>
      <c r="J632" s="2"/>
      <c r="K632" s="2"/>
      <c r="L632" s="2"/>
      <c r="O632" s="58"/>
      <c r="P632" s="58"/>
    </row>
    <row r="633" spans="2:16">
      <c r="B633" s="587"/>
      <c r="C633" s="484">
        <v>2.5099999999999998</v>
      </c>
      <c r="D633" s="164">
        <v>1.98</v>
      </c>
      <c r="E633" s="164">
        <f t="shared" si="53"/>
        <v>2.4597999999999995</v>
      </c>
      <c r="F633" s="197">
        <f>SUM($E$2:E633)/SUM($C$2:C633)</f>
        <v>3.2561486095591188E-2</v>
      </c>
      <c r="G633" s="164">
        <f t="shared" si="54"/>
        <v>41.087060000000008</v>
      </c>
      <c r="H633" s="485" t="s">
        <v>46</v>
      </c>
      <c r="I633" s="2"/>
      <c r="J633" s="2"/>
      <c r="K633" s="2"/>
      <c r="L633" s="2"/>
      <c r="O633" s="58"/>
      <c r="P633" s="58"/>
    </row>
    <row r="634" spans="2:16">
      <c r="B634" s="587"/>
      <c r="C634" s="491">
        <v>2.5099999999999998</v>
      </c>
      <c r="D634" s="257">
        <v>1.98</v>
      </c>
      <c r="E634" s="257">
        <f t="shared" si="53"/>
        <v>2.4597999999999995</v>
      </c>
      <c r="F634" s="256">
        <f>SUM($E$2:E634)/SUM($C$2:C634)</f>
        <v>3.4442365186579414E-2</v>
      </c>
      <c r="G634" s="257">
        <f t="shared" si="54"/>
        <v>43.546860000000009</v>
      </c>
      <c r="H634" s="492" t="s">
        <v>12</v>
      </c>
      <c r="I634" s="2"/>
      <c r="J634" s="2"/>
      <c r="K634" s="2"/>
      <c r="L634" s="2"/>
      <c r="O634" s="58"/>
      <c r="P634" s="58"/>
    </row>
    <row r="635" spans="2:16">
      <c r="B635" s="587"/>
      <c r="C635" s="484">
        <v>2.5099999999999998</v>
      </c>
      <c r="D635" s="164">
        <v>1.98</v>
      </c>
      <c r="E635" s="164">
        <f t="shared" si="53"/>
        <v>2.4597999999999995</v>
      </c>
      <c r="F635" s="197">
        <f>SUM($E$2:E635)/SUM($C$2:C635)</f>
        <v>3.6315791135493394E-2</v>
      </c>
      <c r="G635" s="164">
        <f t="shared" si="54"/>
        <v>46.006660000000011</v>
      </c>
      <c r="H635" s="485" t="s">
        <v>252</v>
      </c>
      <c r="I635" s="2"/>
      <c r="J635" s="2"/>
      <c r="K635" s="2"/>
      <c r="L635" s="2"/>
      <c r="O635" s="58"/>
      <c r="P635" s="58"/>
    </row>
    <row r="636" spans="2:16">
      <c r="B636" s="587"/>
      <c r="C636" s="484">
        <v>2.5099999999999998</v>
      </c>
      <c r="D636" s="164">
        <v>1.94</v>
      </c>
      <c r="E636" s="164">
        <f t="shared" si="53"/>
        <v>2.3593999999999999</v>
      </c>
      <c r="F636" s="197">
        <f>SUM($E$2:E636)/SUM($C$2:C636)</f>
        <v>3.8102713178294417E-2</v>
      </c>
      <c r="G636" s="164">
        <f t="shared" si="54"/>
        <v>48.366060000000012</v>
      </c>
      <c r="H636" s="485" t="s">
        <v>253</v>
      </c>
      <c r="I636" s="2"/>
      <c r="J636" s="2"/>
      <c r="K636" s="2"/>
      <c r="L636" s="2"/>
      <c r="O636" s="58"/>
      <c r="P636" s="58"/>
    </row>
    <row r="637" spans="2:16">
      <c r="B637" s="587"/>
      <c r="C637" s="484">
        <v>2.5099999999999998</v>
      </c>
      <c r="D637" s="164">
        <v>1.94</v>
      </c>
      <c r="E637" s="164">
        <f t="shared" si="53"/>
        <v>2.3593999999999999</v>
      </c>
      <c r="F637" s="197">
        <f>SUM($E$2:E637)/SUM($C$2:C637)</f>
        <v>3.988258233938987E-2</v>
      </c>
      <c r="G637" s="164">
        <f t="shared" si="54"/>
        <v>50.725460000000012</v>
      </c>
      <c r="H637" s="485" t="s">
        <v>254</v>
      </c>
      <c r="I637" s="2"/>
      <c r="J637" s="2"/>
      <c r="K637" s="2"/>
      <c r="L637" s="2"/>
      <c r="O637" s="58"/>
      <c r="P637" s="58"/>
    </row>
    <row r="638" spans="2:16">
      <c r="B638" s="587"/>
      <c r="C638" s="484">
        <v>2.5099999999999998</v>
      </c>
      <c r="D638" s="164"/>
      <c r="E638" s="164">
        <f t="shared" si="53"/>
        <v>-2.5099999999999998</v>
      </c>
      <c r="F638" s="197">
        <f>SUM($E$2:E638)/SUM($C$2:C638)</f>
        <v>3.7834444985012164E-2</v>
      </c>
      <c r="G638" s="164">
        <f t="shared" si="54"/>
        <v>48.215460000000014</v>
      </c>
      <c r="H638" s="485" t="s">
        <v>255</v>
      </c>
      <c r="I638" s="2"/>
      <c r="J638" s="2"/>
      <c r="K638" s="2"/>
      <c r="L638" s="2"/>
      <c r="O638" s="58"/>
      <c r="P638" s="58"/>
    </row>
    <row r="639" spans="2:16">
      <c r="B639" s="587"/>
      <c r="C639" s="491">
        <v>2.5099999999999998</v>
      </c>
      <c r="D639" s="257"/>
      <c r="E639" s="257">
        <f t="shared" si="53"/>
        <v>-2.5099999999999998</v>
      </c>
      <c r="F639" s="256">
        <f>SUM($E$2:E639)/SUM($C$2:C639)</f>
        <v>3.5794359733414639E-2</v>
      </c>
      <c r="G639" s="257">
        <f t="shared" si="54"/>
        <v>45.705460000000016</v>
      </c>
      <c r="H639" s="492" t="s">
        <v>95</v>
      </c>
      <c r="I639" s="490">
        <f>SUM(E625:E639)</f>
        <v>8.6093000000000011</v>
      </c>
      <c r="J639" s="450"/>
      <c r="K639" s="490">
        <f>SUM(E239:E639)</f>
        <v>45.705460000000016</v>
      </c>
      <c r="L639" s="2">
        <f>I639/C639</f>
        <v>3.4300000000000006</v>
      </c>
      <c r="O639" s="58"/>
      <c r="P639" s="58"/>
    </row>
    <row r="640" spans="2:16">
      <c r="B640" s="586">
        <v>46023</v>
      </c>
      <c r="C640" s="484">
        <f>4.58*2</f>
        <v>9.16</v>
      </c>
      <c r="D640" s="164">
        <v>2.1</v>
      </c>
      <c r="E640" s="164">
        <f t="shared" ref="E640:E645" si="55">(C640*D640)-C640</f>
        <v>10.076000000000001</v>
      </c>
      <c r="F640" s="197">
        <f>SUM($E$2:E640)/SUM($C$2:C640)</f>
        <v>4.3374254500213656E-2</v>
      </c>
      <c r="G640" s="164">
        <f t="shared" ref="G640:G645" si="56">G639+E640</f>
        <v>55.781460000000017</v>
      </c>
      <c r="H640" s="485" t="s">
        <v>53</v>
      </c>
      <c r="I640" s="2"/>
      <c r="J640" s="2"/>
      <c r="K640" s="2"/>
      <c r="L640" s="2"/>
      <c r="O640" s="58"/>
      <c r="P640" s="58"/>
    </row>
    <row r="641" spans="2:16">
      <c r="B641" s="587"/>
      <c r="C641" s="484">
        <v>4.58</v>
      </c>
      <c r="D641" s="164">
        <v>1.9</v>
      </c>
      <c r="E641" s="164">
        <f t="shared" si="55"/>
        <v>4.1219999999999999</v>
      </c>
      <c r="F641" s="197">
        <f>SUM($E$2:E641)/SUM($C$2:C641)</f>
        <v>4.6414123335115222E-2</v>
      </c>
      <c r="G641" s="164">
        <f t="shared" si="56"/>
        <v>59.903460000000017</v>
      </c>
      <c r="H641" s="485" t="s">
        <v>37</v>
      </c>
      <c r="I641" s="2"/>
      <c r="J641" s="2"/>
      <c r="K641" s="2"/>
      <c r="L641" s="2"/>
      <c r="O641" s="58"/>
      <c r="P641" s="58"/>
    </row>
    <row r="642" spans="2:16">
      <c r="B642" s="587"/>
      <c r="C642" s="491">
        <v>4.58</v>
      </c>
      <c r="D642" s="257"/>
      <c r="E642" s="257">
        <f t="shared" si="55"/>
        <v>-4.58</v>
      </c>
      <c r="F642" s="256">
        <f>SUM($E$2:E642)/SUM($C$2:C642)</f>
        <v>4.271389195574446E-2</v>
      </c>
      <c r="G642" s="257">
        <f t="shared" si="56"/>
        <v>55.323460000000019</v>
      </c>
      <c r="H642" s="492" t="s">
        <v>47</v>
      </c>
      <c r="I642" s="2"/>
      <c r="J642" s="2"/>
      <c r="K642" s="2"/>
      <c r="L642" s="2"/>
      <c r="O642" s="58"/>
      <c r="P642" s="58"/>
    </row>
    <row r="643" spans="2:16">
      <c r="B643" s="587"/>
      <c r="C643" s="491">
        <v>4.58</v>
      </c>
      <c r="D643" s="257"/>
      <c r="E643" s="257">
        <f t="shared" si="55"/>
        <v>-4.58</v>
      </c>
      <c r="F643" s="256">
        <f>SUM($E$2:E643)/SUM($C$2:C643)</f>
        <v>3.9039737188314889E-2</v>
      </c>
      <c r="G643" s="257">
        <f t="shared" si="56"/>
        <v>50.74346000000002</v>
      </c>
      <c r="H643" s="492" t="s">
        <v>28</v>
      </c>
      <c r="I643" s="2"/>
      <c r="J643" s="2"/>
      <c r="K643" s="2"/>
      <c r="L643" s="2"/>
      <c r="O643" s="58"/>
      <c r="P643" s="58"/>
    </row>
    <row r="644" spans="2:16">
      <c r="B644" s="587"/>
      <c r="C644" s="484">
        <v>4.58</v>
      </c>
      <c r="D644" s="164"/>
      <c r="E644" s="164">
        <f t="shared" si="55"/>
        <v>-4.58</v>
      </c>
      <c r="F644" s="197">
        <f>SUM($E$2:E644)/SUM($C$2:C644)</f>
        <v>3.5391384346465979E-2</v>
      </c>
      <c r="G644" s="164">
        <f t="shared" si="56"/>
        <v>46.163460000000022</v>
      </c>
      <c r="H644" s="485" t="s">
        <v>256</v>
      </c>
      <c r="I644" s="2"/>
      <c r="J644" s="2"/>
      <c r="K644" s="2"/>
      <c r="L644" s="2"/>
      <c r="O644" s="58"/>
      <c r="P644" s="58"/>
    </row>
    <row r="645" spans="2:16">
      <c r="B645" s="587"/>
      <c r="C645" s="491">
        <v>4.58</v>
      </c>
      <c r="D645" s="257"/>
      <c r="E645" s="257">
        <f t="shared" si="55"/>
        <v>-4.58</v>
      </c>
      <c r="F645" s="256">
        <f>SUM($E$2:E645)/SUM($C$2:C645)</f>
        <v>3.1768562588334048E-2</v>
      </c>
      <c r="G645" s="257">
        <f t="shared" si="56"/>
        <v>41.583460000000024</v>
      </c>
      <c r="H645" s="492" t="s">
        <v>257</v>
      </c>
      <c r="I645" s="2">
        <f>SUM(E640:E645)</f>
        <v>-4.1219999999999999</v>
      </c>
      <c r="L645" s="2">
        <f>I645/C645</f>
        <v>-0.89999999999999991</v>
      </c>
      <c r="O645" s="58"/>
      <c r="P645" s="58"/>
    </row>
    <row r="646" spans="2:16">
      <c r="B646" s="586">
        <v>46024</v>
      </c>
      <c r="C646" s="484">
        <v>2.2799999999999998</v>
      </c>
      <c r="D646" s="164">
        <v>1.91</v>
      </c>
      <c r="E646" s="164">
        <f t="shared" ref="E646:E663" si="57">(C646*D646)-C646</f>
        <v>2.0747999999999993</v>
      </c>
      <c r="F646" s="197">
        <f>SUM($E$2:E646)/SUM($C$2:C646)</f>
        <v>3.3295653699198346E-2</v>
      </c>
      <c r="G646" s="164">
        <f t="shared" ref="G646:G663" si="58">G645+E646</f>
        <v>43.65826000000002</v>
      </c>
      <c r="H646" s="485" t="s">
        <v>12</v>
      </c>
      <c r="I646" s="2"/>
      <c r="J646" s="2"/>
      <c r="K646" s="2"/>
      <c r="L646" s="2"/>
      <c r="O646" s="58"/>
      <c r="P646" s="58"/>
    </row>
    <row r="647" spans="2:16">
      <c r="B647" s="587"/>
      <c r="C647" s="484">
        <v>2.2799999999999998</v>
      </c>
      <c r="D647" s="164"/>
      <c r="E647" s="164">
        <f t="shared" si="57"/>
        <v>-2.2799999999999998</v>
      </c>
      <c r="F647" s="197">
        <f>SUM($E$2:E647)/SUM($C$2:C647)</f>
        <v>3.1502051754459318E-2</v>
      </c>
      <c r="G647" s="164">
        <f t="shared" si="58"/>
        <v>41.378260000000019</v>
      </c>
      <c r="H647" s="485" t="s">
        <v>28</v>
      </c>
      <c r="I647" s="2"/>
      <c r="J647" s="2"/>
      <c r="K647" s="2"/>
      <c r="L647" s="2"/>
      <c r="O647" s="58"/>
      <c r="P647" s="58"/>
    </row>
    <row r="648" spans="2:16">
      <c r="B648" s="587"/>
      <c r="C648" s="484">
        <v>2.2799999999999998</v>
      </c>
      <c r="D648" s="164"/>
      <c r="E648" s="164">
        <f t="shared" si="57"/>
        <v>-2.2799999999999998</v>
      </c>
      <c r="F648" s="197">
        <f>SUM($E$2:E648)/SUM($C$2:C648)</f>
        <v>2.9714665714133611E-2</v>
      </c>
      <c r="G648" s="164">
        <f t="shared" si="58"/>
        <v>39.098260000000018</v>
      </c>
      <c r="H648" s="485" t="s">
        <v>59</v>
      </c>
      <c r="I648" s="2"/>
      <c r="J648" s="2"/>
      <c r="K648" s="2"/>
      <c r="L648" s="2"/>
      <c r="O648" s="58"/>
      <c r="P648" s="58"/>
    </row>
    <row r="649" spans="2:16">
      <c r="B649" s="587"/>
      <c r="C649" s="484">
        <v>2.2799999999999998</v>
      </c>
      <c r="D649" s="164"/>
      <c r="E649" s="164">
        <f t="shared" si="57"/>
        <v>-2.2799999999999998</v>
      </c>
      <c r="F649" s="197">
        <f>SUM($E$2:E649)/SUM($C$2:C649)</f>
        <v>2.7933463321371303E-2</v>
      </c>
      <c r="G649" s="164">
        <f t="shared" si="58"/>
        <v>36.818260000000016</v>
      </c>
      <c r="H649" s="485" t="s">
        <v>14</v>
      </c>
      <c r="I649" s="2"/>
      <c r="J649" s="2"/>
      <c r="K649" s="2"/>
      <c r="L649" s="2"/>
      <c r="O649" s="58"/>
      <c r="P649" s="58"/>
    </row>
    <row r="650" spans="2:16">
      <c r="B650" s="587"/>
      <c r="C650" s="484">
        <v>2.2799999999999998</v>
      </c>
      <c r="D650" s="164"/>
      <c r="E650" s="164">
        <f t="shared" si="57"/>
        <v>-2.2799999999999998</v>
      </c>
      <c r="F650" s="197">
        <f>SUM($E$2:E650)/SUM($C$2:C650)</f>
        <v>2.6158412542128889E-2</v>
      </c>
      <c r="G650" s="164">
        <f t="shared" si="58"/>
        <v>34.538260000000015</v>
      </c>
      <c r="H650" s="485" t="s">
        <v>64</v>
      </c>
      <c r="I650" s="2"/>
      <c r="J650" s="2"/>
      <c r="K650" s="2"/>
      <c r="L650" s="2"/>
      <c r="O650" s="58"/>
      <c r="P650" s="58"/>
    </row>
    <row r="651" spans="2:16">
      <c r="B651" s="587"/>
      <c r="C651" s="484">
        <v>2.2799999999999998</v>
      </c>
      <c r="D651" s="164">
        <v>1</v>
      </c>
      <c r="E651" s="164">
        <f t="shared" si="57"/>
        <v>0</v>
      </c>
      <c r="F651" s="197">
        <f>SUM($E$2:E651)/SUM($C$2:C651)</f>
        <v>2.6113319673680382E-2</v>
      </c>
      <c r="G651" s="164">
        <f t="shared" si="58"/>
        <v>34.538260000000015</v>
      </c>
      <c r="H651" s="485" t="s">
        <v>52</v>
      </c>
      <c r="I651" s="2"/>
      <c r="J651" s="2"/>
      <c r="K651" s="2"/>
      <c r="L651" s="2"/>
      <c r="O651" s="58"/>
      <c r="P651" s="58"/>
    </row>
    <row r="652" spans="2:16">
      <c r="B652" s="587"/>
      <c r="C652" s="491">
        <v>2.2799999999999998</v>
      </c>
      <c r="D652" s="257">
        <v>1.9</v>
      </c>
      <c r="E652" s="257">
        <f t="shared" si="57"/>
        <v>2.052</v>
      </c>
      <c r="F652" s="256">
        <f>SUM($E$2:E652)/SUM($C$2:C652)</f>
        <v>2.7617166449041726E-2</v>
      </c>
      <c r="G652" s="257">
        <f t="shared" si="58"/>
        <v>36.590260000000015</v>
      </c>
      <c r="H652" s="492" t="s">
        <v>30</v>
      </c>
      <c r="I652" s="2"/>
      <c r="J652" s="2"/>
      <c r="K652" s="2"/>
      <c r="L652" s="2"/>
      <c r="O652" s="58"/>
      <c r="P652" s="58"/>
    </row>
    <row r="653" spans="2:16">
      <c r="B653" s="587"/>
      <c r="C653" s="484">
        <v>2.2799999999999998</v>
      </c>
      <c r="D653" s="164"/>
      <c r="E653" s="164">
        <f t="shared" si="57"/>
        <v>-2.2799999999999998</v>
      </c>
      <c r="F653" s="197">
        <f>SUM($E$2:E653)/SUM($C$2:C653)</f>
        <v>2.5851807201681662E-2</v>
      </c>
      <c r="G653" s="164">
        <f t="shared" si="58"/>
        <v>34.310260000000014</v>
      </c>
      <c r="H653" s="485" t="s">
        <v>60</v>
      </c>
      <c r="I653" s="2"/>
      <c r="J653" s="2"/>
      <c r="K653" s="2"/>
      <c r="L653" s="2"/>
      <c r="O653" s="58"/>
      <c r="P653" s="58"/>
    </row>
    <row r="654" spans="2:16">
      <c r="B654" s="587"/>
      <c r="C654" s="484">
        <v>2.2799999999999998</v>
      </c>
      <c r="D654" s="164">
        <v>1.98</v>
      </c>
      <c r="E654" s="164">
        <f t="shared" si="57"/>
        <v>2.2343999999999995</v>
      </c>
      <c r="F654" s="197">
        <f>SUM($E$2:E654)/SUM($C$2:C654)</f>
        <v>2.7488141891129456E-2</v>
      </c>
      <c r="G654" s="164">
        <f t="shared" si="58"/>
        <v>36.544660000000015</v>
      </c>
      <c r="H654" s="485" t="s">
        <v>11</v>
      </c>
      <c r="I654" s="2"/>
      <c r="J654" s="2"/>
      <c r="K654" s="2"/>
      <c r="L654" s="2"/>
      <c r="O654" s="58"/>
      <c r="P654" s="58"/>
    </row>
    <row r="655" spans="2:16">
      <c r="B655" s="587"/>
      <c r="C655" s="484">
        <v>2.2799999999999998</v>
      </c>
      <c r="D655" s="164"/>
      <c r="E655" s="164">
        <f t="shared" si="57"/>
        <v>-2.2799999999999998</v>
      </c>
      <c r="F655" s="197">
        <f>SUM($E$2:E655)/SUM($C$2:C655)</f>
        <v>2.5729048244790602E-2</v>
      </c>
      <c r="G655" s="164">
        <f t="shared" si="58"/>
        <v>34.264660000000013</v>
      </c>
      <c r="H655" s="485" t="s">
        <v>29</v>
      </c>
      <c r="I655" s="2"/>
      <c r="J655" s="2"/>
      <c r="K655" s="2"/>
      <c r="L655" s="2"/>
      <c r="O655" s="58"/>
      <c r="P655" s="58"/>
    </row>
    <row r="656" spans="2:16">
      <c r="B656" s="587"/>
      <c r="C656" s="484">
        <v>2.2799999999999998</v>
      </c>
      <c r="D656" s="164">
        <v>2</v>
      </c>
      <c r="E656" s="164">
        <f t="shared" si="57"/>
        <v>2.2799999999999998</v>
      </c>
      <c r="F656" s="197">
        <f>SUM($E$2:E656)/SUM($C$2:C656)</f>
        <v>2.7394181540145182E-2</v>
      </c>
      <c r="G656" s="164">
        <f t="shared" si="58"/>
        <v>36.544660000000015</v>
      </c>
      <c r="H656" s="485" t="s">
        <v>34</v>
      </c>
      <c r="I656" s="2"/>
      <c r="J656" s="2"/>
      <c r="K656" s="2"/>
      <c r="L656" s="2"/>
      <c r="O656" s="58"/>
      <c r="P656" s="58"/>
    </row>
    <row r="657" spans="2:16">
      <c r="B657" s="587"/>
      <c r="C657" s="484">
        <v>2.2799999999999998</v>
      </c>
      <c r="D657" s="164"/>
      <c r="E657" s="164">
        <f t="shared" si="57"/>
        <v>-2.2799999999999998</v>
      </c>
      <c r="F657" s="197">
        <f>SUM($E$2:E657)/SUM($C$2:C657)</f>
        <v>2.5641250907349259E-2</v>
      </c>
      <c r="G657" s="164">
        <f t="shared" si="58"/>
        <v>34.264660000000013</v>
      </c>
      <c r="H657" s="485" t="s">
        <v>13</v>
      </c>
      <c r="I657" s="2"/>
      <c r="J657" s="2"/>
      <c r="K657" s="2"/>
      <c r="L657" s="2"/>
      <c r="O657" s="58"/>
      <c r="P657" s="58"/>
    </row>
    <row r="658" spans="2:16">
      <c r="B658" s="587"/>
      <c r="C658" s="491">
        <v>2.2799999999999998</v>
      </c>
      <c r="D658" s="257"/>
      <c r="E658" s="257">
        <f t="shared" si="57"/>
        <v>-2.2799999999999998</v>
      </c>
      <c r="F658" s="256">
        <f>SUM($E$2:E658)/SUM($C$2:C658)</f>
        <v>2.3894291754756793E-2</v>
      </c>
      <c r="G658" s="257">
        <f t="shared" si="58"/>
        <v>31.984660000000012</v>
      </c>
      <c r="H658" s="492" t="s">
        <v>27</v>
      </c>
      <c r="I658" s="2"/>
      <c r="J658" s="2"/>
      <c r="K658" s="2"/>
      <c r="L658" s="2"/>
      <c r="O658" s="58"/>
      <c r="P658" s="58"/>
    </row>
    <row r="659" spans="2:16">
      <c r="B659" s="587"/>
      <c r="C659" s="484">
        <v>2.2799999999999998</v>
      </c>
      <c r="D659" s="164"/>
      <c r="E659" s="164">
        <f t="shared" si="57"/>
        <v>-2.2799999999999998</v>
      </c>
      <c r="F659" s="197">
        <f>SUM($E$2:E659)/SUM($C$2:C659)</f>
        <v>2.2153273620858026E-2</v>
      </c>
      <c r="G659" s="164">
        <f t="shared" si="58"/>
        <v>29.704660000000011</v>
      </c>
      <c r="H659" s="485" t="s">
        <v>258</v>
      </c>
      <c r="I659" s="2"/>
      <c r="J659" s="2"/>
      <c r="K659" s="2"/>
      <c r="L659" s="2"/>
      <c r="O659" s="58"/>
      <c r="P659" s="58"/>
    </row>
    <row r="660" spans="2:16">
      <c r="B660" s="587"/>
      <c r="C660" s="484">
        <v>2.2799999999999998</v>
      </c>
      <c r="D660" s="164"/>
      <c r="E660" s="164">
        <f t="shared" si="57"/>
        <v>-2.2799999999999998</v>
      </c>
      <c r="F660" s="197">
        <f>SUM($E$2:E660)/SUM($C$2:C660)</f>
        <v>2.0418166250977116E-2</v>
      </c>
      <c r="G660" s="164">
        <f t="shared" si="58"/>
        <v>27.42466000000001</v>
      </c>
      <c r="H660" s="485" t="s">
        <v>259</v>
      </c>
      <c r="I660" s="2"/>
      <c r="J660" s="2"/>
      <c r="K660" s="2"/>
      <c r="L660" s="2"/>
      <c r="O660" s="58"/>
      <c r="P660" s="58"/>
    </row>
    <row r="661" spans="2:16">
      <c r="B661" s="587"/>
      <c r="C661" s="484">
        <v>2.2799999999999998</v>
      </c>
      <c r="D661" s="164"/>
      <c r="E661" s="164">
        <f t="shared" si="57"/>
        <v>-2.2799999999999998</v>
      </c>
      <c r="F661" s="197">
        <f>SUM($E$2:E661)/SUM($C$2:C661)</f>
        <v>1.8688939595519587E-2</v>
      </c>
      <c r="G661" s="164">
        <f t="shared" si="58"/>
        <v>25.144660000000009</v>
      </c>
      <c r="H661" s="485" t="s">
        <v>260</v>
      </c>
      <c r="I661" s="2"/>
      <c r="J661" s="2"/>
      <c r="K661" s="2"/>
      <c r="L661" s="2"/>
      <c r="O661" s="58"/>
      <c r="P661" s="58"/>
    </row>
    <row r="662" spans="2:16">
      <c r="B662" s="587"/>
      <c r="C662" s="484">
        <v>2.2799999999999998</v>
      </c>
      <c r="D662" s="164"/>
      <c r="E662" s="164">
        <f t="shared" si="57"/>
        <v>-2.2799999999999998</v>
      </c>
      <c r="F662" s="197">
        <f>SUM($E$2:E662)/SUM($C$2:C662)</f>
        <v>1.6965563808237622E-2</v>
      </c>
      <c r="G662" s="164">
        <f t="shared" si="58"/>
        <v>22.864660000000008</v>
      </c>
      <c r="H662" s="485" t="s">
        <v>42</v>
      </c>
      <c r="I662" s="2"/>
      <c r="J662" s="2"/>
      <c r="K662" s="2"/>
      <c r="L662" s="2"/>
      <c r="O662" s="58"/>
      <c r="P662" s="58"/>
    </row>
    <row r="663" spans="2:16">
      <c r="B663" s="587"/>
      <c r="C663" s="491">
        <v>2.2799999999999998</v>
      </c>
      <c r="D663" s="257"/>
      <c r="E663" s="257">
        <f t="shared" si="57"/>
        <v>-2.2799999999999998</v>
      </c>
      <c r="F663" s="256">
        <f>SUM($E$2:E663)/SUM($C$2:C663)</f>
        <v>1.5248009244512873E-2</v>
      </c>
      <c r="G663" s="257">
        <f t="shared" si="58"/>
        <v>20.584660000000007</v>
      </c>
      <c r="H663" s="492" t="s">
        <v>136</v>
      </c>
      <c r="I663" s="2">
        <f>SUM(E646:E663)</f>
        <v>-20.998799999999999</v>
      </c>
      <c r="L663" s="2">
        <f>I663/C663</f>
        <v>-9.2100000000000009</v>
      </c>
      <c r="O663" s="58"/>
      <c r="P663" s="58"/>
    </row>
    <row r="664" spans="2:16">
      <c r="B664" s="586">
        <v>46025</v>
      </c>
      <c r="C664" s="484">
        <v>2.76</v>
      </c>
      <c r="D664" s="164">
        <v>1.93</v>
      </c>
      <c r="E664" s="164">
        <f t="shared" ref="E664:E677" si="59">(C664*D664)-C664</f>
        <v>2.5667999999999997</v>
      </c>
      <c r="F664" s="197">
        <f>SUM($E$2:E664)/SUM($C$2:C664)</f>
        <v>1.7114367030123766E-2</v>
      </c>
      <c r="G664" s="164">
        <f t="shared" ref="G664:G677" si="60">G663+E664</f>
        <v>23.151460000000007</v>
      </c>
      <c r="H664" s="485" t="s">
        <v>104</v>
      </c>
      <c r="I664" s="2"/>
      <c r="J664" s="2"/>
      <c r="K664" s="2"/>
      <c r="L664" s="2"/>
      <c r="O664" s="58"/>
      <c r="P664" s="58"/>
    </row>
    <row r="665" spans="2:16">
      <c r="B665" s="587"/>
      <c r="C665" s="484">
        <v>2.76</v>
      </c>
      <c r="D665" s="164">
        <v>1.9</v>
      </c>
      <c r="E665" s="164">
        <f t="shared" si="59"/>
        <v>2.484</v>
      </c>
      <c r="F665" s="197">
        <f>SUM($E$2:E665)/SUM($C$2:C665)</f>
        <v>1.8912040486606458E-2</v>
      </c>
      <c r="G665" s="164">
        <f t="shared" si="60"/>
        <v>25.635460000000009</v>
      </c>
      <c r="H665" s="485" t="s">
        <v>51</v>
      </c>
      <c r="I665" s="2"/>
      <c r="J665" s="2"/>
      <c r="K665" s="2"/>
      <c r="L665" s="2"/>
      <c r="O665" s="58"/>
      <c r="P665" s="58"/>
    </row>
    <row r="666" spans="2:16">
      <c r="B666" s="587"/>
      <c r="C666" s="484">
        <v>2.76</v>
      </c>
      <c r="D666" s="164">
        <v>1.92</v>
      </c>
      <c r="E666" s="164">
        <f t="shared" si="59"/>
        <v>2.5391999999999992</v>
      </c>
      <c r="F666" s="197">
        <f>SUM($E$2:E666)/SUM($C$2:C666)</f>
        <v>2.0743048142121898E-2</v>
      </c>
      <c r="G666" s="164">
        <f t="shared" si="60"/>
        <v>28.17466000000001</v>
      </c>
      <c r="H666" s="485" t="s">
        <v>52</v>
      </c>
      <c r="I666" s="2"/>
      <c r="J666" s="2"/>
      <c r="K666" s="2"/>
      <c r="L666" s="2"/>
      <c r="O666" s="58"/>
      <c r="P666" s="58"/>
    </row>
    <row r="667" spans="2:16">
      <c r="B667" s="587"/>
      <c r="C667" s="491">
        <v>2.76</v>
      </c>
      <c r="D667" s="257"/>
      <c r="E667" s="257">
        <f t="shared" si="59"/>
        <v>-2.76</v>
      </c>
      <c r="F667" s="256">
        <f>SUM($E$2:E667)/SUM($C$2:C667)</f>
        <v>1.867310786683609E-2</v>
      </c>
      <c r="G667" s="257">
        <f t="shared" si="60"/>
        <v>25.414660000000012</v>
      </c>
      <c r="H667" s="492" t="s">
        <v>47</v>
      </c>
      <c r="I667" s="2"/>
      <c r="J667" s="2"/>
      <c r="K667" s="2"/>
      <c r="L667" s="2"/>
      <c r="O667" s="58"/>
      <c r="P667" s="58"/>
    </row>
    <row r="668" spans="2:16">
      <c r="B668" s="587"/>
      <c r="C668" s="484">
        <v>2.76</v>
      </c>
      <c r="D668" s="164"/>
      <c r="E668" s="164">
        <f t="shared" si="59"/>
        <v>-2.76</v>
      </c>
      <c r="F668" s="197">
        <f>SUM($E$2:E668)/SUM($C$2:C668)</f>
        <v>1.6611545765843668E-2</v>
      </c>
      <c r="G668" s="164">
        <f t="shared" si="60"/>
        <v>22.654660000000014</v>
      </c>
      <c r="H668" s="485" t="s">
        <v>16</v>
      </c>
      <c r="I668" s="2"/>
      <c r="J668" s="2"/>
      <c r="K668" s="2"/>
      <c r="L668" s="2"/>
      <c r="O668" s="58"/>
      <c r="P668" s="58"/>
    </row>
    <row r="669" spans="2:16">
      <c r="B669" s="587"/>
      <c r="C669" s="484">
        <v>2.76</v>
      </c>
      <c r="D669" s="164">
        <v>1</v>
      </c>
      <c r="E669" s="164">
        <f t="shared" si="59"/>
        <v>0</v>
      </c>
      <c r="F669" s="197">
        <f>SUM($E$2:E669)/SUM($C$2:C669)</f>
        <v>1.657799568255822E-2</v>
      </c>
      <c r="G669" s="164">
        <f t="shared" si="60"/>
        <v>22.654660000000014</v>
      </c>
      <c r="H669" s="485" t="s">
        <v>29</v>
      </c>
      <c r="I669" s="2"/>
      <c r="J669" s="2"/>
      <c r="K669" s="2"/>
      <c r="L669" s="2"/>
      <c r="O669" s="58"/>
      <c r="P669" s="58"/>
    </row>
    <row r="670" spans="2:16">
      <c r="B670" s="587"/>
      <c r="C670" s="484">
        <v>2.76</v>
      </c>
      <c r="D670" s="164"/>
      <c r="E670" s="164">
        <f t="shared" si="59"/>
        <v>-2.76</v>
      </c>
      <c r="F670" s="197">
        <f>SUM($E$2:E670)/SUM($C$2:C670)</f>
        <v>1.4528967144036009E-2</v>
      </c>
      <c r="G670" s="164">
        <f t="shared" si="60"/>
        <v>19.894660000000016</v>
      </c>
      <c r="H670" s="485" t="s">
        <v>12</v>
      </c>
      <c r="I670" s="2"/>
      <c r="J670" s="2"/>
      <c r="K670" s="2"/>
      <c r="L670" s="2"/>
      <c r="O670" s="58"/>
      <c r="P670" s="58"/>
    </row>
    <row r="671" spans="2:16">
      <c r="B671" s="587"/>
      <c r="C671" s="484">
        <v>2.76</v>
      </c>
      <c r="D671" s="164"/>
      <c r="E671" s="164">
        <f t="shared" si="59"/>
        <v>-2.76</v>
      </c>
      <c r="F671" s="197">
        <f>SUM($E$2:E671)/SUM($C$2:C671)</f>
        <v>1.2488182089835037E-2</v>
      </c>
      <c r="G671" s="164">
        <f t="shared" si="60"/>
        <v>17.134660000000018</v>
      </c>
      <c r="H671" s="485" t="s">
        <v>17</v>
      </c>
      <c r="I671" s="2"/>
      <c r="J671" s="2"/>
      <c r="K671" s="2"/>
      <c r="L671" s="2"/>
      <c r="O671" s="58"/>
      <c r="P671" s="58"/>
    </row>
    <row r="672" spans="2:16">
      <c r="B672" s="587"/>
      <c r="C672" s="484">
        <v>2.76</v>
      </c>
      <c r="D672" s="164"/>
      <c r="E672" s="164">
        <f t="shared" si="59"/>
        <v>-2.76</v>
      </c>
      <c r="F672" s="197">
        <f>SUM($E$2:E672)/SUM($C$2:C672)</f>
        <v>1.0455590873053373E-2</v>
      </c>
      <c r="G672" s="164">
        <f t="shared" si="60"/>
        <v>14.374660000000018</v>
      </c>
      <c r="H672" s="485" t="s">
        <v>27</v>
      </c>
      <c r="I672" s="2"/>
      <c r="J672" s="2"/>
      <c r="K672" s="2"/>
      <c r="L672" s="2"/>
      <c r="O672" s="58"/>
      <c r="P672" s="58"/>
    </row>
    <row r="673" spans="2:16">
      <c r="B673" s="587"/>
      <c r="C673" s="491">
        <v>2.76</v>
      </c>
      <c r="D673" s="257">
        <v>1.9768339768339769</v>
      </c>
      <c r="E673" s="257">
        <f t="shared" si="59"/>
        <v>2.696061776061776</v>
      </c>
      <c r="F673" s="256">
        <f>SUM($E$2:E673)/SUM($C$2:C673)</f>
        <v>1.2391728871479712E-2</v>
      </c>
      <c r="G673" s="257">
        <f t="shared" si="60"/>
        <v>17.070721776061795</v>
      </c>
      <c r="H673" s="492" t="s">
        <v>18</v>
      </c>
      <c r="I673" s="2"/>
      <c r="J673" s="2"/>
      <c r="K673" s="2"/>
      <c r="L673" s="2"/>
      <c r="O673" s="58"/>
      <c r="P673" s="58"/>
    </row>
    <row r="674" spans="2:16">
      <c r="B674" s="587"/>
      <c r="C674" s="484">
        <v>2.76</v>
      </c>
      <c r="D674" s="164">
        <v>1.9650000000000001</v>
      </c>
      <c r="E674" s="164">
        <f t="shared" si="59"/>
        <v>2.6634000000000002</v>
      </c>
      <c r="F674" s="197">
        <f>SUM($E$2:E674)/SUM($C$2:C674)</f>
        <v>1.4296462329164145E-2</v>
      </c>
      <c r="G674" s="164">
        <f t="shared" si="60"/>
        <v>19.734121776061794</v>
      </c>
      <c r="H674" s="485" t="s">
        <v>261</v>
      </c>
      <c r="I674" s="2"/>
      <c r="J674" s="2"/>
      <c r="K674" s="2"/>
      <c r="L674" s="2"/>
      <c r="O674" s="58"/>
      <c r="P674" s="58"/>
    </row>
    <row r="675" spans="2:16">
      <c r="B675" s="587"/>
      <c r="C675" s="484">
        <v>2.76</v>
      </c>
      <c r="D675" s="164">
        <v>1.99</v>
      </c>
      <c r="E675" s="164">
        <f t="shared" si="59"/>
        <v>2.7324000000000002</v>
      </c>
      <c r="F675" s="197">
        <f>SUM($E$2:E675)/SUM($C$2:C675)</f>
        <v>1.6243481556826082E-2</v>
      </c>
      <c r="G675" s="164">
        <f t="shared" si="60"/>
        <v>22.466521776061796</v>
      </c>
      <c r="H675" s="485" t="s">
        <v>196</v>
      </c>
      <c r="I675" s="2"/>
      <c r="J675" s="2"/>
      <c r="K675" s="2"/>
      <c r="L675" s="2"/>
      <c r="O675" s="58"/>
      <c r="P675" s="58"/>
    </row>
    <row r="676" spans="2:16">
      <c r="B676" s="587"/>
      <c r="C676" s="484">
        <v>2.76</v>
      </c>
      <c r="D676" s="164"/>
      <c r="E676" s="164">
        <f t="shared" si="59"/>
        <v>-2.76</v>
      </c>
      <c r="F676" s="197">
        <f>SUM($E$2:E676)/SUM($C$2:C676)</f>
        <v>1.4219603408733671E-2</v>
      </c>
      <c r="G676" s="164">
        <f t="shared" si="60"/>
        <v>19.706521776061798</v>
      </c>
      <c r="H676" s="485" t="s">
        <v>262</v>
      </c>
      <c r="I676" s="2"/>
      <c r="J676" s="2"/>
      <c r="K676" s="2"/>
      <c r="L676" s="2"/>
      <c r="O676" s="58"/>
      <c r="P676" s="58"/>
    </row>
    <row r="677" spans="2:16">
      <c r="B677" s="587"/>
      <c r="C677" s="491">
        <v>2.76</v>
      </c>
      <c r="D677" s="257"/>
      <c r="E677" s="257">
        <f t="shared" si="59"/>
        <v>-2.76</v>
      </c>
      <c r="F677" s="256">
        <f>SUM($E$2:E677)/SUM($C$2:C677)</f>
        <v>1.2203770461578493E-2</v>
      </c>
      <c r="G677" s="257">
        <f t="shared" si="60"/>
        <v>16.9465217760618</v>
      </c>
      <c r="H677" s="492" t="s">
        <v>263</v>
      </c>
      <c r="I677" s="2">
        <f>SUM(E664:E677)</f>
        <v>-3.6381382239382232</v>
      </c>
      <c r="L677" s="2">
        <f>I677/C677</f>
        <v>-1.318166023166023</v>
      </c>
      <c r="O677" s="58"/>
      <c r="P677" s="58"/>
    </row>
    <row r="678" spans="2:16">
      <c r="B678" s="586">
        <v>46026</v>
      </c>
      <c r="C678" s="484">
        <v>2.74</v>
      </c>
      <c r="D678" s="164"/>
      <c r="E678" s="164">
        <f t="shared" ref="E678:E691" si="61">(C678*D678)-C678</f>
        <v>-2.74</v>
      </c>
      <c r="F678" s="197">
        <f>SUM($E$2:E678)/SUM($C$2:C678)</f>
        <v>1.0210455720665066E-2</v>
      </c>
      <c r="G678" s="164">
        <f t="shared" ref="G678:G691" si="62">G677+E678</f>
        <v>14.2065217760618</v>
      </c>
      <c r="H678" s="485" t="s">
        <v>97</v>
      </c>
      <c r="I678" s="2"/>
      <c r="J678" s="2"/>
      <c r="K678" s="2"/>
      <c r="L678" s="2"/>
      <c r="O678" s="58"/>
      <c r="P678" s="58"/>
    </row>
    <row r="679" spans="2:16">
      <c r="B679" s="587"/>
      <c r="C679" s="484">
        <v>2.74</v>
      </c>
      <c r="D679" s="164">
        <v>2</v>
      </c>
      <c r="E679" s="164">
        <f t="shared" si="61"/>
        <v>2.74</v>
      </c>
      <c r="F679" s="197">
        <f>SUM($E$2:E679)/SUM($C$2:C679)</f>
        <v>1.2155799596919715E-2</v>
      </c>
      <c r="G679" s="164">
        <f t="shared" si="62"/>
        <v>16.9465217760618</v>
      </c>
      <c r="H679" s="485" t="s">
        <v>60</v>
      </c>
      <c r="I679" s="2"/>
      <c r="J679" s="2"/>
      <c r="K679" s="2"/>
      <c r="L679" s="2"/>
      <c r="O679" s="58"/>
      <c r="P679" s="58"/>
    </row>
    <row r="680" spans="2:16">
      <c r="B680" s="587"/>
      <c r="C680" s="484">
        <v>2.74</v>
      </c>
      <c r="D680" s="164">
        <v>1.9</v>
      </c>
      <c r="E680" s="164">
        <f t="shared" si="61"/>
        <v>2.4660000000000002</v>
      </c>
      <c r="F680" s="197">
        <f>SUM($E$2:E680)/SUM($C$2:C680)</f>
        <v>1.389735603397769E-2</v>
      </c>
      <c r="G680" s="164">
        <f t="shared" si="62"/>
        <v>19.412521776061801</v>
      </c>
      <c r="H680" s="485" t="s">
        <v>59</v>
      </c>
      <c r="I680" s="2"/>
      <c r="J680" s="2"/>
      <c r="K680" s="2"/>
      <c r="L680" s="2"/>
      <c r="O680" s="58"/>
      <c r="P680" s="58"/>
    </row>
    <row r="681" spans="2:16">
      <c r="B681" s="587"/>
      <c r="C681" s="491">
        <v>2.74</v>
      </c>
      <c r="D681" s="257"/>
      <c r="E681" s="257">
        <f t="shared" si="61"/>
        <v>-2.74</v>
      </c>
      <c r="F681" s="256">
        <f>SUM($E$2:E681)/SUM($C$2:C681)</f>
        <v>1.1912432766782947E-2</v>
      </c>
      <c r="G681" s="257">
        <f t="shared" si="62"/>
        <v>16.672521776061799</v>
      </c>
      <c r="H681" s="492" t="s">
        <v>34</v>
      </c>
      <c r="I681" s="2"/>
      <c r="J681" s="2"/>
      <c r="K681" s="2"/>
      <c r="L681" s="2"/>
      <c r="O681" s="58"/>
      <c r="P681" s="58"/>
    </row>
    <row r="682" spans="2:16">
      <c r="B682" s="587"/>
      <c r="C682" s="484">
        <v>2.74</v>
      </c>
      <c r="D682" s="164">
        <v>2.1</v>
      </c>
      <c r="E682" s="164">
        <f t="shared" si="61"/>
        <v>3.0140000000000002</v>
      </c>
      <c r="F682" s="197">
        <f>SUM($E$2:E682)/SUM($C$2:C682)</f>
        <v>1.4038437297969617E-2</v>
      </c>
      <c r="G682" s="164">
        <f t="shared" si="62"/>
        <v>19.686521776061799</v>
      </c>
      <c r="H682" s="485" t="s">
        <v>64</v>
      </c>
      <c r="I682" s="2"/>
      <c r="J682" s="2"/>
      <c r="K682" s="2"/>
      <c r="L682" s="2"/>
      <c r="O682" s="58"/>
      <c r="P682" s="58"/>
    </row>
    <row r="683" spans="2:16">
      <c r="B683" s="587"/>
      <c r="C683" s="484">
        <v>2.74</v>
      </c>
      <c r="D683" s="164"/>
      <c r="E683" s="164">
        <f t="shared" si="61"/>
        <v>-2.74</v>
      </c>
      <c r="F683" s="197">
        <f>SUM($E$2:E683)/SUM($C$2:C683)</f>
        <v>1.2060980432335573E-2</v>
      </c>
      <c r="G683" s="164">
        <f t="shared" si="62"/>
        <v>16.9465217760618</v>
      </c>
      <c r="H683" s="485" t="s">
        <v>16</v>
      </c>
      <c r="I683" s="2"/>
      <c r="J683" s="2"/>
      <c r="K683" s="2"/>
      <c r="L683" s="2"/>
      <c r="O683" s="58"/>
      <c r="P683" s="58"/>
    </row>
    <row r="684" spans="2:16">
      <c r="B684" s="587"/>
      <c r="C684" s="484">
        <v>2.74</v>
      </c>
      <c r="D684" s="164">
        <v>1.99</v>
      </c>
      <c r="E684" s="164">
        <f t="shared" si="61"/>
        <v>2.7126000000000001</v>
      </c>
      <c r="F684" s="197">
        <f>SUM($E$2:E684)/SUM($C$2:C684)</f>
        <v>1.3964328834190506E-2</v>
      </c>
      <c r="G684" s="164">
        <f t="shared" si="62"/>
        <v>19.659121776061802</v>
      </c>
      <c r="H684" s="485" t="s">
        <v>11</v>
      </c>
      <c r="I684" s="2"/>
      <c r="J684" s="2"/>
      <c r="K684" s="2"/>
      <c r="L684" s="2"/>
      <c r="O684" s="58"/>
      <c r="P684" s="58"/>
    </row>
    <row r="685" spans="2:16">
      <c r="B685" s="587"/>
      <c r="C685" s="484">
        <v>2.74</v>
      </c>
      <c r="D685" s="531"/>
      <c r="E685" s="164">
        <f t="shared" si="61"/>
        <v>-2.74</v>
      </c>
      <c r="F685" s="197">
        <f>SUM($E$2:E685)/SUM($C$2:C685)</f>
        <v>1.1994698363093647E-2</v>
      </c>
      <c r="G685" s="164">
        <f t="shared" si="62"/>
        <v>16.9191217760618</v>
      </c>
      <c r="H685" s="485" t="s">
        <v>36</v>
      </c>
      <c r="I685" s="2"/>
      <c r="J685" s="2"/>
      <c r="K685" s="2"/>
      <c r="L685" s="2"/>
      <c r="O685" s="58"/>
      <c r="P685" s="58"/>
    </row>
    <row r="686" spans="2:16">
      <c r="B686" s="587"/>
      <c r="C686" s="491">
        <v>2.74</v>
      </c>
      <c r="D686" s="257"/>
      <c r="E686" s="257">
        <f t="shared" si="61"/>
        <v>-2.74</v>
      </c>
      <c r="F686" s="256">
        <f>SUM($E$2:E686)/SUM($C$2:C686)</f>
        <v>1.0032705089586534E-2</v>
      </c>
      <c r="G686" s="257">
        <f t="shared" si="62"/>
        <v>14.1791217760618</v>
      </c>
      <c r="H686" s="492" t="s">
        <v>38</v>
      </c>
      <c r="I686" s="2"/>
      <c r="J686" s="2"/>
      <c r="K686" s="2"/>
      <c r="L686" s="2"/>
      <c r="O686" s="58"/>
      <c r="P686" s="58"/>
    </row>
    <row r="687" spans="2:16">
      <c r="B687" s="587"/>
      <c r="C687" s="484">
        <v>2.74</v>
      </c>
      <c r="D687" s="164"/>
      <c r="E687" s="164">
        <f t="shared" si="61"/>
        <v>-2.74</v>
      </c>
      <c r="F687" s="197">
        <f>SUM($E$2:E687)/SUM($C$2:C687)</f>
        <v>8.0783046800292097E-3</v>
      </c>
      <c r="G687" s="164">
        <f t="shared" si="62"/>
        <v>11.4391217760618</v>
      </c>
      <c r="H687" s="485" t="s">
        <v>264</v>
      </c>
      <c r="I687" s="2"/>
      <c r="J687" s="2"/>
      <c r="K687" s="2"/>
      <c r="L687" s="2"/>
      <c r="O687" s="58"/>
      <c r="P687" s="58"/>
    </row>
    <row r="688" spans="2:16">
      <c r="B688" s="587"/>
      <c r="C688" s="484">
        <v>2.74</v>
      </c>
      <c r="D688" s="164">
        <v>1.99</v>
      </c>
      <c r="E688" s="164">
        <f t="shared" si="61"/>
        <v>2.7126000000000001</v>
      </c>
      <c r="F688" s="197">
        <f>SUM($E$2:E688)/SUM($C$2:C688)</f>
        <v>9.9746412569068649E-3</v>
      </c>
      <c r="G688" s="164">
        <f t="shared" si="62"/>
        <v>14.1517217760618</v>
      </c>
      <c r="H688" s="485" t="s">
        <v>265</v>
      </c>
      <c r="I688" s="2"/>
      <c r="J688" s="2"/>
      <c r="K688" s="2"/>
      <c r="L688" s="2"/>
      <c r="O688" s="58"/>
      <c r="P688" s="58"/>
    </row>
    <row r="689" spans="2:16">
      <c r="B689" s="587"/>
      <c r="C689" s="484">
        <v>2.74</v>
      </c>
      <c r="D689" s="164">
        <v>1.98</v>
      </c>
      <c r="E689" s="164">
        <f t="shared" si="61"/>
        <v>2.6852</v>
      </c>
      <c r="F689" s="197">
        <f>SUM($E$2:E689)/SUM($C$2:C689)</f>
        <v>1.1844392073261351E-2</v>
      </c>
      <c r="G689" s="164">
        <f t="shared" si="62"/>
        <v>16.8369217760618</v>
      </c>
      <c r="H689" s="485" t="s">
        <v>266</v>
      </c>
      <c r="I689" s="2"/>
      <c r="J689" s="2"/>
      <c r="K689" s="2"/>
      <c r="L689" s="2"/>
      <c r="O689" s="58"/>
      <c r="P689" s="58"/>
    </row>
    <row r="690" spans="2:16">
      <c r="B690" s="587"/>
      <c r="C690" s="484">
        <v>2.74</v>
      </c>
      <c r="D690" s="164">
        <v>1.97</v>
      </c>
      <c r="E690" s="164">
        <f t="shared" si="61"/>
        <v>2.6577999999999999</v>
      </c>
      <c r="F690" s="197">
        <f>SUM($E$2:E690)/SUM($C$2:C690)</f>
        <v>1.3687710567710541E-2</v>
      </c>
      <c r="G690" s="164">
        <f t="shared" si="62"/>
        <v>19.494721776061802</v>
      </c>
      <c r="H690" s="485" t="s">
        <v>267</v>
      </c>
      <c r="I690" s="2"/>
      <c r="J690" s="2"/>
      <c r="K690" s="2"/>
      <c r="L690" s="2"/>
      <c r="O690" s="58"/>
      <c r="P690" s="58"/>
    </row>
    <row r="691" spans="2:16">
      <c r="B691" s="587"/>
      <c r="C691" s="491">
        <v>2.74</v>
      </c>
      <c r="D691" s="257"/>
      <c r="E691" s="257">
        <f t="shared" si="61"/>
        <v>-2.74</v>
      </c>
      <c r="F691" s="256">
        <f>SUM($E$2:E691)/SUM($C$2:C691)</f>
        <v>1.1741302865515345E-2</v>
      </c>
      <c r="G691" s="257">
        <f t="shared" si="62"/>
        <v>16.7547217760618</v>
      </c>
      <c r="H691" s="492" t="s">
        <v>268</v>
      </c>
      <c r="I691" s="490">
        <f>SUM(E678:E691)</f>
        <v>-0.19180000000000064</v>
      </c>
      <c r="J691" s="490">
        <f>SUM(E595:E691)</f>
        <v>18.901421776061795</v>
      </c>
      <c r="L691" s="2">
        <f>I691/C691</f>
        <v>-7.0000000000000229E-2</v>
      </c>
      <c r="O691" s="58"/>
      <c r="P691" s="58"/>
    </row>
    <row r="692" spans="2:16">
      <c r="B692" s="586">
        <v>46027</v>
      </c>
      <c r="C692" s="484">
        <v>2.74</v>
      </c>
      <c r="D692" s="164"/>
      <c r="E692" s="164">
        <f t="shared" ref="E692:E701" si="63">(C692*D692)-C692</f>
        <v>-2.74</v>
      </c>
      <c r="F692" s="197">
        <f>SUM($E$2:E692)/SUM($C$2:C692)</f>
        <v>9.8023555329060392E-3</v>
      </c>
      <c r="G692" s="164">
        <f t="shared" ref="G692:G694" si="64">G691+E692</f>
        <v>14.014721776061799</v>
      </c>
      <c r="H692" s="485" t="s">
        <v>29</v>
      </c>
      <c r="I692" s="2"/>
      <c r="J692" s="2"/>
      <c r="K692" s="2"/>
      <c r="L692" s="2"/>
      <c r="O692" s="58"/>
      <c r="P692" s="58"/>
    </row>
    <row r="693" spans="2:16">
      <c r="B693" s="587"/>
      <c r="C693" s="484">
        <v>2.74</v>
      </c>
      <c r="D693" s="164"/>
      <c r="E693" s="164">
        <f t="shared" si="63"/>
        <v>-2.74</v>
      </c>
      <c r="F693" s="197">
        <f>SUM($E$2:E693)/SUM($C$2:C693)</f>
        <v>7.87082575974489E-3</v>
      </c>
      <c r="G693" s="164">
        <f t="shared" si="64"/>
        <v>11.274721776061799</v>
      </c>
      <c r="H693" s="485" t="s">
        <v>36</v>
      </c>
      <c r="I693" s="2"/>
      <c r="J693" s="2"/>
      <c r="K693" s="2"/>
      <c r="L693" s="2"/>
      <c r="O693" s="58"/>
      <c r="P693" s="58"/>
    </row>
    <row r="694" spans="2:16">
      <c r="B694" s="587"/>
      <c r="C694" s="491">
        <v>2.74</v>
      </c>
      <c r="D694" s="257">
        <v>1.9</v>
      </c>
      <c r="E694" s="257">
        <f t="shared" si="63"/>
        <v>2.4660000000000002</v>
      </c>
      <c r="F694" s="256">
        <f>SUM($E$2:E694)/SUM($C$2:C694)</f>
        <v>9.5740147964839678E-3</v>
      </c>
      <c r="G694" s="257">
        <f t="shared" si="64"/>
        <v>13.7407217760618</v>
      </c>
      <c r="H694" s="492" t="s">
        <v>15</v>
      </c>
      <c r="I694" s="2"/>
      <c r="J694" s="2"/>
      <c r="K694" s="2"/>
      <c r="L694" s="2"/>
      <c r="O694" s="58"/>
      <c r="P694" s="58"/>
    </row>
    <row r="695" spans="2:16">
      <c r="B695" s="587"/>
      <c r="C695" s="484">
        <v>2.74</v>
      </c>
      <c r="D695" s="164">
        <v>2.23</v>
      </c>
      <c r="E695" s="164">
        <f t="shared" si="63"/>
        <v>3.3702000000000005</v>
      </c>
      <c r="F695" s="197">
        <f>SUM($E$2:E695)/SUM($C$2:C695)</f>
        <v>1.1899524862520772E-2</v>
      </c>
      <c r="G695" s="164">
        <f t="shared" ref="G695:G701" si="65">G694+E695</f>
        <v>17.110921776061801</v>
      </c>
      <c r="H695" s="485" t="s">
        <v>18</v>
      </c>
      <c r="I695" s="2"/>
      <c r="J695" s="2"/>
      <c r="K695" s="2"/>
      <c r="L695" s="2"/>
      <c r="O695" s="58"/>
      <c r="P695" s="58"/>
    </row>
    <row r="696" spans="2:16">
      <c r="B696" s="587"/>
      <c r="C696" s="491">
        <v>2.74</v>
      </c>
      <c r="D696" s="257"/>
      <c r="E696" s="257">
        <f t="shared" si="63"/>
        <v>-2.74</v>
      </c>
      <c r="F696" s="256">
        <f>SUM($E$2:E696)/SUM($C$2:C696)</f>
        <v>9.9750270884518891E-3</v>
      </c>
      <c r="G696" s="257">
        <f t="shared" si="65"/>
        <v>14.370921776061801</v>
      </c>
      <c r="H696" s="492" t="s">
        <v>47</v>
      </c>
      <c r="I696" s="2"/>
      <c r="J696" s="2"/>
      <c r="K696" s="2"/>
      <c r="L696" s="2"/>
      <c r="O696" s="58"/>
      <c r="P696" s="58"/>
    </row>
    <row r="697" spans="2:16">
      <c r="B697" s="587"/>
      <c r="C697" s="484">
        <v>2.74</v>
      </c>
      <c r="D697" s="164"/>
      <c r="E697" s="164">
        <f t="shared" si="63"/>
        <v>-2.74</v>
      </c>
      <c r="F697" s="197">
        <f>SUM($E$2:E697)/SUM($C$2:C697)</f>
        <v>8.0578356941879842E-3</v>
      </c>
      <c r="G697" s="164">
        <f t="shared" si="65"/>
        <v>11.6309217760618</v>
      </c>
      <c r="H697" s="485" t="s">
        <v>269</v>
      </c>
      <c r="I697" s="2"/>
      <c r="J697" s="2"/>
      <c r="K697" s="2"/>
      <c r="L697" s="2"/>
      <c r="O697" s="58"/>
      <c r="P697" s="58"/>
    </row>
    <row r="698" spans="2:16">
      <c r="B698" s="587"/>
      <c r="C698" s="484">
        <v>2.74</v>
      </c>
      <c r="D698" s="164"/>
      <c r="E698" s="164">
        <f t="shared" si="63"/>
        <v>-2.74</v>
      </c>
      <c r="F698" s="197">
        <f>SUM($E$2:E698)/SUM($C$2:C698)</f>
        <v>6.1479091504192248E-3</v>
      </c>
      <c r="G698" s="164">
        <f t="shared" si="65"/>
        <v>8.8909217760618002</v>
      </c>
      <c r="H698" s="485" t="s">
        <v>153</v>
      </c>
      <c r="I698" s="2"/>
      <c r="J698" s="2"/>
      <c r="K698" s="2"/>
      <c r="L698" s="2"/>
      <c r="O698" s="58"/>
      <c r="P698" s="58"/>
    </row>
    <row r="699" spans="2:16">
      <c r="B699" s="587"/>
      <c r="C699" s="484">
        <v>2.74</v>
      </c>
      <c r="D699" s="164"/>
      <c r="E699" s="164">
        <f t="shared" si="63"/>
        <v>-2.74</v>
      </c>
      <c r="F699" s="197">
        <f>SUM($E$2:E699)/SUM($C$2:C699)</f>
        <v>4.2452062419762304E-3</v>
      </c>
      <c r="G699" s="164">
        <f t="shared" si="65"/>
        <v>6.1509217760618</v>
      </c>
      <c r="H699" s="485" t="s">
        <v>270</v>
      </c>
      <c r="I699" s="2"/>
      <c r="J699" s="2"/>
      <c r="K699" s="2"/>
      <c r="L699" s="2"/>
      <c r="O699" s="58"/>
      <c r="P699" s="58"/>
    </row>
    <row r="700" spans="2:16">
      <c r="B700" s="587"/>
      <c r="C700" s="484">
        <v>2.74</v>
      </c>
      <c r="D700" s="164">
        <v>1.98</v>
      </c>
      <c r="E700" s="164">
        <f t="shared" si="63"/>
        <v>2.6852</v>
      </c>
      <c r="F700" s="197">
        <f>SUM($E$2:E700)/SUM($C$2:C700)</f>
        <v>6.0869505569949856E-3</v>
      </c>
      <c r="G700" s="164">
        <f t="shared" si="65"/>
        <v>8.8361217760618</v>
      </c>
      <c r="H700" s="485" t="s">
        <v>271</v>
      </c>
      <c r="I700" s="2"/>
      <c r="J700" s="2"/>
      <c r="K700" s="2"/>
      <c r="L700" s="2"/>
      <c r="O700" s="58"/>
      <c r="P700" s="58"/>
    </row>
    <row r="701" spans="2:16">
      <c r="B701" s="587"/>
      <c r="C701" s="491">
        <v>2.74</v>
      </c>
      <c r="D701" s="257"/>
      <c r="E701" s="257">
        <f t="shared" si="63"/>
        <v>-2.74</v>
      </c>
      <c r="F701" s="256">
        <f>SUM($E$2:E701)/SUM($C$2:C701)</f>
        <v>4.1915316909919478E-3</v>
      </c>
      <c r="G701" s="257">
        <f t="shared" si="65"/>
        <v>6.0961217760617998</v>
      </c>
      <c r="H701" s="492" t="s">
        <v>272</v>
      </c>
      <c r="I701" s="2">
        <f>SUM(E692:E701)</f>
        <v>-10.6586</v>
      </c>
      <c r="L701" s="2">
        <f>I701/C701</f>
        <v>-3.8899999999999997</v>
      </c>
      <c r="O701" s="58"/>
      <c r="P701" s="58"/>
    </row>
    <row r="702" spans="2:16">
      <c r="B702" s="586">
        <v>46028</v>
      </c>
      <c r="C702" s="491">
        <v>3.6</v>
      </c>
      <c r="D702" s="257"/>
      <c r="E702" s="257">
        <f t="shared" ref="E702:E708" si="66">(C702*D702)-C702</f>
        <v>-3.6</v>
      </c>
      <c r="F702" s="256">
        <f>SUM($E$2:E702)/SUM($C$2:C702)</f>
        <v>1.7120294213690023E-3</v>
      </c>
      <c r="G702" s="257">
        <f t="shared" ref="G702:G708" si="67">G701+E702</f>
        <v>2.4961217760617997</v>
      </c>
      <c r="H702" s="492" t="s">
        <v>46</v>
      </c>
      <c r="I702" s="2"/>
      <c r="J702" s="2"/>
      <c r="K702" s="2"/>
      <c r="L702" s="2"/>
      <c r="O702" s="58"/>
      <c r="P702" s="58"/>
    </row>
    <row r="703" spans="2:16">
      <c r="B703" s="587"/>
      <c r="C703" s="484">
        <v>3.6</v>
      </c>
      <c r="D703" s="164">
        <v>3.46</v>
      </c>
      <c r="E703" s="164">
        <f t="shared" si="66"/>
        <v>8.8559999999999999</v>
      </c>
      <c r="F703" s="197">
        <f>SUM($E$2:E703)/SUM($C$2:C703)</f>
        <v>7.7669673274049248E-3</v>
      </c>
      <c r="G703" s="164">
        <f t="shared" si="67"/>
        <v>11.3521217760618</v>
      </c>
      <c r="H703" s="485" t="s">
        <v>11</v>
      </c>
      <c r="I703" s="2"/>
      <c r="J703" s="2"/>
      <c r="K703" s="2"/>
      <c r="L703" s="2"/>
      <c r="O703" s="58"/>
      <c r="P703" s="58"/>
    </row>
    <row r="704" spans="2:16">
      <c r="B704" s="587"/>
      <c r="C704" s="484">
        <v>3.6</v>
      </c>
      <c r="D704" s="164">
        <v>2.835</v>
      </c>
      <c r="E704" s="164">
        <f t="shared" si="66"/>
        <v>6.6059999999999999</v>
      </c>
      <c r="F704" s="197">
        <f>SUM($E$2:E704)/SUM($C$2:C704)</f>
        <v>1.2256514019384343E-2</v>
      </c>
      <c r="G704" s="164">
        <f t="shared" si="67"/>
        <v>17.958121776061802</v>
      </c>
      <c r="H704" s="485" t="s">
        <v>26</v>
      </c>
      <c r="I704" s="2"/>
      <c r="J704" s="2"/>
      <c r="K704" s="2"/>
      <c r="L704" s="2"/>
      <c r="O704" s="58"/>
      <c r="P704" s="58"/>
    </row>
    <row r="705" spans="2:16">
      <c r="B705" s="587"/>
      <c r="C705" s="484">
        <v>3.6</v>
      </c>
      <c r="D705" s="164"/>
      <c r="E705" s="164">
        <f t="shared" si="66"/>
        <v>-3.6</v>
      </c>
      <c r="F705" s="197">
        <f>SUM($E$2:E705)/SUM($C$2:C705)</f>
        <v>9.7754762600928361E-3</v>
      </c>
      <c r="G705" s="164">
        <f t="shared" si="67"/>
        <v>14.358121776061802</v>
      </c>
      <c r="H705" s="485" t="s">
        <v>13</v>
      </c>
      <c r="I705" s="2"/>
      <c r="J705" s="2"/>
      <c r="K705" s="2"/>
      <c r="L705" s="2"/>
      <c r="O705" s="58"/>
      <c r="P705" s="58"/>
    </row>
    <row r="706" spans="2:16">
      <c r="B706" s="587"/>
      <c r="C706" s="491">
        <v>3.6</v>
      </c>
      <c r="D706" s="257"/>
      <c r="E706" s="257">
        <f t="shared" si="66"/>
        <v>-3.6</v>
      </c>
      <c r="F706" s="256">
        <f>SUM($E$2:E706)/SUM($C$2:C706)</f>
        <v>7.3065707971812967E-3</v>
      </c>
      <c r="G706" s="257">
        <f t="shared" si="67"/>
        <v>10.758121776061802</v>
      </c>
      <c r="H706" s="492" t="s">
        <v>38</v>
      </c>
      <c r="I706" s="2"/>
      <c r="J706" s="2"/>
      <c r="K706" s="2"/>
      <c r="L706" s="2"/>
      <c r="O706" s="58"/>
      <c r="P706" s="58"/>
    </row>
    <row r="707" spans="2:16">
      <c r="B707" s="587"/>
      <c r="C707" s="484">
        <v>3.6</v>
      </c>
      <c r="D707" s="164"/>
      <c r="E707" s="164">
        <f t="shared" si="66"/>
        <v>-3.6</v>
      </c>
      <c r="F707" s="197">
        <f>SUM($E$2:E707)/SUM($C$2:C707)</f>
        <v>4.8497088571479354E-3</v>
      </c>
      <c r="G707" s="164">
        <f t="shared" si="67"/>
        <v>7.1581217760618028</v>
      </c>
      <c r="H707" s="485" t="s">
        <v>127</v>
      </c>
      <c r="O707" s="58"/>
      <c r="P707" s="58"/>
    </row>
    <row r="708" spans="2:16">
      <c r="B708" s="587"/>
      <c r="C708" s="491">
        <v>3.6</v>
      </c>
      <c r="D708" s="257"/>
      <c r="E708" s="257">
        <f t="shared" si="66"/>
        <v>-3.6</v>
      </c>
      <c r="F708" s="256">
        <f>SUM($E$2:E708)/SUM($C$2:C708)</f>
        <v>2.4048025304724907E-3</v>
      </c>
      <c r="G708" s="257">
        <f t="shared" si="67"/>
        <v>3.5581217760618027</v>
      </c>
      <c r="H708" s="492" t="s">
        <v>273</v>
      </c>
      <c r="I708" s="2">
        <f>SUM(E702:E708)</f>
        <v>-2.5379999999999994</v>
      </c>
      <c r="L708" s="2">
        <f>I708/C708</f>
        <v>-0.70499999999999985</v>
      </c>
      <c r="O708" s="58"/>
      <c r="P708" s="58"/>
    </row>
    <row r="709" spans="2:16">
      <c r="B709" s="586">
        <v>46029</v>
      </c>
      <c r="C709" s="484">
        <v>1.79</v>
      </c>
      <c r="D709" s="164"/>
      <c r="E709" s="164">
        <f t="shared" ref="E709:E720" si="68">(C709*D709)-C709</f>
        <v>-1.79</v>
      </c>
      <c r="F709" s="197">
        <f>SUM($E$2:E709)/SUM($C$2:C709)</f>
        <v>1.1935639579728344E-3</v>
      </c>
      <c r="G709" s="164">
        <f t="shared" ref="G709:G720" si="69">G708+E709</f>
        <v>1.7681217760618027</v>
      </c>
      <c r="H709" s="485" t="s">
        <v>25</v>
      </c>
      <c r="I709" s="2"/>
      <c r="J709" s="2"/>
      <c r="K709" s="2"/>
      <c r="L709" s="2"/>
      <c r="O709" s="58"/>
      <c r="P709" s="58"/>
    </row>
    <row r="710" spans="2:16">
      <c r="B710" s="587"/>
      <c r="C710" s="484">
        <v>1.79</v>
      </c>
      <c r="D710" s="164"/>
      <c r="E710" s="164">
        <f t="shared" si="68"/>
        <v>-1.79</v>
      </c>
      <c r="F710" s="197">
        <f>SUM($E$2:E710)/SUM($C$2:C710)</f>
        <v>-1.4750988718890837E-5</v>
      </c>
      <c r="G710" s="164">
        <f t="shared" si="69"/>
        <v>-2.1878223938197383E-2</v>
      </c>
      <c r="H710" s="485" t="s">
        <v>35</v>
      </c>
      <c r="I710" s="2"/>
      <c r="J710" s="2"/>
      <c r="K710" s="2"/>
      <c r="L710" s="2"/>
      <c r="O710" s="58"/>
      <c r="P710" s="58"/>
    </row>
    <row r="711" spans="2:16">
      <c r="B711" s="587"/>
      <c r="C711" s="484">
        <v>1.79</v>
      </c>
      <c r="D711" s="164">
        <v>2</v>
      </c>
      <c r="E711" s="164">
        <f t="shared" si="68"/>
        <v>1.79</v>
      </c>
      <c r="F711" s="197">
        <f>SUM($E$2:E711)/SUM($C$2:C711)</f>
        <v>1.1906864670171572E-3</v>
      </c>
      <c r="G711" s="164">
        <f t="shared" si="69"/>
        <v>1.7681217760618027</v>
      </c>
      <c r="H711" s="485" t="s">
        <v>59</v>
      </c>
      <c r="I711" s="2"/>
      <c r="J711" s="2"/>
      <c r="K711" s="2"/>
      <c r="L711" s="2"/>
      <c r="O711" s="58"/>
      <c r="P711" s="58"/>
    </row>
    <row r="712" spans="2:16">
      <c r="B712" s="587"/>
      <c r="C712" s="484">
        <v>1.79</v>
      </c>
      <c r="D712" s="164"/>
      <c r="E712" s="164">
        <f t="shared" si="68"/>
        <v>-1.79</v>
      </c>
      <c r="F712" s="197">
        <f>SUM($E$2:E712)/SUM($C$2:C712)</f>
        <v>-1.4715469270689304E-5</v>
      </c>
      <c r="G712" s="164">
        <f t="shared" si="69"/>
        <v>-2.1878223938197383E-2</v>
      </c>
      <c r="H712" s="485" t="s">
        <v>18</v>
      </c>
      <c r="I712" s="2"/>
      <c r="J712" s="2"/>
      <c r="K712" s="2"/>
      <c r="L712" s="2"/>
      <c r="O712" s="58"/>
      <c r="P712" s="58"/>
    </row>
    <row r="713" spans="2:16">
      <c r="B713" s="587"/>
      <c r="C713" s="484">
        <v>1.79</v>
      </c>
      <c r="D713" s="164">
        <v>3.4249999999999998</v>
      </c>
      <c r="E713" s="164">
        <f t="shared" si="68"/>
        <v>4.3407499999999999</v>
      </c>
      <c r="F713" s="197">
        <f>SUM($E$2:E713)/SUM($C$2:C713)</f>
        <v>2.9014146587003314E-3</v>
      </c>
      <c r="G713" s="164">
        <f t="shared" si="69"/>
        <v>4.3188717760618029</v>
      </c>
      <c r="H713" s="485" t="s">
        <v>47</v>
      </c>
      <c r="I713" s="2"/>
      <c r="J713" s="2"/>
      <c r="K713" s="2"/>
      <c r="L713" s="2"/>
      <c r="O713" s="58"/>
      <c r="P713" s="58"/>
    </row>
    <row r="714" spans="2:16">
      <c r="B714" s="587"/>
      <c r="C714" s="484">
        <v>1.79</v>
      </c>
      <c r="D714" s="164"/>
      <c r="E714" s="164">
        <f t="shared" si="68"/>
        <v>-1.79</v>
      </c>
      <c r="F714" s="197">
        <f>SUM($E$2:E714)/SUM($C$2:C714)</f>
        <v>1.6968535667011978E-3</v>
      </c>
      <c r="G714" s="164">
        <f t="shared" si="69"/>
        <v>2.5288717760618029</v>
      </c>
      <c r="H714" s="485" t="s">
        <v>10</v>
      </c>
      <c r="I714" s="2"/>
      <c r="J714" s="2"/>
      <c r="K714" s="2"/>
      <c r="L714" s="2"/>
      <c r="O714" s="58"/>
      <c r="P714" s="58"/>
    </row>
    <row r="715" spans="2:16">
      <c r="B715" s="587"/>
      <c r="C715" s="491">
        <v>1.79</v>
      </c>
      <c r="D715" s="257"/>
      <c r="E715" s="257">
        <f t="shared" si="68"/>
        <v>-1.79</v>
      </c>
      <c r="F715" s="256">
        <f>SUM($E$2:E715)/SUM($C$2:C715)</f>
        <v>4.951825430004295E-4</v>
      </c>
      <c r="G715" s="257">
        <f t="shared" si="69"/>
        <v>0.73887177606180288</v>
      </c>
      <c r="H715" s="492" t="s">
        <v>53</v>
      </c>
      <c r="I715" s="2"/>
      <c r="J715" s="2"/>
      <c r="K715" s="2"/>
      <c r="L715" s="2"/>
      <c r="O715" s="58"/>
      <c r="P715" s="58"/>
    </row>
    <row r="716" spans="2:16">
      <c r="B716" s="587"/>
      <c r="C716" s="484">
        <v>1.79</v>
      </c>
      <c r="D716" s="164">
        <v>2.1</v>
      </c>
      <c r="E716" s="164">
        <f t="shared" si="68"/>
        <v>1.9690000000000003</v>
      </c>
      <c r="F716" s="197">
        <f>SUM($E$2:E716)/SUM($C$2:C716)</f>
        <v>1.8126070352710646E-3</v>
      </c>
      <c r="G716" s="164">
        <f t="shared" si="69"/>
        <v>2.7078717760618032</v>
      </c>
      <c r="H716" s="485" t="s">
        <v>37</v>
      </c>
      <c r="I716" s="2"/>
      <c r="J716" s="2"/>
      <c r="K716" s="2"/>
      <c r="L716" s="2"/>
      <c r="O716" s="58"/>
      <c r="P716" s="58"/>
    </row>
    <row r="717" spans="2:16">
      <c r="B717" s="587"/>
      <c r="C717" s="491">
        <v>1.79</v>
      </c>
      <c r="D717" s="257">
        <v>1.99</v>
      </c>
      <c r="E717" s="257">
        <f t="shared" si="68"/>
        <v>1.7721</v>
      </c>
      <c r="F717" s="256">
        <f>SUM($E$2:E717)/SUM($C$2:C717)</f>
        <v>2.9952341887155122E-3</v>
      </c>
      <c r="G717" s="257">
        <f t="shared" si="69"/>
        <v>4.4799717760618032</v>
      </c>
      <c r="H717" s="492" t="s">
        <v>52</v>
      </c>
      <c r="I717" s="2"/>
      <c r="J717" s="2"/>
      <c r="K717" s="2"/>
      <c r="L717" s="2"/>
      <c r="O717" s="58"/>
      <c r="P717" s="58"/>
    </row>
    <row r="718" spans="2:16">
      <c r="B718" s="587"/>
      <c r="C718" s="484">
        <v>1.79</v>
      </c>
      <c r="D718" s="164"/>
      <c r="E718" s="164">
        <f t="shared" si="68"/>
        <v>-1.79</v>
      </c>
      <c r="F718" s="197">
        <f>SUM($E$2:E718)/SUM($C$2:C718)</f>
        <v>1.796320360110449E-3</v>
      </c>
      <c r="G718" s="164">
        <f t="shared" si="69"/>
        <v>2.6899717760618032</v>
      </c>
      <c r="H718" s="485" t="s">
        <v>28</v>
      </c>
      <c r="I718" s="2"/>
      <c r="J718" s="2"/>
      <c r="K718" s="2"/>
      <c r="L718" s="2"/>
      <c r="O718" s="58"/>
      <c r="P718" s="58"/>
    </row>
    <row r="719" spans="2:16">
      <c r="B719" s="587"/>
      <c r="C719" s="484">
        <v>1.79</v>
      </c>
      <c r="D719" s="164"/>
      <c r="E719" s="164">
        <f t="shared" si="68"/>
        <v>-1.79</v>
      </c>
      <c r="F719" s="197">
        <f>SUM($E$2:E719)/SUM($C$2:C719)</f>
        <v>6.0026931331159006E-4</v>
      </c>
      <c r="G719" s="164">
        <f t="shared" si="69"/>
        <v>0.89997177606180312</v>
      </c>
      <c r="H719" s="485" t="s">
        <v>26</v>
      </c>
      <c r="I719" s="2"/>
      <c r="J719" s="2"/>
      <c r="K719" s="2"/>
      <c r="L719" s="2"/>
      <c r="O719" s="58"/>
      <c r="P719" s="58"/>
    </row>
    <row r="720" spans="2:16">
      <c r="B720" s="591"/>
      <c r="C720" s="491">
        <v>1.79</v>
      </c>
      <c r="D720" s="257">
        <v>1.395</v>
      </c>
      <c r="E720" s="257">
        <f t="shared" si="68"/>
        <v>0.70705000000000018</v>
      </c>
      <c r="F720" s="256">
        <f>SUM($E$2:E720)/SUM($C$2:C720)</f>
        <v>1.0705841673351671E-3</v>
      </c>
      <c r="G720" s="257">
        <f t="shared" si="69"/>
        <v>1.6070217760618033</v>
      </c>
      <c r="H720" s="492" t="s">
        <v>27</v>
      </c>
      <c r="I720" s="2">
        <f>SUM(E709:E720)</f>
        <v>-1.9510999999999998</v>
      </c>
      <c r="L720" s="2">
        <f>I720/C720</f>
        <v>-1.0899999999999999</v>
      </c>
      <c r="O720" s="58"/>
      <c r="P720" s="58"/>
    </row>
    <row r="721" spans="2:16">
      <c r="B721" s="586">
        <v>46030</v>
      </c>
      <c r="C721" s="491">
        <v>5.36</v>
      </c>
      <c r="D721" s="257"/>
      <c r="E721" s="257">
        <f t="shared" ref="E721:E724" si="70">(C721*D721)-C721</f>
        <v>-5.36</v>
      </c>
      <c r="F721" s="256">
        <f>SUM($E$2:E721)/SUM($C$2:C721)</f>
        <v>-2.4913060838792295E-3</v>
      </c>
      <c r="G721" s="257">
        <f t="shared" ref="G721:G724" si="71">G720+E721</f>
        <v>-3.752978223938197</v>
      </c>
      <c r="H721" s="492" t="s">
        <v>60</v>
      </c>
      <c r="I721" s="2"/>
      <c r="J721" s="2"/>
      <c r="K721" s="2"/>
      <c r="L721" s="2"/>
      <c r="O721" s="58"/>
      <c r="P721" s="58"/>
    </row>
    <row r="722" spans="2:16">
      <c r="B722" s="587"/>
      <c r="C722" s="491">
        <v>5.36</v>
      </c>
      <c r="D722" s="257"/>
      <c r="E722" s="257">
        <f t="shared" si="70"/>
        <v>-5.36</v>
      </c>
      <c r="F722" s="256">
        <f>SUM($E$2:E722)/SUM($C$2:C722)</f>
        <v>-6.027939213738797E-3</v>
      </c>
      <c r="G722" s="257">
        <f t="shared" si="71"/>
        <v>-9.1129782239381978</v>
      </c>
      <c r="H722" s="492" t="s">
        <v>104</v>
      </c>
      <c r="I722" s="2"/>
      <c r="J722" s="2"/>
      <c r="K722" s="2"/>
      <c r="L722" s="2"/>
      <c r="O722" s="58"/>
      <c r="P722" s="58"/>
    </row>
    <row r="723" spans="2:16">
      <c r="B723" s="587"/>
      <c r="C723" s="484">
        <v>5.36</v>
      </c>
      <c r="D723" s="164">
        <v>2.57</v>
      </c>
      <c r="E723" s="164">
        <f t="shared" si="70"/>
        <v>8.4151999999999987</v>
      </c>
      <c r="F723" s="197">
        <f>SUM($E$2:E723)/SUM($C$2:C723)</f>
        <v>-4.5992698410717296E-4</v>
      </c>
      <c r="G723" s="164">
        <f t="shared" si="71"/>
        <v>-0.6977782239381991</v>
      </c>
      <c r="H723" s="485" t="s">
        <v>60</v>
      </c>
      <c r="I723" s="2"/>
      <c r="J723" s="2"/>
      <c r="K723" s="2"/>
      <c r="L723" s="2"/>
      <c r="O723" s="58"/>
      <c r="P723" s="58"/>
    </row>
    <row r="724" spans="2:16">
      <c r="B724" s="587"/>
      <c r="C724" s="491">
        <v>5.36</v>
      </c>
      <c r="D724" s="257">
        <v>2.66</v>
      </c>
      <c r="E724" s="257">
        <f t="shared" si="70"/>
        <v>8.8976000000000006</v>
      </c>
      <c r="F724" s="256">
        <f>SUM($E$2:E724)/SUM($C$2:C724)</f>
        <v>5.3857260550418604E-3</v>
      </c>
      <c r="G724" s="257">
        <f t="shared" si="71"/>
        <v>8.1998217760618015</v>
      </c>
      <c r="H724" s="492" t="s">
        <v>47</v>
      </c>
      <c r="I724" s="2">
        <f>SUM(E721:E724)</f>
        <v>6.5927999999999987</v>
      </c>
      <c r="L724" s="2">
        <f>I724/C724</f>
        <v>1.2299999999999998</v>
      </c>
      <c r="O724" s="58"/>
      <c r="P724" s="58"/>
    </row>
    <row r="725" spans="2:16">
      <c r="B725" s="586">
        <v>46031</v>
      </c>
      <c r="C725" s="484">
        <v>2.17</v>
      </c>
      <c r="D725" s="164">
        <v>2.2509999999999999</v>
      </c>
      <c r="E725" s="164">
        <f t="shared" ref="E725:E736" si="72">(C725*D725)-C725</f>
        <v>2.7146699999999999</v>
      </c>
      <c r="F725" s="197">
        <f>SUM($E$2:E725)/SUM($C$2:C725)</f>
        <v>7.1585459086902017E-3</v>
      </c>
      <c r="G725" s="164">
        <f t="shared" ref="G725:G736" si="73">G724+E725</f>
        <v>10.914491776061801</v>
      </c>
      <c r="H725" s="485" t="s">
        <v>25</v>
      </c>
      <c r="I725" s="2"/>
      <c r="J725" s="2"/>
      <c r="K725" s="2"/>
      <c r="L725" s="2"/>
      <c r="O725" s="58"/>
      <c r="P725" s="58"/>
    </row>
    <row r="726" spans="2:16">
      <c r="B726" s="587"/>
      <c r="C726" s="484">
        <v>2.17</v>
      </c>
      <c r="D726" s="164">
        <v>2.0139999999999998</v>
      </c>
      <c r="E726" s="164">
        <f t="shared" si="72"/>
        <v>2.2003799999999991</v>
      </c>
      <c r="F726" s="197">
        <f>SUM($E$2:E726)/SUM($C$2:C726)</f>
        <v>8.589495874553342E-3</v>
      </c>
      <c r="G726" s="164">
        <f t="shared" si="73"/>
        <v>13.114871776061801</v>
      </c>
      <c r="H726" s="485" t="s">
        <v>13</v>
      </c>
      <c r="I726" s="2"/>
      <c r="J726" s="2"/>
      <c r="K726" s="2"/>
      <c r="L726" s="2"/>
      <c r="O726" s="58"/>
      <c r="P726" s="58"/>
    </row>
    <row r="727" spans="2:16">
      <c r="B727" s="587"/>
      <c r="C727" s="484">
        <v>2.17</v>
      </c>
      <c r="D727" s="164">
        <v>2.1739999999999999</v>
      </c>
      <c r="E727" s="164">
        <f t="shared" si="72"/>
        <v>2.54758</v>
      </c>
      <c r="F727" s="197">
        <f>SUM($E$2:E727)/SUM($C$2:C727)</f>
        <v>1.0243457754680621E-2</v>
      </c>
      <c r="G727" s="164">
        <f t="shared" si="73"/>
        <v>15.662451776061801</v>
      </c>
      <c r="H727" s="485" t="s">
        <v>18</v>
      </c>
      <c r="I727" s="2"/>
      <c r="J727" s="2"/>
      <c r="K727" s="2"/>
      <c r="L727" s="2"/>
      <c r="O727" s="58"/>
      <c r="P727" s="58"/>
    </row>
    <row r="728" spans="2:16">
      <c r="B728" s="587"/>
      <c r="C728" s="484">
        <v>2.17</v>
      </c>
      <c r="D728" s="164"/>
      <c r="E728" s="164">
        <f t="shared" si="72"/>
        <v>-2.17</v>
      </c>
      <c r="F728" s="197">
        <f>SUM($E$2:E728)/SUM($C$2:C728)</f>
        <v>8.8117423546795418E-3</v>
      </c>
      <c r="G728" s="164">
        <f t="shared" si="73"/>
        <v>13.492451776061801</v>
      </c>
      <c r="H728" s="485" t="s">
        <v>38</v>
      </c>
      <c r="I728" s="2"/>
      <c r="J728" s="2"/>
      <c r="K728" s="2"/>
      <c r="L728" s="2"/>
      <c r="O728" s="58"/>
      <c r="P728" s="58"/>
    </row>
    <row r="729" spans="2:16">
      <c r="B729" s="587"/>
      <c r="C729" s="484">
        <v>2.17</v>
      </c>
      <c r="D729" s="164"/>
      <c r="E729" s="164">
        <f t="shared" si="72"/>
        <v>-2.17</v>
      </c>
      <c r="F729" s="197">
        <f>SUM($E$2:E729)/SUM($C$2:C729)</f>
        <v>7.3840792612705252E-3</v>
      </c>
      <c r="G729" s="164">
        <f t="shared" si="73"/>
        <v>11.322451776061801</v>
      </c>
      <c r="H729" s="485" t="s">
        <v>53</v>
      </c>
      <c r="I729" s="2"/>
      <c r="J729" s="2"/>
      <c r="K729" s="2"/>
      <c r="L729" s="2"/>
      <c r="O729" s="58"/>
      <c r="P729" s="58"/>
    </row>
    <row r="730" spans="2:16">
      <c r="B730" s="587"/>
      <c r="C730" s="491">
        <v>2.17</v>
      </c>
      <c r="D730" s="257"/>
      <c r="E730" s="257">
        <f t="shared" si="72"/>
        <v>-2.17</v>
      </c>
      <c r="F730" s="256">
        <f>SUM($E$2:E730)/SUM($C$2:C730)</f>
        <v>5.9604512943816001E-3</v>
      </c>
      <c r="G730" s="257">
        <f t="shared" si="73"/>
        <v>9.1524517760618007</v>
      </c>
      <c r="H730" s="492" t="s">
        <v>34</v>
      </c>
      <c r="I730" s="2"/>
      <c r="J730" s="2"/>
      <c r="K730" s="2"/>
      <c r="L730" s="2"/>
      <c r="O730" s="58"/>
      <c r="P730" s="58"/>
    </row>
    <row r="731" spans="2:16">
      <c r="B731" s="587"/>
      <c r="C731" s="491">
        <v>2.17</v>
      </c>
      <c r="D731" s="257"/>
      <c r="E731" s="257">
        <f t="shared" si="72"/>
        <v>-2.17</v>
      </c>
      <c r="F731" s="256">
        <f>SUM($E$2:E731)/SUM($C$2:C731)</f>
        <v>4.5408413709187639E-3</v>
      </c>
      <c r="G731" s="257">
        <f t="shared" si="73"/>
        <v>6.9824517760618008</v>
      </c>
      <c r="H731" s="492" t="s">
        <v>26</v>
      </c>
      <c r="I731" s="2"/>
      <c r="J731" s="2"/>
      <c r="K731" s="2"/>
      <c r="L731" s="2"/>
      <c r="O731" s="58"/>
      <c r="P731" s="58"/>
    </row>
    <row r="732" spans="2:16">
      <c r="B732" s="587"/>
      <c r="C732" s="484">
        <v>2.17</v>
      </c>
      <c r="D732" s="164"/>
      <c r="E732" s="164">
        <f t="shared" si="72"/>
        <v>-2.17</v>
      </c>
      <c r="F732" s="197">
        <f>SUM($E$2:E732)/SUM($C$2:C732)</f>
        <v>3.1252325040826748E-3</v>
      </c>
      <c r="G732" s="164">
        <f t="shared" si="73"/>
        <v>4.8124517760618009</v>
      </c>
      <c r="H732" s="485" t="s">
        <v>25</v>
      </c>
      <c r="I732" s="2"/>
      <c r="J732" s="2"/>
      <c r="K732" s="2"/>
      <c r="L732" s="2"/>
      <c r="O732" s="58"/>
      <c r="P732" s="58"/>
    </row>
    <row r="733" spans="2:16">
      <c r="B733" s="587"/>
      <c r="C733" s="484">
        <v>2.17</v>
      </c>
      <c r="D733" s="164"/>
      <c r="E733" s="164">
        <f t="shared" si="72"/>
        <v>-2.17</v>
      </c>
      <c r="F733" s="197">
        <f>SUM($E$2:E733)/SUM($C$2:C733)</f>
        <v>1.7136078026911065E-3</v>
      </c>
      <c r="G733" s="164">
        <f t="shared" si="73"/>
        <v>2.6424517760618009</v>
      </c>
      <c r="H733" s="485" t="s">
        <v>64</v>
      </c>
      <c r="I733" s="2"/>
      <c r="J733" s="2"/>
      <c r="K733" s="2"/>
      <c r="L733" s="2"/>
      <c r="O733" s="58"/>
      <c r="P733" s="58"/>
    </row>
    <row r="734" spans="2:16">
      <c r="B734" s="587"/>
      <c r="C734" s="484">
        <v>2.17</v>
      </c>
      <c r="D734" s="164"/>
      <c r="E734" s="164">
        <f t="shared" si="72"/>
        <v>-2.17</v>
      </c>
      <c r="F734" s="197">
        <f>SUM($E$2:E734)/SUM($C$2:C734)</f>
        <v>3.0595047050711996E-4</v>
      </c>
      <c r="G734" s="164">
        <f t="shared" si="73"/>
        <v>0.472451776061801</v>
      </c>
      <c r="H734" s="485" t="s">
        <v>11</v>
      </c>
      <c r="I734" s="2"/>
      <c r="J734" s="2"/>
      <c r="K734" s="2"/>
      <c r="L734" s="2"/>
      <c r="O734" s="58"/>
      <c r="P734" s="58"/>
    </row>
    <row r="735" spans="2:16">
      <c r="B735" s="587"/>
      <c r="C735" s="484">
        <v>2.17</v>
      </c>
      <c r="D735" s="164"/>
      <c r="E735" s="164">
        <f t="shared" si="72"/>
        <v>-2.17</v>
      </c>
      <c r="F735" s="197">
        <f>SUM($E$2:E735)/SUM($C$2:C735)</f>
        <v>-1.0977561944271099E-3</v>
      </c>
      <c r="G735" s="164">
        <f t="shared" si="73"/>
        <v>-1.6975482239381989</v>
      </c>
      <c r="H735" s="485" t="s">
        <v>28</v>
      </c>
      <c r="I735" s="2"/>
      <c r="J735" s="2"/>
      <c r="K735" s="2"/>
      <c r="L735" s="2"/>
      <c r="O735" s="58"/>
      <c r="P735" s="58"/>
    </row>
    <row r="736" spans="2:16">
      <c r="B736" s="587"/>
      <c r="C736" s="491">
        <v>2.17</v>
      </c>
      <c r="D736" s="257">
        <v>1.99</v>
      </c>
      <c r="E736" s="257">
        <f t="shared" si="72"/>
        <v>2.1482999999999999</v>
      </c>
      <c r="F736" s="256">
        <f>SUM($E$2:E736)/SUM($C$2:C736)</f>
        <v>2.9107989800897596E-4</v>
      </c>
      <c r="G736" s="257">
        <f t="shared" si="73"/>
        <v>0.45075177606180095</v>
      </c>
      <c r="H736" s="492" t="s">
        <v>36</v>
      </c>
      <c r="I736" s="2">
        <f>SUM(E725:E736)</f>
        <v>-7.7490700000000006</v>
      </c>
      <c r="L736" s="2">
        <f>I736/C736</f>
        <v>-3.5710000000000002</v>
      </c>
      <c r="O736" s="58"/>
      <c r="P736" s="58"/>
    </row>
    <row r="737" spans="2:16">
      <c r="B737" s="586">
        <v>46032</v>
      </c>
      <c r="C737" s="484">
        <v>3.57</v>
      </c>
      <c r="D737" s="164">
        <v>2.1</v>
      </c>
      <c r="E737" s="164">
        <f t="shared" ref="E737:E744" si="74">(C737*D737)-C737</f>
        <v>3.927</v>
      </c>
      <c r="F737" s="197">
        <f>SUM($E$2:E737)/SUM($C$2:C737)</f>
        <v>2.8204982707920713E-3</v>
      </c>
      <c r="G737" s="164">
        <f t="shared" ref="G737:G744" si="75">G736+E737</f>
        <v>4.3777517760618014</v>
      </c>
      <c r="H737" s="485" t="s">
        <v>104</v>
      </c>
      <c r="I737" s="2"/>
      <c r="J737" s="2"/>
      <c r="K737" s="2"/>
      <c r="L737" s="2"/>
      <c r="O737" s="58"/>
      <c r="P737" s="58"/>
    </row>
    <row r="738" spans="2:16">
      <c r="B738" s="587"/>
      <c r="C738" s="484">
        <v>3.57</v>
      </c>
      <c r="D738" s="531"/>
      <c r="E738" s="164">
        <f t="shared" si="74"/>
        <v>-3.57</v>
      </c>
      <c r="F738" s="197">
        <f>SUM($E$2:E738)/SUM($C$2:C738)</f>
        <v>5.1922412309766052E-4</v>
      </c>
      <c r="G738" s="164">
        <f t="shared" si="75"/>
        <v>0.8077517760618016</v>
      </c>
      <c r="H738" s="485" t="s">
        <v>18</v>
      </c>
      <c r="I738" s="2"/>
      <c r="J738" s="2"/>
      <c r="K738" s="2"/>
      <c r="L738" s="2"/>
      <c r="O738" s="58"/>
      <c r="P738" s="58"/>
    </row>
    <row r="739" spans="2:16">
      <c r="B739" s="587"/>
      <c r="C739" s="491">
        <v>3.57</v>
      </c>
      <c r="D739" s="257"/>
      <c r="E739" s="257">
        <f t="shared" si="74"/>
        <v>-3.57</v>
      </c>
      <c r="F739" s="256">
        <f>SUM($E$2:E739)/SUM($C$2:C739)</f>
        <v>-1.771512271165932E-3</v>
      </c>
      <c r="G739" s="257">
        <f t="shared" si="75"/>
        <v>-2.7622482239381982</v>
      </c>
      <c r="H739" s="492" t="s">
        <v>17</v>
      </c>
      <c r="I739" s="2"/>
      <c r="J739" s="2"/>
      <c r="K739" s="2"/>
      <c r="L739" s="2"/>
      <c r="O739" s="58"/>
      <c r="P739" s="58"/>
    </row>
    <row r="740" spans="2:16">
      <c r="B740" s="587"/>
      <c r="C740" s="484">
        <v>3.57</v>
      </c>
      <c r="D740" s="531"/>
      <c r="E740" s="164">
        <f t="shared" si="74"/>
        <v>-3.57</v>
      </c>
      <c r="F740" s="197">
        <f>SUM($E$2:E740)/SUM($C$2:C740)</f>
        <v>-4.051783126724072E-3</v>
      </c>
      <c r="G740" s="164">
        <f t="shared" si="75"/>
        <v>-6.3322482239381976</v>
      </c>
      <c r="H740" s="485" t="s">
        <v>60</v>
      </c>
      <c r="I740" s="2"/>
      <c r="J740" s="2"/>
      <c r="K740" s="2"/>
      <c r="L740" s="2"/>
      <c r="O740" s="58"/>
      <c r="P740" s="58"/>
    </row>
    <row r="741" spans="2:16">
      <c r="B741" s="587"/>
      <c r="C741" s="491">
        <v>3.57</v>
      </c>
      <c r="D741" s="257"/>
      <c r="E741" s="257">
        <f t="shared" si="74"/>
        <v>-3.57</v>
      </c>
      <c r="F741" s="256">
        <f>SUM($E$2:E741)/SUM($C$2:C741)</f>
        <v>-6.3216599999605296E-3</v>
      </c>
      <c r="G741" s="257">
        <f t="shared" si="75"/>
        <v>-9.9022482239381979</v>
      </c>
      <c r="H741" s="492" t="s">
        <v>35</v>
      </c>
      <c r="I741" s="2"/>
      <c r="J741" s="2"/>
      <c r="K741" s="2"/>
      <c r="L741" s="2"/>
      <c r="O741" s="58"/>
      <c r="P741" s="58"/>
    </row>
    <row r="742" spans="2:16">
      <c r="B742" s="587"/>
      <c r="C742" s="484">
        <v>3.57</v>
      </c>
      <c r="D742" s="164"/>
      <c r="E742" s="164">
        <f t="shared" si="74"/>
        <v>-3.57</v>
      </c>
      <c r="F742" s="197">
        <f>SUM($E$2:E742)/SUM($C$2:C742)</f>
        <v>-8.5812137964025835E-3</v>
      </c>
      <c r="G742" s="164">
        <f t="shared" si="75"/>
        <v>-13.472248223938198</v>
      </c>
      <c r="H742" s="485" t="s">
        <v>104</v>
      </c>
      <c r="I742" s="2"/>
      <c r="J742" s="2"/>
      <c r="K742" s="2"/>
      <c r="L742" s="2"/>
      <c r="O742" s="58"/>
      <c r="P742" s="58"/>
    </row>
    <row r="743" spans="2:16">
      <c r="B743" s="587"/>
      <c r="C743" s="484">
        <v>3.57</v>
      </c>
      <c r="D743" s="164"/>
      <c r="E743" s="164">
        <f t="shared" si="74"/>
        <v>-3.57</v>
      </c>
      <c r="F743" s="197">
        <f>SUM($E$2:E743)/SUM($C$2:C743)</f>
        <v>-1.0830514778104247E-2</v>
      </c>
      <c r="G743" s="164">
        <f t="shared" si="75"/>
        <v>-17.042248223938198</v>
      </c>
      <c r="H743" s="485" t="s">
        <v>17</v>
      </c>
      <c r="I743" s="2"/>
      <c r="J743" s="2"/>
      <c r="K743" s="2"/>
      <c r="L743" s="2"/>
      <c r="O743" s="58"/>
      <c r="P743" s="58"/>
    </row>
    <row r="744" spans="2:16">
      <c r="B744" s="587"/>
      <c r="C744" s="491">
        <v>3.57</v>
      </c>
      <c r="D744" s="257"/>
      <c r="E744" s="257">
        <f t="shared" si="74"/>
        <v>-3.57</v>
      </c>
      <c r="F744" s="256">
        <f>SUM($E$2:E744)/SUM($C$2:C744)</f>
        <v>-1.3069632570929199E-2</v>
      </c>
      <c r="G744" s="257">
        <f t="shared" si="75"/>
        <v>-20.612248223938199</v>
      </c>
      <c r="H744" s="492" t="s">
        <v>47</v>
      </c>
      <c r="I744" s="2">
        <f>SUM(E737:E744)</f>
        <v>-21.062999999999999</v>
      </c>
      <c r="L744" s="2">
        <f>I744/C744</f>
        <v>-5.9</v>
      </c>
      <c r="O744" s="58"/>
      <c r="P744" s="58"/>
    </row>
    <row r="745" spans="2:16">
      <c r="B745" s="586">
        <v>46033</v>
      </c>
      <c r="C745" s="484">
        <v>2.0699999999999998</v>
      </c>
      <c r="D745" s="534">
        <v>1.99</v>
      </c>
      <c r="E745" s="164">
        <f t="shared" ref="E745:E756" si="76">(C745*D745)-C745</f>
        <v>2.0493000000000001</v>
      </c>
      <c r="F745" s="197">
        <f>SUM($E$2:E745)/SUM($C$2:C745)</f>
        <v>-1.1754802000999352E-2</v>
      </c>
      <c r="G745" s="164">
        <f t="shared" ref="G745:G756" si="77">G744+E745</f>
        <v>-18.5629482239382</v>
      </c>
      <c r="H745" s="485" t="s">
        <v>13</v>
      </c>
      <c r="I745" s="2"/>
      <c r="J745" s="2"/>
      <c r="K745" s="2"/>
      <c r="L745" s="2"/>
      <c r="O745" s="58"/>
      <c r="P745" s="58"/>
    </row>
    <row r="746" spans="2:16">
      <c r="B746" s="587"/>
      <c r="C746" s="484">
        <v>2.0699999999999998</v>
      </c>
      <c r="D746" s="164"/>
      <c r="E746" s="164">
        <f t="shared" si="76"/>
        <v>-2.0699999999999998</v>
      </c>
      <c r="F746" s="197">
        <f>SUM($E$2:E746)/SUM($C$2:C746)</f>
        <v>-1.3048504805652587E-2</v>
      </c>
      <c r="G746" s="164">
        <f t="shared" si="77"/>
        <v>-20.6329482239382</v>
      </c>
      <c r="H746" s="485" t="s">
        <v>28</v>
      </c>
      <c r="I746" s="2"/>
      <c r="J746" s="2"/>
      <c r="K746" s="2"/>
      <c r="L746" s="2"/>
      <c r="O746" s="58"/>
      <c r="P746" s="58"/>
    </row>
    <row r="747" spans="2:16">
      <c r="B747" s="587"/>
      <c r="C747" s="484">
        <v>2.0699999999999998</v>
      </c>
      <c r="D747" s="164">
        <v>2.0150000000000001</v>
      </c>
      <c r="E747" s="164">
        <f t="shared" si="76"/>
        <v>2.1010500000000003</v>
      </c>
      <c r="F747" s="197">
        <f>SUM($E$2:E747)/SUM($C$2:C747)</f>
        <v>-1.1704455336847989E-2</v>
      </c>
      <c r="G747" s="164">
        <f t="shared" si="77"/>
        <v>-18.5318982239382</v>
      </c>
      <c r="H747" s="485" t="s">
        <v>29</v>
      </c>
      <c r="I747" s="2"/>
      <c r="J747" s="2"/>
      <c r="K747" s="2"/>
      <c r="L747" s="2"/>
      <c r="O747" s="58"/>
      <c r="P747" s="58"/>
    </row>
    <row r="748" spans="2:16">
      <c r="B748" s="587"/>
      <c r="C748" s="484">
        <v>2.0699999999999998</v>
      </c>
      <c r="D748" s="164">
        <v>2.9249999999999998</v>
      </c>
      <c r="E748" s="164">
        <f t="shared" si="76"/>
        <v>3.9847499999999996</v>
      </c>
      <c r="F748" s="197">
        <f>SUM($E$2:E748)/SUM($C$2:C748)</f>
        <v>-9.1757537413117065E-3</v>
      </c>
      <c r="G748" s="164">
        <f t="shared" si="77"/>
        <v>-14.5471482239382</v>
      </c>
      <c r="H748" s="485" t="s">
        <v>14</v>
      </c>
      <c r="I748" s="2"/>
      <c r="J748" s="2"/>
      <c r="K748" s="2"/>
      <c r="L748" s="2"/>
      <c r="O748" s="58"/>
      <c r="P748" s="58"/>
    </row>
    <row r="749" spans="2:16">
      <c r="B749" s="587"/>
      <c r="C749" s="491">
        <v>2.0699999999999998</v>
      </c>
      <c r="D749" s="257"/>
      <c r="E749" s="257">
        <f t="shared" si="76"/>
        <v>-2.0699999999999998</v>
      </c>
      <c r="F749" s="256">
        <f>SUM($E$2:E749)/SUM($C$2:C749)</f>
        <v>-1.0467758698762906E-2</v>
      </c>
      <c r="G749" s="257">
        <f t="shared" si="77"/>
        <v>-16.617148223938198</v>
      </c>
      <c r="H749" s="492" t="s">
        <v>53</v>
      </c>
      <c r="I749" s="2"/>
      <c r="J749" s="2"/>
      <c r="K749" s="2"/>
      <c r="L749" s="2"/>
      <c r="O749" s="58"/>
      <c r="P749" s="58"/>
    </row>
    <row r="750" spans="2:16">
      <c r="B750" s="587"/>
      <c r="C750" s="491">
        <v>2.0699999999999998</v>
      </c>
      <c r="D750" s="257"/>
      <c r="E750" s="257">
        <f t="shared" si="76"/>
        <v>-2.0699999999999998</v>
      </c>
      <c r="F750" s="256">
        <f>SUM($E$2:E750)/SUM($C$2:C750)</f>
        <v>-1.1756398573124232E-2</v>
      </c>
      <c r="G750" s="257">
        <f t="shared" si="77"/>
        <v>-18.687148223938198</v>
      </c>
      <c r="H750" s="492" t="s">
        <v>30</v>
      </c>
      <c r="I750" s="2"/>
      <c r="J750" s="2"/>
      <c r="K750" s="2"/>
      <c r="L750" s="2"/>
      <c r="O750" s="58"/>
      <c r="P750" s="58"/>
    </row>
    <row r="751" spans="2:16">
      <c r="B751" s="587"/>
      <c r="C751" s="484">
        <v>2.0699999999999998</v>
      </c>
      <c r="D751" s="164"/>
      <c r="E751" s="164">
        <f t="shared" si="76"/>
        <v>-2.0699999999999998</v>
      </c>
      <c r="F751" s="197">
        <f>SUM($E$2:E751)/SUM($C$2:C751)</f>
        <v>-1.3041686494055137E-2</v>
      </c>
      <c r="G751" s="164">
        <f t="shared" si="77"/>
        <v>-20.757148223938199</v>
      </c>
      <c r="H751" s="485" t="s">
        <v>13</v>
      </c>
      <c r="I751" s="2"/>
      <c r="J751" s="2"/>
      <c r="K751" s="2"/>
      <c r="L751" s="2"/>
      <c r="O751" s="58"/>
      <c r="P751" s="58"/>
    </row>
    <row r="752" spans="2:16">
      <c r="B752" s="587"/>
      <c r="C752" s="484">
        <v>2.0699999999999998</v>
      </c>
      <c r="D752" s="164">
        <v>2.4750000000000001</v>
      </c>
      <c r="E752" s="164">
        <f t="shared" si="76"/>
        <v>3.0532499999999998</v>
      </c>
      <c r="F752" s="197">
        <f>SUM($E$2:E752)/SUM($C$2:C752)</f>
        <v>-1.1108885919881885E-2</v>
      </c>
      <c r="G752" s="164">
        <f>G751+E752</f>
        <v>-17.7038982239382</v>
      </c>
      <c r="H752" s="485" t="s">
        <v>25</v>
      </c>
      <c r="I752" s="2"/>
      <c r="J752" s="2"/>
      <c r="K752" s="2"/>
      <c r="L752" s="2"/>
      <c r="O752" s="58"/>
      <c r="P752" s="58"/>
    </row>
    <row r="753" spans="2:16">
      <c r="B753" s="587"/>
      <c r="C753" s="484">
        <v>2.0699999999999998</v>
      </c>
      <c r="D753" s="164"/>
      <c r="E753" s="164">
        <f t="shared" si="76"/>
        <v>-2.0699999999999998</v>
      </c>
      <c r="F753" s="197">
        <f>SUM($E$2:E753)/SUM($C$2:C753)</f>
        <v>-1.2391679235927006E-2</v>
      </c>
      <c r="G753" s="164">
        <f t="shared" si="77"/>
        <v>-19.7738982239382</v>
      </c>
      <c r="H753" s="485" t="s">
        <v>52</v>
      </c>
      <c r="I753" s="2"/>
      <c r="J753" s="2"/>
      <c r="K753" s="2"/>
      <c r="L753" s="2"/>
      <c r="O753" s="58"/>
      <c r="P753" s="58"/>
    </row>
    <row r="754" spans="2:16">
      <c r="B754" s="587"/>
      <c r="C754" s="484">
        <v>2.0699999999999998</v>
      </c>
      <c r="D754" s="164">
        <v>2.08</v>
      </c>
      <c r="E754" s="164">
        <f t="shared" si="76"/>
        <v>2.2356000000000003</v>
      </c>
      <c r="F754" s="197">
        <f>SUM($E$2:E754)/SUM($C$2:C754)</f>
        <v>-1.0976460420161449E-2</v>
      </c>
      <c r="G754" s="164">
        <f t="shared" si="77"/>
        <v>-17.538298223938199</v>
      </c>
      <c r="H754" s="485" t="s">
        <v>59</v>
      </c>
      <c r="I754" s="2"/>
      <c r="J754" s="2"/>
      <c r="K754" s="2"/>
      <c r="L754" s="2"/>
      <c r="O754" s="58"/>
      <c r="P754" s="58"/>
    </row>
    <row r="755" spans="2:16">
      <c r="B755" s="587"/>
      <c r="C755" s="484">
        <v>2.0699999999999998</v>
      </c>
      <c r="D755" s="164"/>
      <c r="E755" s="164">
        <f t="shared" si="76"/>
        <v>-2.0699999999999998</v>
      </c>
      <c r="F755" s="197">
        <f>SUM($E$2:E755)/SUM($C$2:C755)</f>
        <v>-1.2256105597881192E-2</v>
      </c>
      <c r="G755" s="164">
        <f t="shared" si="77"/>
        <v>-19.608298223938199</v>
      </c>
      <c r="H755" s="485" t="s">
        <v>27</v>
      </c>
      <c r="I755" s="2"/>
      <c r="J755" s="2"/>
      <c r="K755" s="2"/>
      <c r="L755" s="2"/>
      <c r="O755" s="58"/>
      <c r="P755" s="58"/>
    </row>
    <row r="756" spans="2:16">
      <c r="B756" s="591"/>
      <c r="C756" s="491">
        <v>2.0699999999999998</v>
      </c>
      <c r="D756" s="257">
        <v>5.5</v>
      </c>
      <c r="E756" s="257">
        <f t="shared" si="76"/>
        <v>9.3149999999999995</v>
      </c>
      <c r="F756" s="256">
        <f>SUM($E$2:E756)/SUM($C$2:C756)</f>
        <v>-6.4254803358021039E-3</v>
      </c>
      <c r="G756" s="257">
        <f t="shared" si="77"/>
        <v>-10.2932982239382</v>
      </c>
      <c r="H756" s="492" t="s">
        <v>38</v>
      </c>
      <c r="I756" s="490">
        <f>SUM(E745:E756)</f>
        <v>10.318950000000001</v>
      </c>
      <c r="J756" s="490">
        <f>SUM(E692:E756)</f>
        <v>-27.048020000000008</v>
      </c>
      <c r="L756" s="2">
        <f>I756/C756</f>
        <v>4.9850000000000012</v>
      </c>
      <c r="O756" s="58"/>
      <c r="P756" s="58"/>
    </row>
    <row r="757" spans="2:16">
      <c r="B757" s="587">
        <v>46034</v>
      </c>
      <c r="C757" s="491">
        <v>3.51</v>
      </c>
      <c r="D757" s="257">
        <v>2.145</v>
      </c>
      <c r="E757" s="257">
        <f t="shared" ref="E757:E763" si="78">(C757*D757)-C757</f>
        <v>4.0189500000000002</v>
      </c>
      <c r="F757" s="256">
        <f>SUM($E$2:E757)/SUM($C$2:C757)</f>
        <v>-3.9081311424377981E-3</v>
      </c>
      <c r="G757" s="257">
        <f t="shared" ref="G757:G763" si="79">G756+E757</f>
        <v>-6.2743482239381994</v>
      </c>
      <c r="H757" s="492" t="s">
        <v>46</v>
      </c>
      <c r="I757" s="2"/>
      <c r="J757" s="2"/>
      <c r="K757" s="2"/>
      <c r="L757" s="2"/>
      <c r="O757" s="58"/>
      <c r="P757" s="58"/>
    </row>
    <row r="758" spans="2:16">
      <c r="B758" s="587"/>
      <c r="C758" s="491">
        <v>3.51</v>
      </c>
      <c r="D758" s="257">
        <v>1.98</v>
      </c>
      <c r="E758" s="257">
        <f t="shared" si="78"/>
        <v>3.4398</v>
      </c>
      <c r="F758" s="256">
        <f>SUM($E$2:E758)/SUM($C$2:C758)</f>
        <v>-1.7617160195268987E-3</v>
      </c>
      <c r="G758" s="257">
        <f t="shared" si="79"/>
        <v>-2.8345482239381994</v>
      </c>
      <c r="H758" s="492" t="s">
        <v>274</v>
      </c>
      <c r="I758" s="2"/>
      <c r="J758" s="2"/>
      <c r="K758" s="2"/>
      <c r="L758" s="2"/>
      <c r="O758" s="58"/>
      <c r="P758" s="58"/>
    </row>
    <row r="759" spans="2:16">
      <c r="B759" s="587"/>
      <c r="C759" s="484">
        <v>3.51</v>
      </c>
      <c r="D759" s="164">
        <v>5.5</v>
      </c>
      <c r="E759" s="164">
        <f t="shared" si="78"/>
        <v>15.795</v>
      </c>
      <c r="F759" s="197">
        <f>SUM($E$2:E759)/SUM($C$2:C759)</f>
        <v>8.0375891645550809E-3</v>
      </c>
      <c r="G759" s="164">
        <f t="shared" si="79"/>
        <v>12.960451776061801</v>
      </c>
      <c r="H759" s="485" t="s">
        <v>47</v>
      </c>
      <c r="I759" s="2"/>
      <c r="J759" s="2"/>
      <c r="K759" s="2"/>
      <c r="L759" s="2"/>
      <c r="O759" s="58"/>
      <c r="P759" s="58"/>
    </row>
    <row r="760" spans="2:16">
      <c r="B760" s="587"/>
      <c r="C760" s="484">
        <v>3.51</v>
      </c>
      <c r="D760" s="164">
        <v>3.02</v>
      </c>
      <c r="E760" s="164">
        <f t="shared" si="78"/>
        <v>7.0901999999999994</v>
      </c>
      <c r="F760" s="197">
        <f>SUM($E$2:E760)/SUM($C$2:C760)</f>
        <v>1.2407658324656564E-2</v>
      </c>
      <c r="G760" s="164">
        <f t="shared" si="79"/>
        <v>20.050651776061798</v>
      </c>
      <c r="H760" s="485" t="s">
        <v>60</v>
      </c>
      <c r="I760" s="2"/>
      <c r="J760" s="2"/>
      <c r="K760" s="2"/>
      <c r="L760" s="2"/>
      <c r="O760" s="58"/>
      <c r="P760" s="58"/>
    </row>
    <row r="761" spans="2:16">
      <c r="B761" s="587"/>
      <c r="C761" s="484">
        <v>3.51</v>
      </c>
      <c r="D761" s="164"/>
      <c r="E761" s="164">
        <f t="shared" si="78"/>
        <v>-3.51</v>
      </c>
      <c r="F761" s="197">
        <f>SUM($E$2:E761)/SUM($C$2:C761)</f>
        <v>1.0213431167682476E-2</v>
      </c>
      <c r="G761" s="164">
        <f t="shared" si="79"/>
        <v>16.5406517760618</v>
      </c>
      <c r="H761" s="485" t="s">
        <v>25</v>
      </c>
      <c r="I761" s="2"/>
      <c r="J761" s="2"/>
      <c r="K761" s="2"/>
      <c r="L761" s="2"/>
      <c r="O761" s="58"/>
      <c r="P761" s="58"/>
    </row>
    <row r="762" spans="2:16">
      <c r="B762" s="587"/>
      <c r="C762" s="484">
        <v>3.51</v>
      </c>
      <c r="D762" s="164">
        <v>3.96</v>
      </c>
      <c r="E762" s="164">
        <f t="shared" si="78"/>
        <v>10.3896</v>
      </c>
      <c r="F762" s="197">
        <f>SUM($E$2:E762)/SUM($C$2:C762)</f>
        <v>1.659278240803307E-2</v>
      </c>
      <c r="G762" s="164">
        <f t="shared" si="79"/>
        <v>26.930251776061802</v>
      </c>
      <c r="H762" s="485" t="s">
        <v>38</v>
      </c>
      <c r="I762" s="2"/>
      <c r="J762" s="2"/>
      <c r="K762" s="2"/>
      <c r="L762" s="2"/>
      <c r="O762" s="58"/>
      <c r="P762" s="58"/>
    </row>
    <row r="763" spans="2:16">
      <c r="B763" s="587"/>
      <c r="C763" s="491">
        <v>3.51</v>
      </c>
      <c r="D763" s="257"/>
      <c r="E763" s="257">
        <f t="shared" si="78"/>
        <v>-3.51</v>
      </c>
      <c r="F763" s="256">
        <f>SUM($E$2:E763)/SUM($C$2:C763)</f>
        <v>1.4398994033926273E-2</v>
      </c>
      <c r="G763" s="257">
        <f t="shared" si="79"/>
        <v>23.420251776061804</v>
      </c>
      <c r="H763" s="492" t="s">
        <v>15</v>
      </c>
      <c r="I763" s="2">
        <f>SUM(E757:E763)</f>
        <v>33.713550000000005</v>
      </c>
      <c r="L763" s="2">
        <f>I763/C763</f>
        <v>9.6050000000000022</v>
      </c>
      <c r="O763" s="58"/>
      <c r="P763" s="58"/>
    </row>
    <row r="764" spans="2:16">
      <c r="B764" s="586">
        <v>46035</v>
      </c>
      <c r="C764" s="484">
        <v>3.17</v>
      </c>
      <c r="D764" s="164"/>
      <c r="E764" s="164">
        <f t="shared" ref="E764:E765" si="80">(C764*D764)-C764</f>
        <v>-3.17</v>
      </c>
      <c r="F764" s="197">
        <f>SUM($E$2:E764)/SUM($C$2:C764)</f>
        <v>1.2425830542042821E-2</v>
      </c>
      <c r="G764" s="164">
        <f t="shared" ref="G764:G765" si="81">G763+E764</f>
        <v>20.250251776061802</v>
      </c>
      <c r="H764" s="485" t="s">
        <v>13</v>
      </c>
      <c r="I764" s="2"/>
      <c r="J764" s="2"/>
      <c r="K764" s="2"/>
      <c r="L764" s="2"/>
      <c r="O764" s="58"/>
      <c r="P764" s="58"/>
    </row>
    <row r="765" spans="2:16">
      <c r="B765" s="587"/>
      <c r="C765" s="491">
        <v>3.17</v>
      </c>
      <c r="D765" s="257">
        <v>2.23</v>
      </c>
      <c r="E765" s="257">
        <f t="shared" si="80"/>
        <v>3.8990999999999998</v>
      </c>
      <c r="F765" s="256">
        <f>SUM($E$2:E765)/SUM($C$2:C765)</f>
        <v>1.4789603380609334E-2</v>
      </c>
      <c r="G765" s="257">
        <f t="shared" si="81"/>
        <v>24.149351776061803</v>
      </c>
      <c r="H765" s="492" t="s">
        <v>10</v>
      </c>
      <c r="I765" s="2">
        <f>SUM(E764:E765)</f>
        <v>0.72909999999999986</v>
      </c>
      <c r="L765" s="2">
        <f>I765/C765</f>
        <v>0.22999999999999995</v>
      </c>
      <c r="O765" s="58"/>
      <c r="P765" s="58"/>
    </row>
    <row r="766" spans="2:16">
      <c r="B766" s="586">
        <v>46036</v>
      </c>
      <c r="C766" s="484">
        <v>3.17</v>
      </c>
      <c r="D766" s="164">
        <v>1.91</v>
      </c>
      <c r="E766" s="164">
        <f t="shared" ref="E766:E774" si="82">(C766*D766)-C766</f>
        <v>2.8846999999999996</v>
      </c>
      <c r="F766" s="197">
        <f>SUM($E$2:E766)/SUM($C$2:C766)</f>
        <v>1.6524178515101649E-2</v>
      </c>
      <c r="G766" s="164">
        <f t="shared" ref="G766:G774" si="83">G765+E766</f>
        <v>27.034051776061801</v>
      </c>
      <c r="H766" s="485" t="s">
        <v>51</v>
      </c>
      <c r="I766" s="2"/>
      <c r="J766" s="2"/>
      <c r="K766" s="2"/>
      <c r="L766" s="2"/>
      <c r="O766" s="58"/>
      <c r="P766" s="58"/>
    </row>
    <row r="767" spans="2:16">
      <c r="B767" s="587"/>
      <c r="C767" s="484">
        <v>3.17</v>
      </c>
      <c r="D767" s="164"/>
      <c r="E767" s="164">
        <f t="shared" si="82"/>
        <v>-3.17</v>
      </c>
      <c r="F767" s="197">
        <f>SUM($E$2:E767)/SUM($C$2:C767)</f>
        <v>1.4558352718436892E-2</v>
      </c>
      <c r="G767" s="164">
        <f t="shared" si="83"/>
        <v>23.8640517760618</v>
      </c>
      <c r="H767" s="485" t="s">
        <v>35</v>
      </c>
      <c r="I767" s="2"/>
      <c r="J767" s="2"/>
      <c r="K767" s="2"/>
      <c r="L767" s="2"/>
      <c r="O767" s="58"/>
      <c r="P767" s="58"/>
    </row>
    <row r="768" spans="2:16">
      <c r="B768" s="587"/>
      <c r="C768" s="491">
        <v>3.17</v>
      </c>
      <c r="D768" s="536">
        <v>1.89</v>
      </c>
      <c r="E768" s="257">
        <f t="shared" si="82"/>
        <v>2.8212999999999999</v>
      </c>
      <c r="F768" s="256">
        <f>SUM($E$2:E768)/SUM($C$2:C768)</f>
        <v>1.6248075510428069E-2</v>
      </c>
      <c r="G768" s="257">
        <f t="shared" si="83"/>
        <v>26.6853517760618</v>
      </c>
      <c r="H768" s="492" t="s">
        <v>17</v>
      </c>
      <c r="I768" s="2"/>
      <c r="J768" s="2"/>
      <c r="K768" s="2"/>
      <c r="L768" s="2"/>
      <c r="O768" s="58"/>
      <c r="P768" s="58"/>
    </row>
    <row r="769" spans="2:16">
      <c r="B769" s="587"/>
      <c r="C769" s="484">
        <v>3.17</v>
      </c>
      <c r="D769" s="164"/>
      <c r="E769" s="164">
        <f t="shared" si="82"/>
        <v>-3.17</v>
      </c>
      <c r="F769" s="197">
        <f>SUM($E$2:E769)/SUM($C$2:C769)</f>
        <v>1.4290355613392413E-2</v>
      </c>
      <c r="G769" s="164">
        <f t="shared" si="83"/>
        <v>23.515351776061799</v>
      </c>
      <c r="H769" s="485" t="s">
        <v>275</v>
      </c>
      <c r="I769" s="2"/>
      <c r="J769" s="2"/>
      <c r="K769" s="2"/>
      <c r="L769" s="2"/>
      <c r="O769" s="58"/>
      <c r="P769" s="58"/>
    </row>
    <row r="770" spans="2:16">
      <c r="B770" s="587"/>
      <c r="C770" s="484">
        <v>3.17</v>
      </c>
      <c r="D770" s="164"/>
      <c r="E770" s="164">
        <f t="shared" si="82"/>
        <v>-3.17</v>
      </c>
      <c r="F770" s="197">
        <f>SUM($E$2:E770)/SUM($C$2:C770)</f>
        <v>1.2340163992492163E-2</v>
      </c>
      <c r="G770" s="164">
        <f t="shared" si="83"/>
        <v>20.345351776061797</v>
      </c>
      <c r="H770" s="485" t="s">
        <v>276</v>
      </c>
      <c r="I770" s="2"/>
      <c r="J770" s="2"/>
      <c r="K770" s="2"/>
      <c r="L770" s="2"/>
      <c r="O770" s="58"/>
      <c r="P770" s="58"/>
    </row>
    <row r="771" spans="2:16">
      <c r="B771" s="587"/>
      <c r="C771" s="491">
        <v>3.17</v>
      </c>
      <c r="D771" s="257"/>
      <c r="E771" s="257">
        <f t="shared" si="82"/>
        <v>-3.17</v>
      </c>
      <c r="F771" s="256">
        <f>SUM($E$2:E771)/SUM($C$2:C771)</f>
        <v>1.0397457306863549E-2</v>
      </c>
      <c r="G771" s="257">
        <f t="shared" si="83"/>
        <v>17.175351776061795</v>
      </c>
      <c r="H771" s="492" t="s">
        <v>277</v>
      </c>
      <c r="I771" s="2"/>
      <c r="J771" s="2"/>
      <c r="K771" s="2"/>
      <c r="L771" s="2"/>
      <c r="O771" s="58"/>
      <c r="P771" s="58"/>
    </row>
    <row r="772" spans="2:16">
      <c r="B772" s="587"/>
      <c r="C772" s="484">
        <v>3.17</v>
      </c>
      <c r="D772" s="164">
        <v>2.08</v>
      </c>
      <c r="E772" s="164">
        <f t="shared" si="82"/>
        <v>3.4236000000000004</v>
      </c>
      <c r="F772" s="197">
        <f>SUM($E$2:E772)/SUM($C$2:C772)</f>
        <v>1.2446120525701187E-2</v>
      </c>
      <c r="G772" s="164">
        <f t="shared" si="83"/>
        <v>20.598951776061796</v>
      </c>
      <c r="H772" s="485" t="s">
        <v>13</v>
      </c>
      <c r="I772" s="2"/>
      <c r="J772" s="2"/>
      <c r="K772" s="2"/>
      <c r="L772" s="2"/>
      <c r="O772" s="58"/>
      <c r="P772" s="58"/>
    </row>
    <row r="773" spans="2:16">
      <c r="B773" s="587"/>
      <c r="C773" s="484">
        <v>3.17</v>
      </c>
      <c r="D773" s="537">
        <v>1.97</v>
      </c>
      <c r="E773" s="164">
        <f t="shared" si="82"/>
        <v>3.0748999999999995</v>
      </c>
      <c r="F773" s="197">
        <f>SUM($E$2:E773)/SUM($C$2:C773)</f>
        <v>1.4276665204895456E-2</v>
      </c>
      <c r="G773" s="164">
        <f t="shared" si="83"/>
        <v>23.673851776061795</v>
      </c>
      <c r="H773" s="485" t="s">
        <v>59</v>
      </c>
      <c r="I773" s="2"/>
      <c r="J773" s="2"/>
      <c r="K773" s="2"/>
      <c r="L773" s="2"/>
      <c r="O773" s="58"/>
      <c r="P773" s="58"/>
    </row>
    <row r="774" spans="2:16">
      <c r="B774" s="587"/>
      <c r="C774" s="491">
        <v>3.17</v>
      </c>
      <c r="D774" s="536">
        <v>4.82</v>
      </c>
      <c r="E774" s="257">
        <f t="shared" si="82"/>
        <v>12.109400000000001</v>
      </c>
      <c r="F774" s="256">
        <f>SUM($E$2:E774)/SUM($C$2:C774)</f>
        <v>2.1538140819471478E-2</v>
      </c>
      <c r="G774" s="257">
        <f t="shared" si="83"/>
        <v>35.783251776061796</v>
      </c>
      <c r="H774" s="492" t="s">
        <v>38</v>
      </c>
      <c r="I774" s="2">
        <f>SUM(E766:E774)</f>
        <v>11.633900000000001</v>
      </c>
      <c r="L774" s="2">
        <f>I774/C774</f>
        <v>3.6700000000000004</v>
      </c>
      <c r="O774" s="58"/>
      <c r="P774" s="58"/>
    </row>
    <row r="775" spans="2:16">
      <c r="B775" s="586">
        <v>46037</v>
      </c>
      <c r="C775" s="484">
        <v>2.5099999999999998</v>
      </c>
      <c r="D775" s="164"/>
      <c r="E775" s="164">
        <f t="shared" ref="E775:E784" si="84">(C775*D775)-C775</f>
        <v>-2.5099999999999998</v>
      </c>
      <c r="F775" s="197">
        <f>SUM($E$2:E775)/SUM($C$2:C775)</f>
        <v>1.9997146328542416E-2</v>
      </c>
      <c r="G775" s="164">
        <f t="shared" ref="G775:G784" si="85">G774+E775</f>
        <v>33.273251776061798</v>
      </c>
      <c r="H775" s="485" t="s">
        <v>64</v>
      </c>
      <c r="I775" s="2"/>
      <c r="J775" s="2"/>
      <c r="K775" s="2"/>
      <c r="L775" s="2"/>
      <c r="O775" s="58"/>
      <c r="P775" s="58"/>
    </row>
    <row r="776" spans="2:16">
      <c r="B776" s="587"/>
      <c r="C776" s="484">
        <v>2.5099999999999998</v>
      </c>
      <c r="D776" s="537">
        <v>1.92</v>
      </c>
      <c r="E776" s="164">
        <f t="shared" si="84"/>
        <v>2.3091999999999997</v>
      </c>
      <c r="F776" s="197">
        <f>SUM($E$2:E776)/SUM($C$2:C776)</f>
        <v>2.1352759390583179E-2</v>
      </c>
      <c r="G776" s="164">
        <f t="shared" si="85"/>
        <v>35.582451776061795</v>
      </c>
      <c r="H776" s="485" t="s">
        <v>16</v>
      </c>
      <c r="I776" s="2"/>
      <c r="J776" s="2"/>
      <c r="K776" s="2"/>
      <c r="L776" s="2"/>
      <c r="O776" s="58"/>
      <c r="P776" s="58"/>
    </row>
    <row r="777" spans="2:16">
      <c r="B777" s="587"/>
      <c r="C777" s="484">
        <v>2.5099999999999998</v>
      </c>
      <c r="D777" s="537"/>
      <c r="E777" s="164">
        <f t="shared" si="84"/>
        <v>-2.5099999999999998</v>
      </c>
      <c r="F777" s="197">
        <f>SUM($E$2:E777)/SUM($C$2:C777)</f>
        <v>1.9816678915742951E-2</v>
      </c>
      <c r="G777" s="164">
        <f t="shared" si="85"/>
        <v>33.072451776061797</v>
      </c>
      <c r="H777" s="485" t="s">
        <v>12</v>
      </c>
      <c r="I777" s="2"/>
      <c r="J777" s="2"/>
      <c r="K777" s="2"/>
      <c r="L777" s="2"/>
      <c r="O777" s="58"/>
      <c r="P777" s="58"/>
    </row>
    <row r="778" spans="2:16">
      <c r="B778" s="587"/>
      <c r="C778" s="491">
        <v>2.5099999999999998</v>
      </c>
      <c r="D778" s="536"/>
      <c r="E778" s="257">
        <f t="shared" si="84"/>
        <v>-2.5099999999999998</v>
      </c>
      <c r="F778" s="256">
        <f>SUM($E$2:E778)/SUM($C$2:C778)</f>
        <v>1.8285211929941265E-2</v>
      </c>
      <c r="G778" s="257">
        <f t="shared" si="85"/>
        <v>30.562451776061799</v>
      </c>
      <c r="H778" s="492" t="s">
        <v>52</v>
      </c>
      <c r="I778" s="2"/>
      <c r="J778" s="2"/>
      <c r="K778" s="2"/>
      <c r="L778" s="2"/>
      <c r="O778" s="58"/>
      <c r="P778" s="58"/>
    </row>
    <row r="779" spans="2:16">
      <c r="B779" s="587"/>
      <c r="C779" s="484">
        <v>2.5099999999999998</v>
      </c>
      <c r="D779" s="537">
        <v>1.89</v>
      </c>
      <c r="E779" s="164">
        <f t="shared" si="84"/>
        <v>2.2338999999999993</v>
      </c>
      <c r="F779" s="197">
        <f>SUM($E$2:E779)/SUM($C$2:C779)</f>
        <v>1.9592310223820283E-2</v>
      </c>
      <c r="G779" s="164">
        <f t="shared" si="85"/>
        <v>32.796351776061798</v>
      </c>
      <c r="H779" s="485" t="s">
        <v>278</v>
      </c>
      <c r="I779" s="2"/>
      <c r="J779" s="2"/>
      <c r="K779" s="2"/>
      <c r="L779" s="2"/>
      <c r="O779" s="58"/>
      <c r="P779" s="58"/>
    </row>
    <row r="780" spans="2:16">
      <c r="B780" s="587"/>
      <c r="C780" s="491">
        <v>2.5099999999999998</v>
      </c>
      <c r="D780" s="536">
        <v>1.89</v>
      </c>
      <c r="E780" s="257">
        <f t="shared" si="84"/>
        <v>2.2338999999999993</v>
      </c>
      <c r="F780" s="256">
        <f>SUM($E$2:E780)/SUM($C$2:C780)</f>
        <v>2.0895494512846623E-2</v>
      </c>
      <c r="G780" s="257">
        <f t="shared" si="85"/>
        <v>35.030251776061796</v>
      </c>
      <c r="H780" s="492" t="s">
        <v>279</v>
      </c>
      <c r="I780" s="2"/>
      <c r="J780" s="2"/>
      <c r="K780" s="2"/>
      <c r="L780" s="2"/>
      <c r="O780" s="58"/>
      <c r="P780" s="58"/>
    </row>
    <row r="781" spans="2:16">
      <c r="B781" s="587"/>
      <c r="C781" s="484">
        <v>2.5099999999999998</v>
      </c>
      <c r="D781" s="537"/>
      <c r="E781" s="164">
        <f t="shared" si="84"/>
        <v>-2.5099999999999998</v>
      </c>
      <c r="F781" s="197">
        <f>SUM($E$2:E781)/SUM($C$2:C781)</f>
        <v>1.9369283232514013E-2</v>
      </c>
      <c r="G781" s="164">
        <f t="shared" si="85"/>
        <v>32.520251776061798</v>
      </c>
      <c r="H781" s="485" t="s">
        <v>26</v>
      </c>
      <c r="I781" s="2"/>
      <c r="J781" s="2"/>
      <c r="K781" s="2"/>
      <c r="L781" s="2"/>
      <c r="O781" s="58"/>
      <c r="P781" s="58"/>
    </row>
    <row r="782" spans="2:16">
      <c r="B782" s="587"/>
      <c r="C782" s="484">
        <v>2.5099999999999998</v>
      </c>
      <c r="D782" s="537"/>
      <c r="E782" s="164">
        <f t="shared" si="84"/>
        <v>-2.5099999999999998</v>
      </c>
      <c r="F782" s="197">
        <f>SUM($E$2:E782)/SUM($C$2:C782)</f>
        <v>1.784762842992247E-2</v>
      </c>
      <c r="G782" s="164">
        <f t="shared" si="85"/>
        <v>30.0102517760618</v>
      </c>
      <c r="H782" s="485" t="s">
        <v>53</v>
      </c>
      <c r="I782" s="2"/>
      <c r="J782" s="2"/>
      <c r="K782" s="2"/>
      <c r="L782" s="2"/>
      <c r="O782" s="58"/>
      <c r="P782" s="58"/>
    </row>
    <row r="783" spans="2:16">
      <c r="B783" s="587"/>
      <c r="C783" s="484">
        <v>2.5099999999999998</v>
      </c>
      <c r="D783" s="537"/>
      <c r="E783" s="164">
        <f t="shared" si="84"/>
        <v>-2.5099999999999998</v>
      </c>
      <c r="F783" s="197">
        <f>SUM($E$2:E783)/SUM($C$2:C783)</f>
        <v>1.6330509730556029E-2</v>
      </c>
      <c r="G783" s="164">
        <f t="shared" si="85"/>
        <v>27.500251776061802</v>
      </c>
      <c r="H783" s="485" t="s">
        <v>34</v>
      </c>
      <c r="I783" s="2"/>
      <c r="J783" s="2"/>
      <c r="K783" s="2"/>
      <c r="L783" s="2"/>
      <c r="O783" s="58"/>
      <c r="P783" s="58"/>
    </row>
    <row r="784" spans="2:16">
      <c r="B784" s="591"/>
      <c r="C784" s="491">
        <v>2.5099999999999998</v>
      </c>
      <c r="D784" s="536"/>
      <c r="E784" s="257">
        <f t="shared" si="84"/>
        <v>-2.5099999999999998</v>
      </c>
      <c r="F784" s="256">
        <f>SUM($E$2:E784)/SUM($C$2:C784)</f>
        <v>1.4817906881192151E-2</v>
      </c>
      <c r="G784" s="257">
        <f t="shared" si="85"/>
        <v>24.990251776061804</v>
      </c>
      <c r="H784" s="492" t="s">
        <v>29</v>
      </c>
      <c r="I784" s="2">
        <f>SUM(E775:E784)</f>
        <v>-10.793000000000001</v>
      </c>
      <c r="L784" s="2">
        <f>I784/C784</f>
        <v>-4.3000000000000007</v>
      </c>
      <c r="O784" s="58"/>
      <c r="P784" s="58"/>
    </row>
    <row r="785" spans="2:16">
      <c r="B785" s="587">
        <v>46038</v>
      </c>
      <c r="C785" s="484">
        <v>3.7</v>
      </c>
      <c r="D785" s="537">
        <v>1.9</v>
      </c>
      <c r="E785" s="164">
        <f t="shared" ref="E785:E789" si="86">(C785*D785)-C785</f>
        <v>3.33</v>
      </c>
      <c r="F785" s="197">
        <f>SUM($E$2:E785)/SUM($C$2:C785)</f>
        <v>1.6755661657010004E-2</v>
      </c>
      <c r="G785" s="164">
        <f t="shared" ref="G785:G789" si="87">G784+E785</f>
        <v>28.320251776061802</v>
      </c>
      <c r="H785" s="485" t="s">
        <v>28</v>
      </c>
      <c r="I785" s="2"/>
      <c r="J785" s="2"/>
      <c r="K785" s="2"/>
      <c r="L785" s="2"/>
      <c r="O785" s="58"/>
      <c r="P785" s="58"/>
    </row>
    <row r="786" spans="2:16">
      <c r="B786" s="587"/>
      <c r="C786" s="491">
        <v>3.7</v>
      </c>
      <c r="D786" s="536"/>
      <c r="E786" s="257">
        <f t="shared" si="86"/>
        <v>-3.7</v>
      </c>
      <c r="F786" s="256">
        <f>SUM($E$2:E786)/SUM($C$2:C786)</f>
        <v>1.4534740612472917E-2</v>
      </c>
      <c r="G786" s="257">
        <f t="shared" si="87"/>
        <v>24.620251776061803</v>
      </c>
      <c r="H786" s="492" t="s">
        <v>38</v>
      </c>
      <c r="I786" s="2"/>
      <c r="J786" s="2"/>
      <c r="K786" s="2"/>
      <c r="L786" s="2"/>
      <c r="O786" s="58"/>
      <c r="P786" s="58"/>
    </row>
    <row r="787" spans="2:16">
      <c r="B787" s="587"/>
      <c r="C787" s="491">
        <v>3.7</v>
      </c>
      <c r="D787" s="536">
        <v>1.9</v>
      </c>
      <c r="E787" s="257">
        <f t="shared" si="86"/>
        <v>3.33</v>
      </c>
      <c r="F787" s="256">
        <f>SUM($E$2:E787)/SUM($C$2:C787)</f>
        <v>1.6464665658999959E-2</v>
      </c>
      <c r="G787" s="257">
        <f t="shared" si="87"/>
        <v>27.950251776061805</v>
      </c>
      <c r="H787" s="492" t="s">
        <v>280</v>
      </c>
      <c r="I787" s="2"/>
      <c r="J787" s="2"/>
      <c r="K787" s="2"/>
      <c r="L787" s="2"/>
      <c r="O787" s="58"/>
      <c r="P787" s="58"/>
    </row>
    <row r="788" spans="2:16">
      <c r="B788" s="587"/>
      <c r="C788" s="484">
        <v>3.7</v>
      </c>
      <c r="D788" s="537"/>
      <c r="E788" s="164">
        <f t="shared" si="86"/>
        <v>-3.7</v>
      </c>
      <c r="F788" s="197">
        <f>SUM($E$2:E788)/SUM($C$2:C788)</f>
        <v>1.4254037686732862E-2</v>
      </c>
      <c r="G788" s="164">
        <f t="shared" si="87"/>
        <v>24.250251776061805</v>
      </c>
      <c r="H788" s="485" t="s">
        <v>13</v>
      </c>
      <c r="I788" s="2"/>
      <c r="J788" s="2"/>
      <c r="K788" s="2"/>
      <c r="L788" s="2"/>
      <c r="O788" s="58"/>
      <c r="P788" s="58"/>
    </row>
    <row r="789" spans="2:16">
      <c r="B789" s="587"/>
      <c r="C789" s="491">
        <v>3.7</v>
      </c>
      <c r="D789" s="536"/>
      <c r="E789" s="257">
        <f t="shared" si="86"/>
        <v>-3.7</v>
      </c>
      <c r="F789" s="256">
        <f>SUM($E$2:E789)/SUM($C$2:C789)</f>
        <v>1.2053004285105343E-2</v>
      </c>
      <c r="G789" s="257">
        <f t="shared" si="87"/>
        <v>20.550251776061806</v>
      </c>
      <c r="H789" s="492" t="s">
        <v>25</v>
      </c>
      <c r="I789" s="2">
        <f>SUM(E785:E789)</f>
        <v>-4.4400000000000004</v>
      </c>
      <c r="L789" s="2">
        <f>I789/C789</f>
        <v>-1.2</v>
      </c>
      <c r="O789" s="58"/>
      <c r="P789" s="58"/>
    </row>
    <row r="790" spans="2:16">
      <c r="B790" s="586">
        <v>46040</v>
      </c>
      <c r="C790" s="484">
        <v>3.68</v>
      </c>
      <c r="D790" s="537"/>
      <c r="E790" s="164">
        <f t="shared" ref="E790:E793" si="88">(C790*D790)-C790</f>
        <v>-3.68</v>
      </c>
      <c r="F790" s="197">
        <f>SUM($E$2:E790)/SUM($C$2:C790)</f>
        <v>9.8733235651481954E-3</v>
      </c>
      <c r="G790" s="164">
        <f t="shared" ref="G790:G793" si="89">G789+E790</f>
        <v>16.870251776061806</v>
      </c>
      <c r="H790" s="527" t="s">
        <v>26</v>
      </c>
      <c r="I790" s="2"/>
      <c r="J790" s="2"/>
      <c r="K790" s="2"/>
      <c r="L790" s="2"/>
      <c r="O790" s="58"/>
      <c r="P790" s="58"/>
    </row>
    <row r="791" spans="2:16">
      <c r="B791" s="587"/>
      <c r="C791" s="491">
        <v>3.68</v>
      </c>
      <c r="D791" s="536">
        <v>1.9</v>
      </c>
      <c r="E791" s="257">
        <f t="shared" si="88"/>
        <v>3.3119999999999998</v>
      </c>
      <c r="F791" s="256">
        <f>SUM($E$2:E791)/SUM($C$2:C791)</f>
        <v>1.1786288887237867E-2</v>
      </c>
      <c r="G791" s="257">
        <f t="shared" si="89"/>
        <v>20.182251776061808</v>
      </c>
      <c r="H791" s="492" t="s">
        <v>38</v>
      </c>
      <c r="I791" s="2"/>
      <c r="J791" s="2"/>
      <c r="K791" s="2"/>
      <c r="L791" s="2"/>
      <c r="O791" s="58"/>
      <c r="P791" s="58"/>
    </row>
    <row r="792" spans="2:16">
      <c r="B792" s="587"/>
      <c r="C792" s="540">
        <v>5</v>
      </c>
      <c r="D792" s="536">
        <v>1.9</v>
      </c>
      <c r="E792" s="257">
        <f t="shared" si="88"/>
        <v>4.5</v>
      </c>
      <c r="F792" s="256">
        <f>SUM($E$2:E792)/SUM($C$2:C792)</f>
        <v>1.437228973480173E-2</v>
      </c>
      <c r="G792" s="257">
        <f t="shared" si="89"/>
        <v>24.682251776061808</v>
      </c>
      <c r="H792" s="492" t="s">
        <v>281</v>
      </c>
      <c r="I792" s="2"/>
      <c r="J792" s="2"/>
      <c r="K792" s="2"/>
      <c r="L792" s="2"/>
      <c r="O792" s="58"/>
      <c r="P792" s="58"/>
    </row>
    <row r="793" spans="2:16">
      <c r="B793" s="591"/>
      <c r="C793" s="491">
        <v>3.68</v>
      </c>
      <c r="D793" s="536">
        <v>1.984</v>
      </c>
      <c r="E793" s="257">
        <f t="shared" si="88"/>
        <v>3.6211199999999999</v>
      </c>
      <c r="F793" s="256">
        <f>SUM($E$2:E793)/SUM($C$2:C793)</f>
        <v>1.6445600469522172E-2</v>
      </c>
      <c r="G793" s="257">
        <f t="shared" si="89"/>
        <v>28.303371776061809</v>
      </c>
      <c r="H793" s="492" t="s">
        <v>10</v>
      </c>
      <c r="I793" s="490">
        <f>SUM(E790:E793)</f>
        <v>7.7531199999999991</v>
      </c>
      <c r="J793" s="490">
        <f>SUM(E757:E793)</f>
        <v>38.596669999999996</v>
      </c>
      <c r="L793" s="2">
        <f>I793/C793</f>
        <v>2.1068260869565214</v>
      </c>
      <c r="O793" s="58"/>
      <c r="P793" s="58"/>
    </row>
    <row r="794" spans="2:16">
      <c r="B794" s="587">
        <v>46041</v>
      </c>
      <c r="C794" s="484">
        <v>2.48</v>
      </c>
      <c r="D794" s="537">
        <v>1.87</v>
      </c>
      <c r="E794" s="164">
        <f t="shared" ref="E794:E802" si="90">(C794*D794)-C794</f>
        <v>2.1576</v>
      </c>
      <c r="F794" s="197">
        <f>SUM($E$2:E794)/SUM($C$2:C794)</f>
        <v>1.7673800428231769E-2</v>
      </c>
      <c r="G794" s="164">
        <f t="shared" ref="G794:G802" si="91">G793+E794</f>
        <v>30.460971776061808</v>
      </c>
      <c r="H794" s="485" t="s">
        <v>46</v>
      </c>
      <c r="I794" s="2"/>
      <c r="J794" s="2"/>
      <c r="K794" s="2"/>
      <c r="L794" s="2"/>
      <c r="O794" s="58"/>
      <c r="P794" s="58"/>
    </row>
    <row r="795" spans="2:16">
      <c r="B795" s="587"/>
      <c r="C795" s="484">
        <v>2.48</v>
      </c>
      <c r="D795" s="537">
        <v>1.9390000000000001</v>
      </c>
      <c r="E795" s="164">
        <f t="shared" si="90"/>
        <v>2.3287200000000001</v>
      </c>
      <c r="F795" s="197">
        <f>SUM($E$2:E795)/SUM($C$2:C795)</f>
        <v>1.8997613993164346E-2</v>
      </c>
      <c r="G795" s="164">
        <f t="shared" si="91"/>
        <v>32.789691776061808</v>
      </c>
      <c r="H795" s="485" t="s">
        <v>12</v>
      </c>
      <c r="I795" s="2"/>
      <c r="J795" s="2"/>
      <c r="K795" s="2"/>
      <c r="L795" s="2"/>
      <c r="O795" s="58"/>
      <c r="P795" s="58"/>
    </row>
    <row r="796" spans="2:16">
      <c r="B796" s="587"/>
      <c r="C796" s="491">
        <v>2.48</v>
      </c>
      <c r="D796" s="536">
        <v>1.9</v>
      </c>
      <c r="E796" s="257">
        <f t="shared" si="90"/>
        <v>2.2319999999999998</v>
      </c>
      <c r="F796" s="256">
        <f>SUM($E$2:E796)/SUM($C$2:C796)</f>
        <v>2.0261671753667533E-2</v>
      </c>
      <c r="G796" s="257">
        <f t="shared" si="91"/>
        <v>35.021691776061807</v>
      </c>
      <c r="H796" s="492" t="s">
        <v>97</v>
      </c>
      <c r="I796" s="2"/>
      <c r="J796" s="2"/>
      <c r="K796" s="2"/>
      <c r="L796" s="2"/>
      <c r="O796" s="58"/>
      <c r="P796" s="58"/>
    </row>
    <row r="797" spans="2:16">
      <c r="B797" s="587"/>
      <c r="C797" s="484">
        <v>2.48</v>
      </c>
      <c r="D797" s="537"/>
      <c r="E797" s="164">
        <f t="shared" si="90"/>
        <v>-2.48</v>
      </c>
      <c r="F797" s="197">
        <f>SUM($E$2:E797)/SUM($C$2:C797)</f>
        <v>1.8799902814097307E-2</v>
      </c>
      <c r="G797" s="164">
        <f t="shared" si="91"/>
        <v>32.541691776061811</v>
      </c>
      <c r="H797" s="485" t="s">
        <v>282</v>
      </c>
      <c r="I797" s="2"/>
      <c r="J797" s="2"/>
      <c r="K797" s="2"/>
      <c r="L797" s="2"/>
      <c r="O797" s="58"/>
      <c r="P797" s="58"/>
    </row>
    <row r="798" spans="2:16">
      <c r="B798" s="587"/>
      <c r="C798" s="491">
        <v>2.48</v>
      </c>
      <c r="D798" s="536">
        <v>1.9</v>
      </c>
      <c r="E798" s="257">
        <f t="shared" si="90"/>
        <v>2.2319999999999998</v>
      </c>
      <c r="F798" s="256">
        <f>SUM($E$2:E798)/SUM($C$2:C798)</f>
        <v>2.0060626489712147E-2</v>
      </c>
      <c r="G798" s="257">
        <f t="shared" si="91"/>
        <v>34.77369177606181</v>
      </c>
      <c r="H798" s="492" t="s">
        <v>283</v>
      </c>
      <c r="I798" s="2"/>
      <c r="J798" s="2"/>
      <c r="K798" s="2"/>
      <c r="L798" s="2"/>
      <c r="O798" s="58"/>
      <c r="P798" s="58"/>
    </row>
    <row r="799" spans="2:16">
      <c r="B799" s="587"/>
      <c r="C799" s="484">
        <v>2.48</v>
      </c>
      <c r="D799" s="537">
        <v>2.16</v>
      </c>
      <c r="E799" s="164">
        <f t="shared" si="90"/>
        <v>2.8768000000000007</v>
      </c>
      <c r="F799" s="197">
        <f>SUM($E$2:E799)/SUM($C$2:C799)</f>
        <v>2.1689195739446009E-2</v>
      </c>
      <c r="G799" s="164">
        <f t="shared" si="91"/>
        <v>37.650491776061813</v>
      </c>
      <c r="H799" s="485" t="s">
        <v>34</v>
      </c>
      <c r="I799" s="2"/>
      <c r="J799" s="2"/>
      <c r="K799" s="2"/>
      <c r="L799" s="2"/>
      <c r="O799" s="58"/>
      <c r="P799" s="58"/>
    </row>
    <row r="800" spans="2:16">
      <c r="B800" s="587"/>
      <c r="C800" s="484">
        <v>2.48</v>
      </c>
      <c r="D800" s="537"/>
      <c r="E800" s="164">
        <f t="shared" si="90"/>
        <v>-2.48</v>
      </c>
      <c r="F800" s="197">
        <f>SUM($E$2:E800)/SUM($C$2:C800)</f>
        <v>2.0231646394688035E-2</v>
      </c>
      <c r="G800" s="164">
        <f t="shared" si="91"/>
        <v>35.170491776061816</v>
      </c>
      <c r="H800" s="485" t="s">
        <v>11</v>
      </c>
      <c r="I800" s="2"/>
      <c r="J800" s="2"/>
      <c r="K800" s="2"/>
      <c r="L800" s="2"/>
      <c r="O800" s="58"/>
      <c r="P800" s="58"/>
    </row>
    <row r="801" spans="2:16">
      <c r="B801" s="587"/>
      <c r="C801" s="484">
        <v>2.48</v>
      </c>
      <c r="D801" s="537"/>
      <c r="E801" s="164">
        <f t="shared" si="90"/>
        <v>-2.48</v>
      </c>
      <c r="F801" s="197">
        <f>SUM($E$2:E801)/SUM($C$2:C801)</f>
        <v>1.8778249826846196E-2</v>
      </c>
      <c r="G801" s="164">
        <f t="shared" si="91"/>
        <v>32.690491776061819</v>
      </c>
      <c r="H801" s="485" t="s">
        <v>47</v>
      </c>
      <c r="I801" s="2"/>
      <c r="J801" s="2"/>
      <c r="K801" s="2"/>
      <c r="L801" s="2"/>
      <c r="O801" s="58"/>
      <c r="P801" s="58"/>
    </row>
    <row r="802" spans="2:16">
      <c r="B802" s="591"/>
      <c r="C802" s="491">
        <v>2.48</v>
      </c>
      <c r="D802" s="536">
        <v>1.4159999999999999</v>
      </c>
      <c r="E802" s="257">
        <f t="shared" si="90"/>
        <v>1.0316799999999997</v>
      </c>
      <c r="F802" s="256">
        <f>SUM($E$2:E802)/SUM($C$2:C802)</f>
        <v>1.934331704824719E-2</v>
      </c>
      <c r="G802" s="257">
        <f t="shared" si="91"/>
        <v>33.72217177606182</v>
      </c>
      <c r="H802" s="492" t="s">
        <v>27</v>
      </c>
      <c r="I802" s="2">
        <f>SUM(E794:E802)</f>
        <v>5.4187999999999992</v>
      </c>
      <c r="L802" s="2">
        <f>I802/C802</f>
        <v>2.1849999999999996</v>
      </c>
      <c r="O802" s="58"/>
      <c r="P802" s="58"/>
    </row>
    <row r="803" spans="2:16">
      <c r="B803" s="587">
        <v>46042</v>
      </c>
      <c r="C803" s="484">
        <v>3.22</v>
      </c>
      <c r="D803" s="537">
        <v>1.9</v>
      </c>
      <c r="E803" s="164">
        <f t="shared" ref="E803:E807" si="92">(C803*D803)-C803</f>
        <v>2.8980000000000001</v>
      </c>
      <c r="F803" s="197">
        <f>SUM($E$2:E803)/SUM($C$2:C803)</f>
        <v>2.0966907582325205E-2</v>
      </c>
      <c r="G803" s="164">
        <f t="shared" ref="G803:G807" si="93">G802+E803</f>
        <v>36.620171776061824</v>
      </c>
      <c r="H803" s="485" t="s">
        <v>284</v>
      </c>
      <c r="I803" s="2"/>
      <c r="J803" s="2"/>
      <c r="K803" s="2"/>
      <c r="L803" s="2"/>
      <c r="O803" s="58"/>
      <c r="P803" s="58"/>
    </row>
    <row r="804" spans="2:16">
      <c r="B804" s="587"/>
      <c r="C804" s="491">
        <v>3.22</v>
      </c>
      <c r="D804" s="536"/>
      <c r="E804" s="257">
        <f t="shared" si="92"/>
        <v>-3.22</v>
      </c>
      <c r="F804" s="256">
        <f>SUM($E$2:E804)/SUM($C$2:C804)</f>
        <v>1.9088103015825753E-2</v>
      </c>
      <c r="G804" s="257">
        <f t="shared" si="93"/>
        <v>33.400171776061825</v>
      </c>
      <c r="H804" s="492" t="s">
        <v>285</v>
      </c>
      <c r="I804" s="2"/>
      <c r="J804" s="2"/>
      <c r="K804" s="2"/>
      <c r="L804" s="2"/>
      <c r="O804" s="58"/>
      <c r="P804" s="58"/>
    </row>
    <row r="805" spans="2:16">
      <c r="B805" s="587"/>
      <c r="C805" s="484">
        <v>3.22</v>
      </c>
      <c r="D805" s="537">
        <v>5.7</v>
      </c>
      <c r="E805" s="164">
        <f t="shared" si="92"/>
        <v>15.134000000000002</v>
      </c>
      <c r="F805" s="197">
        <f>SUM($E$2:E805)/SUM($C$2:C805)</f>
        <v>2.7686192192892058E-2</v>
      </c>
      <c r="G805" s="164">
        <f t="shared" si="93"/>
        <v>48.534171776061825</v>
      </c>
      <c r="H805" s="485" t="s">
        <v>47</v>
      </c>
      <c r="I805" s="2"/>
      <c r="J805" s="2"/>
      <c r="K805" s="2"/>
      <c r="L805" s="2"/>
      <c r="O805" s="58"/>
      <c r="P805" s="58"/>
    </row>
    <row r="806" spans="2:16">
      <c r="B806" s="587"/>
      <c r="C806" s="484">
        <v>3.22</v>
      </c>
      <c r="D806" s="537"/>
      <c r="E806" s="164">
        <f t="shared" si="92"/>
        <v>-3.22</v>
      </c>
      <c r="F806" s="197">
        <f>SUM($E$2:E806)/SUM($C$2:C806)</f>
        <v>2.5801957474853358E-2</v>
      </c>
      <c r="G806" s="164">
        <f t="shared" si="93"/>
        <v>45.314171776061826</v>
      </c>
      <c r="H806" s="485" t="s">
        <v>59</v>
      </c>
      <c r="I806" s="2"/>
      <c r="J806" s="2"/>
      <c r="K806" s="2"/>
      <c r="L806" s="2"/>
      <c r="O806" s="58"/>
      <c r="P806" s="58"/>
    </row>
    <row r="807" spans="2:16">
      <c r="B807" s="587"/>
      <c r="C807" s="491">
        <v>3.22</v>
      </c>
      <c r="D807" s="536"/>
      <c r="E807" s="257">
        <f t="shared" si="92"/>
        <v>-3.22</v>
      </c>
      <c r="F807" s="256">
        <f>SUM($E$2:E807)/SUM($C$2:C807)</f>
        <v>2.3924619498173705E-2</v>
      </c>
      <c r="G807" s="257">
        <f t="shared" si="93"/>
        <v>42.094171776061827</v>
      </c>
      <c r="H807" s="492" t="s">
        <v>38</v>
      </c>
      <c r="I807" s="2">
        <f>SUM(E803:E807)</f>
        <v>8.3719999999999999</v>
      </c>
      <c r="L807" s="2">
        <f>I807/C807</f>
        <v>2.5999999999999996</v>
      </c>
      <c r="O807" s="58"/>
      <c r="P807" s="58"/>
    </row>
    <row r="808" spans="2:16">
      <c r="B808" s="586">
        <v>46043</v>
      </c>
      <c r="C808" s="484">
        <v>3.26</v>
      </c>
      <c r="D808" s="537">
        <v>1.88</v>
      </c>
      <c r="E808" s="164">
        <f t="shared" ref="E808:E812" si="94">(C808*D808)-C808</f>
        <v>2.8687999999999994</v>
      </c>
      <c r="F808" s="197">
        <f>SUM($E$2:E808)/SUM($C$2:C808)</f>
        <v>2.5507866737047906E-2</v>
      </c>
      <c r="G808" s="164">
        <f t="shared" ref="G808:G812" si="95">G807+E808</f>
        <v>44.962971776061828</v>
      </c>
      <c r="H808" s="485" t="s">
        <v>15</v>
      </c>
      <c r="I808" s="2"/>
      <c r="J808" s="2"/>
      <c r="K808" s="2"/>
      <c r="L808" s="2"/>
      <c r="O808" s="58"/>
      <c r="P808" s="58"/>
    </row>
    <row r="809" spans="2:16">
      <c r="B809" s="587"/>
      <c r="C809" s="491">
        <v>3.26</v>
      </c>
      <c r="D809" s="536"/>
      <c r="E809" s="257">
        <f t="shared" si="94"/>
        <v>-3.26</v>
      </c>
      <c r="F809" s="256">
        <f>SUM($E$2:E809)/SUM($C$2:C809)</f>
        <v>2.3614767960985591E-2</v>
      </c>
      <c r="G809" s="257">
        <f t="shared" si="95"/>
        <v>41.70297177606183</v>
      </c>
      <c r="H809" s="541" t="s">
        <v>26</v>
      </c>
      <c r="I809" s="2"/>
      <c r="J809" s="2"/>
      <c r="K809" s="2"/>
      <c r="L809" s="2"/>
      <c r="O809" s="58"/>
      <c r="P809" s="58"/>
    </row>
    <row r="810" spans="2:16">
      <c r="B810" s="587"/>
      <c r="C810" s="491">
        <v>3.26</v>
      </c>
      <c r="D810" s="536">
        <v>1.9</v>
      </c>
      <c r="E810" s="257">
        <f t="shared" si="94"/>
        <v>2.9339999999999993</v>
      </c>
      <c r="F810" s="256">
        <f>SUM($E$2:E810)/SUM($C$2:C810)</f>
        <v>2.5229603712384325E-2</v>
      </c>
      <c r="G810" s="257">
        <f t="shared" si="95"/>
        <v>44.636971776061827</v>
      </c>
      <c r="H810" s="492" t="s">
        <v>286</v>
      </c>
      <c r="I810" s="2"/>
      <c r="J810" s="2"/>
      <c r="K810" s="2"/>
      <c r="L810" s="2"/>
      <c r="O810" s="58"/>
      <c r="P810" s="58"/>
    </row>
    <row r="811" spans="2:16">
      <c r="B811" s="587"/>
      <c r="C811" s="484">
        <v>3.26</v>
      </c>
      <c r="D811" s="537"/>
      <c r="E811" s="164">
        <f t="shared" si="94"/>
        <v>-3.26</v>
      </c>
      <c r="F811" s="197">
        <f>SUM($E$2:E811)/SUM($C$2:C811)</f>
        <v>2.334398037566459E-2</v>
      </c>
      <c r="G811" s="164">
        <f t="shared" si="95"/>
        <v>41.376971776061829</v>
      </c>
      <c r="H811" s="485" t="s">
        <v>13</v>
      </c>
      <c r="I811" s="2"/>
      <c r="J811" s="2"/>
      <c r="K811" s="2"/>
      <c r="L811" s="2"/>
      <c r="O811" s="58"/>
      <c r="P811" s="58"/>
    </row>
    <row r="812" spans="2:16">
      <c r="B812" s="591"/>
      <c r="C812" s="491">
        <v>3.26</v>
      </c>
      <c r="D812" s="536"/>
      <c r="E812" s="257">
        <f t="shared" si="94"/>
        <v>-3.26</v>
      </c>
      <c r="F812" s="256">
        <f>SUM($E$2:E812)/SUM($C$2:C812)</f>
        <v>2.1465280459558912E-2</v>
      </c>
      <c r="G812" s="257">
        <f t="shared" si="95"/>
        <v>38.116971776061831</v>
      </c>
      <c r="H812" s="492" t="s">
        <v>34</v>
      </c>
      <c r="I812" s="2">
        <f>SUM(E808:E812)</f>
        <v>-3.9772000000000007</v>
      </c>
      <c r="L812" s="2">
        <f>I812/C812</f>
        <v>-1.2200000000000002</v>
      </c>
      <c r="O812" s="58"/>
      <c r="P812" s="58"/>
    </row>
    <row r="813" spans="2:16">
      <c r="B813" s="587">
        <v>46044</v>
      </c>
      <c r="C813" s="484">
        <v>2.83</v>
      </c>
      <c r="D813" s="537">
        <v>1.87</v>
      </c>
      <c r="E813" s="164">
        <f t="shared" ref="E813:E821" si="96">(C813*D813)-C813</f>
        <v>2.4621000000000004</v>
      </c>
      <c r="F813" s="197">
        <f>SUM($E$2:E813)/SUM($C$2:C813)</f>
        <v>2.2815432410159642E-2</v>
      </c>
      <c r="G813" s="164">
        <f t="shared" ref="G813:G821" si="97">G812+E813</f>
        <v>40.579071776061831</v>
      </c>
      <c r="H813" s="485" t="s">
        <v>104</v>
      </c>
      <c r="I813" s="2"/>
      <c r="J813" s="2"/>
      <c r="K813" s="2"/>
      <c r="L813" s="2"/>
      <c r="O813" s="58"/>
      <c r="P813" s="58"/>
    </row>
    <row r="814" spans="2:16">
      <c r="B814" s="587"/>
      <c r="C814" s="491">
        <v>2.83</v>
      </c>
      <c r="D814" s="536"/>
      <c r="E814" s="257">
        <f t="shared" si="96"/>
        <v>-2.83</v>
      </c>
      <c r="F814" s="256">
        <f>SUM($E$2:E814)/SUM($C$2:C814)</f>
        <v>2.1190557915393843E-2</v>
      </c>
      <c r="G814" s="257">
        <f t="shared" si="97"/>
        <v>37.749071776061832</v>
      </c>
      <c r="H814" s="492" t="s">
        <v>52</v>
      </c>
      <c r="I814" s="2"/>
      <c r="J814" s="2"/>
      <c r="K814" s="2"/>
      <c r="L814" s="2"/>
      <c r="O814" s="58"/>
      <c r="P814" s="58"/>
    </row>
    <row r="815" spans="2:16">
      <c r="B815" s="587"/>
      <c r="C815" s="484">
        <v>2.83</v>
      </c>
      <c r="D815" s="537">
        <v>1.86</v>
      </c>
      <c r="E815" s="164">
        <f t="shared" si="96"/>
        <v>2.4338000000000006</v>
      </c>
      <c r="F815" s="197">
        <f>SUM($E$2:E815)/SUM($C$2:C815)</f>
        <v>2.2521001533460597E-2</v>
      </c>
      <c r="G815" s="164">
        <f t="shared" si="97"/>
        <v>40.18287177606183</v>
      </c>
      <c r="H815" s="485" t="s">
        <v>287</v>
      </c>
      <c r="I815" s="2"/>
      <c r="J815" s="2"/>
      <c r="K815" s="2"/>
      <c r="L815" s="2"/>
      <c r="O815" s="58"/>
      <c r="P815" s="58"/>
    </row>
    <row r="816" spans="2:16">
      <c r="B816" s="587"/>
      <c r="C816" s="491">
        <v>2.83</v>
      </c>
      <c r="D816" s="536">
        <v>1.87</v>
      </c>
      <c r="E816" s="257">
        <f t="shared" si="96"/>
        <v>2.4621000000000004</v>
      </c>
      <c r="F816" s="256">
        <f>SUM($E$2:E816)/SUM($C$2:C816)</f>
        <v>2.386306735385952E-2</v>
      </c>
      <c r="G816" s="257">
        <f t="shared" si="97"/>
        <v>42.64497177606183</v>
      </c>
      <c r="H816" s="492" t="s">
        <v>288</v>
      </c>
      <c r="I816" s="2"/>
      <c r="J816" s="2"/>
      <c r="K816" s="2"/>
      <c r="L816" s="2"/>
      <c r="O816" s="58"/>
      <c r="P816" s="58"/>
    </row>
    <row r="817" spans="2:16">
      <c r="B817" s="587"/>
      <c r="C817" s="484">
        <v>2.83</v>
      </c>
      <c r="D817" s="537">
        <v>2.9119999999999999</v>
      </c>
      <c r="E817" s="164">
        <f t="shared" si="96"/>
        <v>5.4109599999999993</v>
      </c>
      <c r="F817" s="197">
        <f>SUM($E$2:E817)/SUM($C$2:C817)</f>
        <v>2.6848389170379194E-2</v>
      </c>
      <c r="G817" s="164">
        <f t="shared" si="97"/>
        <v>48.055931776061826</v>
      </c>
      <c r="H817" s="485" t="s">
        <v>15</v>
      </c>
      <c r="I817" s="2"/>
      <c r="J817" s="2"/>
      <c r="K817" s="2"/>
      <c r="L817" s="2"/>
      <c r="O817" s="58"/>
      <c r="P817" s="58"/>
    </row>
    <row r="818" spans="2:16">
      <c r="B818" s="587"/>
      <c r="C818" s="484">
        <v>2.83</v>
      </c>
      <c r="D818" s="537">
        <v>2.0299999999999998</v>
      </c>
      <c r="E818" s="164">
        <f t="shared" si="96"/>
        <v>2.9148999999999994</v>
      </c>
      <c r="F818" s="197">
        <f>SUM($E$2:E818)/SUM($C$2:C818)</f>
        <v>2.8431962301105979E-2</v>
      </c>
      <c r="G818" s="164">
        <f t="shared" si="97"/>
        <v>50.970831776061829</v>
      </c>
      <c r="H818" s="485" t="s">
        <v>51</v>
      </c>
      <c r="I818" s="2"/>
      <c r="J818" s="2"/>
      <c r="K818" s="2"/>
      <c r="L818" s="2"/>
      <c r="O818" s="58"/>
      <c r="P818" s="58"/>
    </row>
    <row r="819" spans="2:16">
      <c r="B819" s="587"/>
      <c r="C819" s="484">
        <v>2.83</v>
      </c>
      <c r="D819" s="537"/>
      <c r="E819" s="164">
        <f t="shared" si="96"/>
        <v>-2.83</v>
      </c>
      <c r="F819" s="197">
        <f>SUM($E$2:E819)/SUM($C$2:C819)</f>
        <v>2.6811040442013483E-2</v>
      </c>
      <c r="G819" s="164">
        <f t="shared" si="97"/>
        <v>48.14083177606183</v>
      </c>
      <c r="H819" s="485" t="s">
        <v>11</v>
      </c>
      <c r="I819" s="2"/>
      <c r="J819" s="2"/>
      <c r="K819" s="2"/>
      <c r="L819" s="2"/>
      <c r="O819" s="58"/>
      <c r="P819" s="58"/>
    </row>
    <row r="820" spans="2:16">
      <c r="B820" s="587"/>
      <c r="C820" s="484">
        <v>2.83</v>
      </c>
      <c r="D820" s="537">
        <v>2.82</v>
      </c>
      <c r="E820" s="164">
        <f t="shared" si="96"/>
        <v>5.1505999999999998</v>
      </c>
      <c r="F820" s="197">
        <f>SUM($E$2:E820)/SUM($C$2:C820)</f>
        <v>2.9632855930060618E-2</v>
      </c>
      <c r="G820" s="164">
        <f t="shared" si="97"/>
        <v>53.291431776061827</v>
      </c>
      <c r="H820" s="485" t="s">
        <v>17</v>
      </c>
      <c r="I820" s="2"/>
      <c r="J820" s="2"/>
      <c r="K820" s="2"/>
      <c r="L820" s="2"/>
      <c r="O820" s="58"/>
      <c r="P820" s="58"/>
    </row>
    <row r="821" spans="2:16">
      <c r="B821" s="591"/>
      <c r="C821" s="491">
        <v>2.83</v>
      </c>
      <c r="D821" s="536"/>
      <c r="E821" s="257">
        <f t="shared" si="96"/>
        <v>-2.83</v>
      </c>
      <c r="F821" s="256">
        <f>SUM($E$2:E821)/SUM($C$2:C821)</f>
        <v>2.8015140724654251E-2</v>
      </c>
      <c r="G821" s="257">
        <f t="shared" si="97"/>
        <v>50.461431776061829</v>
      </c>
      <c r="H821" s="492" t="s">
        <v>47</v>
      </c>
      <c r="I821" s="2">
        <f>SUM(E813:E821)</f>
        <v>12.34446</v>
      </c>
      <c r="L821" s="2">
        <f>I821/C821</f>
        <v>4.3620000000000001</v>
      </c>
      <c r="O821" s="58"/>
      <c r="P821" s="58"/>
    </row>
    <row r="822" spans="2:16">
      <c r="B822" s="587">
        <v>46045</v>
      </c>
      <c r="C822" s="484">
        <v>2.88</v>
      </c>
      <c r="D822" s="537"/>
      <c r="E822" s="164">
        <f t="shared" ref="E822:E828" si="98">(C822*D822)-C822</f>
        <v>-2.88</v>
      </c>
      <c r="F822" s="197">
        <f>SUM($E$2:E822)/SUM($C$2:C822)</f>
        <v>2.6374054529162312E-2</v>
      </c>
      <c r="G822" s="164">
        <f t="shared" ref="G822:G828" si="99">G821+E822</f>
        <v>47.581431776061827</v>
      </c>
      <c r="H822" s="485" t="s">
        <v>46</v>
      </c>
      <c r="I822" s="2"/>
      <c r="J822" s="2"/>
      <c r="K822" s="2"/>
      <c r="L822" s="2"/>
      <c r="O822" s="58"/>
      <c r="P822" s="58"/>
    </row>
    <row r="823" spans="2:16">
      <c r="B823" s="587"/>
      <c r="C823" s="491">
        <v>2.88</v>
      </c>
      <c r="D823" s="536"/>
      <c r="E823" s="257">
        <f t="shared" si="98"/>
        <v>-2.88</v>
      </c>
      <c r="F823" s="256">
        <f>SUM($E$2:E823)/SUM($C$2:C823)</f>
        <v>2.4738199524101941E-2</v>
      </c>
      <c r="G823" s="257">
        <f t="shared" si="99"/>
        <v>44.701431776061824</v>
      </c>
      <c r="H823" s="492" t="s">
        <v>26</v>
      </c>
      <c r="I823" s="2"/>
      <c r="J823" s="2"/>
      <c r="K823" s="2"/>
      <c r="L823" s="2"/>
      <c r="O823" s="58"/>
      <c r="P823" s="58"/>
    </row>
    <row r="824" spans="2:16">
      <c r="B824" s="587"/>
      <c r="C824" s="484">
        <v>2.88</v>
      </c>
      <c r="D824" s="537"/>
      <c r="E824" s="164">
        <f t="shared" si="98"/>
        <v>-2.88</v>
      </c>
      <c r="F824" s="197">
        <f>SUM($E$2:E824)/SUM($C$2:C824)</f>
        <v>2.3107550736555165E-2</v>
      </c>
      <c r="G824" s="164">
        <f t="shared" si="99"/>
        <v>41.821431776061821</v>
      </c>
      <c r="H824" s="485" t="s">
        <v>289</v>
      </c>
      <c r="I824" s="2"/>
      <c r="J824" s="2"/>
      <c r="K824" s="2"/>
      <c r="L824" s="2"/>
      <c r="O824" s="58"/>
      <c r="P824" s="58"/>
    </row>
    <row r="825" spans="2:16">
      <c r="B825" s="587"/>
      <c r="C825" s="491">
        <v>2.88</v>
      </c>
      <c r="D825" s="536">
        <v>1.88</v>
      </c>
      <c r="E825" s="257">
        <f t="shared" si="98"/>
        <v>2.5343999999999998</v>
      </c>
      <c r="F825" s="256">
        <f>SUM($E$2:E825)/SUM($C$2:C825)</f>
        <v>2.446894302330269E-2</v>
      </c>
      <c r="G825" s="257">
        <f t="shared" si="99"/>
        <v>44.355831776061819</v>
      </c>
      <c r="H825" s="492" t="s">
        <v>290</v>
      </c>
      <c r="I825" s="2"/>
      <c r="J825" s="2"/>
      <c r="K825" s="2"/>
      <c r="L825" s="2"/>
      <c r="O825" s="58"/>
      <c r="P825" s="58"/>
    </row>
    <row r="826" spans="2:16">
      <c r="B826" s="587"/>
      <c r="C826" s="484">
        <v>2.88</v>
      </c>
      <c r="D826" s="537">
        <v>2.52</v>
      </c>
      <c r="E826" s="164">
        <f t="shared" si="98"/>
        <v>4.3776000000000002</v>
      </c>
      <c r="F826" s="197">
        <f>SUM($E$2:E826)/SUM($C$2:C826)</f>
        <v>2.684120673712655E-2</v>
      </c>
      <c r="G826" s="164">
        <f t="shared" si="99"/>
        <v>48.733431776061821</v>
      </c>
      <c r="H826" s="485" t="s">
        <v>53</v>
      </c>
      <c r="I826" s="2"/>
      <c r="J826" s="2"/>
      <c r="K826" s="2"/>
      <c r="L826" s="2"/>
      <c r="O826" s="58"/>
      <c r="P826" s="58"/>
    </row>
    <row r="827" spans="2:16">
      <c r="B827" s="587"/>
      <c r="C827" s="484">
        <v>2.88</v>
      </c>
      <c r="D827" s="537">
        <v>2.33</v>
      </c>
      <c r="E827" s="164">
        <f t="shared" si="98"/>
        <v>3.8304</v>
      </c>
      <c r="F827" s="197">
        <f>SUM($E$2:E827)/SUM($C$2:C827)</f>
        <v>2.8905049093242614E-2</v>
      </c>
      <c r="G827" s="164">
        <f t="shared" si="99"/>
        <v>52.563831776061818</v>
      </c>
      <c r="H827" s="485" t="s">
        <v>14</v>
      </c>
      <c r="I827" s="2"/>
      <c r="J827" s="2"/>
      <c r="K827" s="2"/>
      <c r="L827" s="2"/>
      <c r="O827" s="58"/>
      <c r="P827" s="58"/>
    </row>
    <row r="828" spans="2:16">
      <c r="B828" s="587"/>
      <c r="C828" s="491">
        <v>2.88</v>
      </c>
      <c r="D828" s="536"/>
      <c r="E828" s="257">
        <f t="shared" si="98"/>
        <v>-2.88</v>
      </c>
      <c r="F828" s="256">
        <f>SUM($E$2:E828)/SUM($C$2:C828)</f>
        <v>2.7278125254511246E-2</v>
      </c>
      <c r="G828" s="257">
        <f t="shared" si="99"/>
        <v>49.683831776061815</v>
      </c>
      <c r="H828" s="492" t="s">
        <v>52</v>
      </c>
      <c r="I828" s="2">
        <f>SUM(E822:E828)</f>
        <v>-0.77760000000000051</v>
      </c>
      <c r="L828" s="2">
        <f>I828/C828</f>
        <v>-0.27000000000000018</v>
      </c>
      <c r="O828" s="58"/>
      <c r="P828" s="58"/>
    </row>
    <row r="829" spans="2:16">
      <c r="B829" s="586">
        <v>46046</v>
      </c>
      <c r="C829" s="484">
        <v>3.29</v>
      </c>
      <c r="D829" s="537">
        <v>1.9</v>
      </c>
      <c r="E829" s="164">
        <f t="shared" ref="E829:E842" si="100">(C829*D829)-C829</f>
        <v>2.9609999999999994</v>
      </c>
      <c r="F829" s="197">
        <f>SUM($E$2:E829)/SUM($C$2:C829)</f>
        <v>2.8851700184724736E-2</v>
      </c>
      <c r="G829" s="164">
        <f t="shared" ref="G829:G842" si="101">G828+E829</f>
        <v>52.644831776061814</v>
      </c>
      <c r="H829" s="485" t="s">
        <v>15</v>
      </c>
      <c r="I829" s="2"/>
      <c r="J829" s="2"/>
      <c r="K829" s="2"/>
      <c r="L829" s="2"/>
      <c r="O829" s="58"/>
      <c r="P829" s="58"/>
    </row>
    <row r="830" spans="2:16">
      <c r="B830" s="587"/>
      <c r="C830" s="484">
        <v>3.29</v>
      </c>
      <c r="D830" s="542">
        <v>1.86</v>
      </c>
      <c r="E830" s="164">
        <f t="shared" si="100"/>
        <v>2.8294000000000006</v>
      </c>
      <c r="F830" s="197">
        <f>SUM($E$2:E830)/SUM($C$2:C830)</f>
        <v>3.0347617987298237E-2</v>
      </c>
      <c r="G830" s="164">
        <f t="shared" si="101"/>
        <v>55.474231776061814</v>
      </c>
      <c r="H830" s="485" t="s">
        <v>51</v>
      </c>
      <c r="I830" s="2"/>
      <c r="J830" s="2"/>
      <c r="K830" s="2"/>
      <c r="L830" s="2"/>
      <c r="O830" s="58"/>
      <c r="P830" s="58"/>
    </row>
    <row r="831" spans="2:16">
      <c r="B831" s="587"/>
      <c r="C831" s="484">
        <v>3.29</v>
      </c>
      <c r="D831" s="537">
        <v>1.84</v>
      </c>
      <c r="E831" s="164">
        <f t="shared" si="100"/>
        <v>2.7636000000000003</v>
      </c>
      <c r="F831" s="197">
        <f>SUM($E$2:E831)/SUM($C$2:C831)</f>
        <v>3.1802228956211154E-2</v>
      </c>
      <c r="G831" s="164">
        <f t="shared" si="101"/>
        <v>58.23783177606181</v>
      </c>
      <c r="H831" s="485" t="s">
        <v>64</v>
      </c>
      <c r="I831" s="2"/>
      <c r="J831" s="2"/>
      <c r="K831" s="2"/>
      <c r="L831" s="2"/>
      <c r="O831" s="58"/>
      <c r="P831" s="58"/>
    </row>
    <row r="832" spans="2:16">
      <c r="B832" s="587"/>
      <c r="C832" s="484">
        <v>3.29</v>
      </c>
      <c r="D832" s="537">
        <v>1.8620000000000001</v>
      </c>
      <c r="E832" s="164">
        <f t="shared" si="100"/>
        <v>2.8359800000000002</v>
      </c>
      <c r="F832" s="197">
        <f>SUM($E$2:E832)/SUM($C$2:C832)</f>
        <v>3.3291076660122793E-2</v>
      </c>
      <c r="G832" s="164">
        <f t="shared" si="101"/>
        <v>61.07381177606181</v>
      </c>
      <c r="H832" s="485" t="s">
        <v>35</v>
      </c>
      <c r="I832" s="2"/>
      <c r="J832" s="2"/>
      <c r="K832" s="2"/>
      <c r="L832" s="2"/>
      <c r="O832" s="58"/>
      <c r="P832" s="58"/>
    </row>
    <row r="833" spans="2:16">
      <c r="B833" s="587"/>
      <c r="C833" s="491">
        <v>3.29</v>
      </c>
      <c r="D833" s="536">
        <v>1.87</v>
      </c>
      <c r="E833" s="257">
        <f t="shared" si="100"/>
        <v>2.8623000000000003</v>
      </c>
      <c r="F833" s="256">
        <f>SUM($E$2:E833)/SUM($C$2:C833)</f>
        <v>3.4788915066171329E-2</v>
      </c>
      <c r="G833" s="257">
        <f t="shared" si="101"/>
        <v>63.936111776061807</v>
      </c>
      <c r="H833" s="492" t="s">
        <v>47</v>
      </c>
      <c r="I833" s="2"/>
      <c r="J833" s="2"/>
      <c r="K833" s="2"/>
      <c r="L833" s="2"/>
      <c r="O833" s="58"/>
      <c r="P833" s="58"/>
    </row>
    <row r="834" spans="2:16">
      <c r="B834" s="587"/>
      <c r="C834" s="484">
        <v>3.29</v>
      </c>
      <c r="D834" s="537"/>
      <c r="E834" s="164">
        <f t="shared" si="100"/>
        <v>-3.29</v>
      </c>
      <c r="F834" s="197">
        <f>SUM($E$2:E834)/SUM($C$2:C834)</f>
        <v>3.2939793047743582E-2</v>
      </c>
      <c r="G834" s="164">
        <f t="shared" si="101"/>
        <v>60.646111776061808</v>
      </c>
      <c r="H834" s="485" t="s">
        <v>213</v>
      </c>
      <c r="I834" s="2"/>
      <c r="J834" s="2"/>
      <c r="K834" s="2"/>
      <c r="L834" s="2"/>
      <c r="O834" s="58"/>
      <c r="P834" s="58"/>
    </row>
    <row r="835" spans="2:16">
      <c r="B835" s="587"/>
      <c r="C835" s="484">
        <v>3.29</v>
      </c>
      <c r="D835" s="542">
        <v>1.87</v>
      </c>
      <c r="E835" s="164">
        <f t="shared" si="100"/>
        <v>2.8623000000000003</v>
      </c>
      <c r="F835" s="197">
        <f>SUM($E$2:E835)/SUM($C$2:C835)</f>
        <v>3.4432914469159061E-2</v>
      </c>
      <c r="G835" s="164">
        <f t="shared" si="101"/>
        <v>63.508411776061806</v>
      </c>
      <c r="H835" s="485" t="s">
        <v>291</v>
      </c>
      <c r="I835" s="2"/>
      <c r="J835" s="2"/>
      <c r="K835" s="2"/>
      <c r="L835" s="2"/>
      <c r="O835" s="58"/>
      <c r="P835" s="58"/>
    </row>
    <row r="836" spans="2:16">
      <c r="B836" s="587"/>
      <c r="C836" s="484">
        <v>3.29</v>
      </c>
      <c r="D836" s="537">
        <v>1.8560000000000001</v>
      </c>
      <c r="E836" s="164">
        <f t="shared" si="100"/>
        <v>2.8162400000000005</v>
      </c>
      <c r="F836" s="197">
        <f>SUM($E$2:E836)/SUM($C$2:C836)</f>
        <v>3.5895790320972919E-2</v>
      </c>
      <c r="G836" s="164">
        <f t="shared" si="101"/>
        <v>66.324651776061813</v>
      </c>
      <c r="H836" s="485" t="s">
        <v>292</v>
      </c>
      <c r="I836" s="2"/>
      <c r="J836" s="2"/>
      <c r="K836" s="2"/>
      <c r="L836" s="2"/>
      <c r="O836" s="58"/>
      <c r="P836" s="58"/>
    </row>
    <row r="837" spans="2:16">
      <c r="B837" s="587"/>
      <c r="C837" s="484">
        <v>3.29</v>
      </c>
      <c r="D837" s="537">
        <v>1.9</v>
      </c>
      <c r="E837" s="164">
        <f t="shared" si="100"/>
        <v>2.9609999999999994</v>
      </c>
      <c r="F837" s="197">
        <f>SUM($E$2:E837)/SUM($C$2:C837)</f>
        <v>3.7431672659529042E-2</v>
      </c>
      <c r="G837" s="164">
        <f t="shared" si="101"/>
        <v>69.285651776061812</v>
      </c>
      <c r="H837" s="485" t="s">
        <v>293</v>
      </c>
      <c r="I837" s="2"/>
      <c r="J837" s="2"/>
      <c r="K837" s="2"/>
      <c r="L837" s="2"/>
      <c r="O837" s="58"/>
      <c r="P837" s="58"/>
    </row>
    <row r="838" spans="2:16">
      <c r="B838" s="587"/>
      <c r="C838" s="484">
        <v>3.29</v>
      </c>
      <c r="D838" s="537">
        <v>1.9</v>
      </c>
      <c r="E838" s="164">
        <f t="shared" si="100"/>
        <v>2.9609999999999994</v>
      </c>
      <c r="F838" s="197">
        <f>SUM($E$2:E838)/SUM($C$2:C838)</f>
        <v>3.896210484719765E-2</v>
      </c>
      <c r="G838" s="164">
        <f t="shared" si="101"/>
        <v>72.24665177606181</v>
      </c>
      <c r="H838" s="485" t="s">
        <v>294</v>
      </c>
      <c r="I838" s="2"/>
      <c r="J838" s="2"/>
      <c r="K838" s="2"/>
      <c r="L838" s="2"/>
      <c r="O838" s="58"/>
      <c r="P838" s="58"/>
    </row>
    <row r="839" spans="2:16">
      <c r="B839" s="587"/>
      <c r="C839" s="491">
        <v>3.29</v>
      </c>
      <c r="D839" s="536"/>
      <c r="E839" s="257">
        <f t="shared" si="100"/>
        <v>-3.29</v>
      </c>
      <c r="F839" s="256">
        <f>SUM($E$2:E839)/SUM($C$2:C839)</f>
        <v>3.7121966750142205E-2</v>
      </c>
      <c r="G839" s="257">
        <f t="shared" si="101"/>
        <v>68.956651776061804</v>
      </c>
      <c r="H839" s="492" t="s">
        <v>295</v>
      </c>
      <c r="I839" s="2"/>
      <c r="J839" s="2"/>
      <c r="K839" s="2"/>
      <c r="L839" s="2"/>
      <c r="O839" s="58"/>
      <c r="P839" s="58"/>
    </row>
    <row r="840" spans="2:16">
      <c r="B840" s="587"/>
      <c r="C840" s="484">
        <v>3.29</v>
      </c>
      <c r="D840" s="537"/>
      <c r="E840" s="164">
        <f t="shared" si="100"/>
        <v>-3.29</v>
      </c>
      <c r="F840" s="197">
        <f>SUM($E$2:E840)/SUM($C$2:C840)</f>
        <v>3.5288335380448642E-2</v>
      </c>
      <c r="G840" s="164">
        <f t="shared" si="101"/>
        <v>65.666651776061798</v>
      </c>
      <c r="H840" s="485" t="s">
        <v>37</v>
      </c>
      <c r="I840" s="2"/>
      <c r="J840" s="2"/>
      <c r="K840" s="2"/>
      <c r="L840" s="2"/>
      <c r="O840" s="58"/>
      <c r="P840" s="58"/>
    </row>
    <row r="841" spans="2:16">
      <c r="B841" s="587"/>
      <c r="C841" s="484">
        <v>3.29</v>
      </c>
      <c r="D841" s="537"/>
      <c r="E841" s="164">
        <f t="shared" si="100"/>
        <v>-3.29</v>
      </c>
      <c r="F841" s="197">
        <f>SUM($E$2:E841)/SUM($C$2:C841)</f>
        <v>3.3461176287349015E-2</v>
      </c>
      <c r="G841" s="164">
        <f t="shared" si="101"/>
        <v>62.376651776061799</v>
      </c>
      <c r="H841" s="485" t="s">
        <v>17</v>
      </c>
      <c r="I841" s="2"/>
      <c r="J841" s="2"/>
      <c r="K841" s="2"/>
      <c r="L841" s="2"/>
      <c r="O841" s="58"/>
      <c r="P841" s="58"/>
    </row>
    <row r="842" spans="2:16">
      <c r="B842" s="587"/>
      <c r="C842" s="491">
        <v>3.29</v>
      </c>
      <c r="D842" s="536"/>
      <c r="E842" s="257">
        <f t="shared" si="100"/>
        <v>-3.29</v>
      </c>
      <c r="F842" s="256">
        <f>SUM($E$2:E842)/SUM($C$2:C842)</f>
        <v>3.1640455262852717E-2</v>
      </c>
      <c r="G842" s="257">
        <f t="shared" si="101"/>
        <v>59.0866517760618</v>
      </c>
      <c r="H842" s="492" t="s">
        <v>47</v>
      </c>
      <c r="I842" s="2">
        <f>SUM(E829:E842)</f>
        <v>9.4028200000000055</v>
      </c>
      <c r="L842" s="2">
        <f>I842/C842</f>
        <v>2.8580000000000014</v>
      </c>
      <c r="O842" s="58"/>
      <c r="P842" s="58"/>
    </row>
    <row r="843" spans="2:16">
      <c r="B843" s="586">
        <v>46047</v>
      </c>
      <c r="C843" s="484">
        <v>2.92</v>
      </c>
      <c r="D843" s="531"/>
      <c r="E843" s="164">
        <f t="shared" ref="E843:E850" si="102">(C843*D843)-C843</f>
        <v>-2.92</v>
      </c>
      <c r="F843" s="197">
        <f>SUM($E$2:E843)/SUM($C$2:C843)</f>
        <v>3.0029861511185911E-2</v>
      </c>
      <c r="G843" s="164">
        <f t="shared" ref="G843:G850" si="103">G842+E843</f>
        <v>56.166651776061798</v>
      </c>
      <c r="H843" s="485" t="s">
        <v>97</v>
      </c>
      <c r="I843" s="2"/>
      <c r="J843" s="2"/>
      <c r="K843" s="2"/>
      <c r="L843" s="2"/>
      <c r="O843" s="58"/>
      <c r="P843" s="58"/>
    </row>
    <row r="844" spans="2:16">
      <c r="B844" s="587"/>
      <c r="C844" s="484">
        <v>3.29</v>
      </c>
      <c r="D844" s="542">
        <v>1.9</v>
      </c>
      <c r="E844" s="164">
        <f t="shared" si="102"/>
        <v>2.9609999999999994</v>
      </c>
      <c r="F844" s="197">
        <f>SUM($E$2:E844)/SUM($C$2:C844)</f>
        <v>3.1557468991573488E-2</v>
      </c>
      <c r="G844" s="164">
        <f t="shared" si="103"/>
        <v>59.127651776061796</v>
      </c>
      <c r="H844" s="485" t="s">
        <v>104</v>
      </c>
      <c r="I844" s="2"/>
      <c r="J844" s="2"/>
      <c r="K844" s="2"/>
      <c r="L844" s="2"/>
      <c r="O844" s="58"/>
      <c r="P844" s="58"/>
    </row>
    <row r="845" spans="2:16">
      <c r="B845" s="587"/>
      <c r="C845" s="484">
        <v>2.92</v>
      </c>
      <c r="D845" s="542">
        <v>1.9</v>
      </c>
      <c r="E845" s="164">
        <f t="shared" si="102"/>
        <v>2.6280000000000001</v>
      </c>
      <c r="F845" s="197">
        <f>SUM($E$2:E845)/SUM($C$2:C845)</f>
        <v>3.290879198541044E-2</v>
      </c>
      <c r="G845" s="164">
        <f t="shared" si="103"/>
        <v>61.755651776061796</v>
      </c>
      <c r="H845" s="485" t="s">
        <v>30</v>
      </c>
      <c r="I845" s="2"/>
      <c r="J845" s="2"/>
      <c r="K845" s="2"/>
      <c r="L845" s="2"/>
      <c r="O845" s="58"/>
      <c r="P845" s="58"/>
    </row>
    <row r="846" spans="2:16">
      <c r="B846" s="587"/>
      <c r="C846" s="484">
        <v>2.92</v>
      </c>
      <c r="D846" s="542">
        <v>1.9</v>
      </c>
      <c r="E846" s="164">
        <f t="shared" si="102"/>
        <v>2.6280000000000001</v>
      </c>
      <c r="F846" s="197">
        <f>SUM($E$2:E846)/SUM($C$2:C846)</f>
        <v>3.4255916113446548E-2</v>
      </c>
      <c r="G846" s="164">
        <f t="shared" si="103"/>
        <v>64.383651776061797</v>
      </c>
      <c r="H846" s="485" t="s">
        <v>12</v>
      </c>
      <c r="I846" s="2"/>
      <c r="J846" s="2"/>
      <c r="K846" s="2"/>
      <c r="L846" s="2"/>
      <c r="O846" s="58"/>
      <c r="P846" s="58"/>
    </row>
    <row r="847" spans="2:16">
      <c r="B847" s="587"/>
      <c r="C847" s="491">
        <v>2.92</v>
      </c>
      <c r="D847" s="543">
        <v>1.87</v>
      </c>
      <c r="E847" s="257">
        <f t="shared" si="102"/>
        <v>2.5404</v>
      </c>
      <c r="F847" s="256">
        <f>SUM($E$2:E847)/SUM($C$2:C847)</f>
        <v>3.5552324826186463E-2</v>
      </c>
      <c r="G847" s="257">
        <f t="shared" si="103"/>
        <v>66.924051776061802</v>
      </c>
      <c r="H847" s="492" t="s">
        <v>36</v>
      </c>
      <c r="I847" s="2"/>
      <c r="J847" s="2"/>
      <c r="K847" s="2"/>
      <c r="L847" s="2"/>
      <c r="O847" s="58"/>
      <c r="P847" s="58"/>
    </row>
    <row r="848" spans="2:16">
      <c r="B848" s="587"/>
      <c r="C848" s="484">
        <v>2.92</v>
      </c>
      <c r="D848" s="542">
        <v>1.8480000000000001</v>
      </c>
      <c r="E848" s="164">
        <f t="shared" si="102"/>
        <v>2.4761600000000001</v>
      </c>
      <c r="F848" s="197">
        <f>SUM($E$2:E848)/SUM($C$2:C848)</f>
        <v>3.6810644171610091E-2</v>
      </c>
      <c r="G848" s="164">
        <f t="shared" si="103"/>
        <v>69.400211776061809</v>
      </c>
      <c r="H848" s="485" t="s">
        <v>296</v>
      </c>
      <c r="I848" s="2"/>
      <c r="J848" s="2"/>
      <c r="K848" s="2"/>
      <c r="L848" s="2"/>
      <c r="O848" s="58"/>
      <c r="P848" s="58"/>
    </row>
    <row r="849" spans="2:16">
      <c r="B849" s="587"/>
      <c r="C849" s="484">
        <v>2.92</v>
      </c>
      <c r="D849" s="542">
        <v>1.9</v>
      </c>
      <c r="E849" s="164">
        <f t="shared" si="102"/>
        <v>2.6280000000000001</v>
      </c>
      <c r="F849" s="197">
        <f>SUM($E$2:E849)/SUM($C$2:C849)</f>
        <v>3.8145484854262751E-2</v>
      </c>
      <c r="G849" s="164">
        <f t="shared" si="103"/>
        <v>72.028211776061809</v>
      </c>
      <c r="H849" s="485" t="s">
        <v>297</v>
      </c>
      <c r="I849" s="2"/>
      <c r="J849" s="2"/>
      <c r="K849" s="2"/>
      <c r="L849" s="2"/>
      <c r="O849" s="58"/>
      <c r="P849" s="58"/>
    </row>
    <row r="850" spans="2:16">
      <c r="B850" s="587"/>
      <c r="C850" s="491">
        <v>2.92</v>
      </c>
      <c r="D850" s="536">
        <v>1.8560000000000001</v>
      </c>
      <c r="E850" s="257">
        <f t="shared" si="102"/>
        <v>2.4995200000000004</v>
      </c>
      <c r="F850" s="256">
        <f>SUM($E$2:E850)/SUM($C$2:C850)</f>
        <v>3.9408266721691669E-2</v>
      </c>
      <c r="G850" s="257">
        <f t="shared" si="103"/>
        <v>74.527731776061813</v>
      </c>
      <c r="H850" s="492" t="s">
        <v>298</v>
      </c>
      <c r="I850" s="490">
        <f>SUM(E843:E850)</f>
        <v>15.441079999999999</v>
      </c>
      <c r="J850" s="490">
        <f>SUM(E794:E850)</f>
        <v>46.224360000000004</v>
      </c>
      <c r="L850" s="2">
        <f>I850/C850</f>
        <v>5.2880410958904109</v>
      </c>
      <c r="O850" s="58"/>
      <c r="P850" s="58"/>
    </row>
    <row r="851" spans="2:16">
      <c r="B851" s="586">
        <v>46048</v>
      </c>
      <c r="C851" s="484">
        <v>3.4</v>
      </c>
      <c r="D851" s="542"/>
      <c r="E851" s="164">
        <f t="shared" ref="E851:E860" si="104">(C851*D851)-C851</f>
        <v>-3.4</v>
      </c>
      <c r="F851" s="197">
        <f>SUM($E$2:E851)/SUM($C$2:C851)</f>
        <v>3.7542942079765669E-2</v>
      </c>
      <c r="G851" s="164">
        <f t="shared" ref="G851:G860" si="105">G850+E851</f>
        <v>71.127731776061808</v>
      </c>
      <c r="H851" s="485" t="s">
        <v>14</v>
      </c>
      <c r="I851" s="2"/>
      <c r="J851" s="2"/>
      <c r="K851" s="2"/>
      <c r="L851" s="2"/>
      <c r="O851" s="58"/>
      <c r="P851" s="58"/>
    </row>
    <row r="852" spans="2:16">
      <c r="B852" s="587"/>
      <c r="C852" s="484">
        <v>3.4</v>
      </c>
      <c r="D852" s="542"/>
      <c r="E852" s="164">
        <f t="shared" si="104"/>
        <v>-3.4</v>
      </c>
      <c r="F852" s="197">
        <f>SUM($E$2:E852)/SUM($C$2:C852)</f>
        <v>3.5684300476857715E-2</v>
      </c>
      <c r="G852" s="164">
        <f t="shared" si="105"/>
        <v>67.727731776061802</v>
      </c>
      <c r="H852" s="485" t="s">
        <v>15</v>
      </c>
      <c r="I852" s="2"/>
      <c r="J852" s="2"/>
      <c r="K852" s="2"/>
      <c r="L852" s="2"/>
      <c r="O852" s="58"/>
      <c r="P852" s="58"/>
    </row>
    <row r="853" spans="2:16">
      <c r="B853" s="587"/>
      <c r="C853" s="546">
        <v>3.4</v>
      </c>
      <c r="D853" s="537">
        <v>1.8160000000000001</v>
      </c>
      <c r="E853" s="537">
        <f t="shared" si="104"/>
        <v>2.7744000000000004</v>
      </c>
      <c r="F853" s="547">
        <f>SUM($E$2:E853)/SUM($C$2:C853)</f>
        <v>3.7079648766974144E-2</v>
      </c>
      <c r="G853" s="537">
        <f t="shared" si="105"/>
        <v>70.502131776061802</v>
      </c>
      <c r="H853" s="548" t="s">
        <v>46</v>
      </c>
      <c r="I853" s="2"/>
      <c r="J853" s="2"/>
      <c r="K853" s="2"/>
      <c r="L853" s="2"/>
      <c r="O853" s="58"/>
      <c r="P853" s="58"/>
    </row>
    <row r="854" spans="2:16">
      <c r="B854" s="587"/>
      <c r="C854" s="546">
        <v>3.4</v>
      </c>
      <c r="D854" s="537">
        <v>1.9</v>
      </c>
      <c r="E854" s="537">
        <f t="shared" si="104"/>
        <v>3.06</v>
      </c>
      <c r="F854" s="547">
        <f>SUM($E$2:E854)/SUM($C$2:C854)</f>
        <v>3.8619955047623396E-2</v>
      </c>
      <c r="G854" s="537">
        <f t="shared" si="105"/>
        <v>73.562131776061804</v>
      </c>
      <c r="H854" s="548" t="s">
        <v>37</v>
      </c>
      <c r="I854" s="2"/>
      <c r="J854" s="2"/>
      <c r="K854" s="2"/>
      <c r="L854" s="2"/>
      <c r="O854" s="58"/>
      <c r="P854" s="58"/>
    </row>
    <row r="855" spans="2:16">
      <c r="B855" s="587"/>
      <c r="C855" s="549">
        <v>3.4</v>
      </c>
      <c r="D855" s="536">
        <v>1.8160000000000001</v>
      </c>
      <c r="E855" s="536">
        <f t="shared" si="104"/>
        <v>2.7744000000000004</v>
      </c>
      <c r="F855" s="550">
        <f>SUM($E$2:E855)/SUM($C$2:C855)</f>
        <v>4.0005100057155081E-2</v>
      </c>
      <c r="G855" s="536">
        <f t="shared" si="105"/>
        <v>76.336531776061804</v>
      </c>
      <c r="H855" s="551" t="s">
        <v>104</v>
      </c>
      <c r="I855" s="2"/>
      <c r="J855" s="2"/>
      <c r="K855" s="2"/>
      <c r="L855" s="2"/>
      <c r="O855" s="58"/>
      <c r="P855" s="58"/>
    </row>
    <row r="856" spans="2:16">
      <c r="B856" s="587"/>
      <c r="C856" s="546">
        <v>3.4</v>
      </c>
      <c r="D856" s="537"/>
      <c r="E856" s="537">
        <f t="shared" si="104"/>
        <v>-3.4</v>
      </c>
      <c r="F856" s="547">
        <f>SUM($E$2:E856)/SUM($C$2:C856)</f>
        <v>3.8155302592142379E-2</v>
      </c>
      <c r="G856" s="537">
        <f t="shared" si="105"/>
        <v>72.936531776061798</v>
      </c>
      <c r="H856" s="548" t="s">
        <v>299</v>
      </c>
      <c r="I856" s="2"/>
      <c r="J856" s="2"/>
      <c r="K856" s="2"/>
      <c r="L856" s="2"/>
      <c r="O856" s="58"/>
      <c r="P856" s="58"/>
    </row>
    <row r="857" spans="2:16">
      <c r="B857" s="587"/>
      <c r="C857" s="546">
        <v>3.4</v>
      </c>
      <c r="D857" s="537">
        <v>1.835</v>
      </c>
      <c r="E857" s="537">
        <f t="shared" si="104"/>
        <v>2.839</v>
      </c>
      <c r="F857" s="547">
        <f>SUM($E$2:E857)/SUM($C$2:C857)</f>
        <v>3.9570088187314473E-2</v>
      </c>
      <c r="G857" s="537">
        <f t="shared" si="105"/>
        <v>75.775531776061797</v>
      </c>
      <c r="H857" s="548" t="s">
        <v>300</v>
      </c>
      <c r="I857" s="2"/>
      <c r="J857" s="2"/>
      <c r="K857" s="2"/>
      <c r="L857" s="2"/>
      <c r="O857" s="58"/>
      <c r="P857" s="58"/>
    </row>
    <row r="858" spans="2:16">
      <c r="B858" s="587"/>
      <c r="C858" s="546">
        <v>3.4</v>
      </c>
      <c r="D858" s="537"/>
      <c r="E858" s="537">
        <f t="shared" si="104"/>
        <v>-3.4</v>
      </c>
      <c r="F858" s="547">
        <f>SUM($E$2:E858)/SUM($C$2:C858)</f>
        <v>3.7727618642942495E-2</v>
      </c>
      <c r="G858" s="537">
        <f t="shared" si="105"/>
        <v>72.375531776061791</v>
      </c>
      <c r="H858" s="548" t="s">
        <v>301</v>
      </c>
      <c r="I858" s="2"/>
      <c r="J858" s="2"/>
      <c r="K858" s="2"/>
      <c r="L858" s="2"/>
      <c r="O858" s="58"/>
      <c r="P858" s="58"/>
    </row>
    <row r="859" spans="2:16">
      <c r="B859" s="587"/>
      <c r="C859" s="549">
        <v>3.4</v>
      </c>
      <c r="D859" s="536">
        <v>1.8480000000000001</v>
      </c>
      <c r="E859" s="536">
        <f t="shared" si="104"/>
        <v>2.8832</v>
      </c>
      <c r="F859" s="550">
        <f>SUM($E$2:E859)/SUM($C$2:C859)</f>
        <v>3.9161154444112244E-2</v>
      </c>
      <c r="G859" s="536">
        <f t="shared" si="105"/>
        <v>75.258731776061794</v>
      </c>
      <c r="H859" s="551" t="s">
        <v>296</v>
      </c>
      <c r="I859" s="2"/>
      <c r="J859" s="2"/>
      <c r="K859" s="2"/>
      <c r="L859" s="2"/>
      <c r="O859" s="58"/>
      <c r="P859" s="58"/>
    </row>
    <row r="860" spans="2:16">
      <c r="B860" s="587"/>
      <c r="C860" s="549">
        <v>3.4</v>
      </c>
      <c r="D860" s="536"/>
      <c r="E860" s="536">
        <f t="shared" si="104"/>
        <v>-3.4</v>
      </c>
      <c r="F860" s="550">
        <f>SUM($E$2:E860)/SUM($C$2:C860)</f>
        <v>3.7325914997668568E-2</v>
      </c>
      <c r="G860" s="536">
        <f t="shared" si="105"/>
        <v>71.858731776061788</v>
      </c>
      <c r="H860" s="551" t="s">
        <v>35</v>
      </c>
      <c r="I860" s="2">
        <f>SUM(E851:E860)</f>
        <v>-2.6689999999999983</v>
      </c>
      <c r="L860" s="2">
        <f>I860/C860</f>
        <v>-0.78499999999999948</v>
      </c>
      <c r="O860" s="58"/>
      <c r="P860" s="58"/>
    </row>
    <row r="861" spans="2:16">
      <c r="B861" s="586">
        <v>46049</v>
      </c>
      <c r="C861" s="546">
        <v>3.4</v>
      </c>
      <c r="D861" s="537"/>
      <c r="E861" s="537">
        <f t="shared" ref="E861:E870" si="106">(C861*D861)-C861</f>
        <v>-3.4</v>
      </c>
      <c r="F861" s="547">
        <f>SUM($E$2:E861)/SUM($C$2:C861)</f>
        <v>3.5497146474362661E-2</v>
      </c>
      <c r="G861" s="537">
        <f t="shared" ref="G861:G870" si="107">G860+E861</f>
        <v>68.458731776061782</v>
      </c>
      <c r="H861" s="548" t="s">
        <v>11</v>
      </c>
      <c r="I861" s="2"/>
      <c r="J861" s="2"/>
      <c r="K861" s="2"/>
      <c r="L861" s="2"/>
      <c r="O861" s="58"/>
      <c r="P861" s="58"/>
    </row>
    <row r="862" spans="2:16">
      <c r="B862" s="587"/>
      <c r="C862" s="546">
        <v>3.4</v>
      </c>
      <c r="D862" s="537">
        <v>1.9390000000000001</v>
      </c>
      <c r="E862" s="537">
        <f t="shared" si="106"/>
        <v>3.1926000000000001</v>
      </c>
      <c r="F862" s="547">
        <f>SUM($E$2:E862)/SUM($C$2:C862)</f>
        <v>3.7087186538125115E-2</v>
      </c>
      <c r="G862" s="537">
        <f t="shared" si="107"/>
        <v>71.651331776061781</v>
      </c>
      <c r="H862" s="548" t="s">
        <v>29</v>
      </c>
      <c r="I862" s="2"/>
      <c r="J862" s="2"/>
      <c r="K862" s="2"/>
      <c r="L862" s="2"/>
      <c r="O862" s="58"/>
      <c r="P862" s="58"/>
    </row>
    <row r="863" spans="2:16">
      <c r="B863" s="587"/>
      <c r="C863" s="546">
        <v>3.4</v>
      </c>
      <c r="D863" s="537">
        <v>1.91</v>
      </c>
      <c r="E863" s="537">
        <f t="shared" si="106"/>
        <v>3.0939999999999999</v>
      </c>
      <c r="F863" s="547">
        <f>SUM($E$2:E863)/SUM($C$2:C863)</f>
        <v>3.8620693601772046E-2</v>
      </c>
      <c r="G863" s="537">
        <f t="shared" si="107"/>
        <v>74.745331776061775</v>
      </c>
      <c r="H863" s="548" t="s">
        <v>30</v>
      </c>
      <c r="I863" s="2"/>
      <c r="J863" s="2"/>
      <c r="K863" s="2"/>
      <c r="L863" s="2"/>
      <c r="O863" s="58"/>
      <c r="P863" s="58"/>
    </row>
    <row r="864" spans="2:16">
      <c r="B864" s="587"/>
      <c r="C864" s="549">
        <v>3.4</v>
      </c>
      <c r="D864" s="536">
        <v>1.9</v>
      </c>
      <c r="E864" s="536">
        <f t="shared" si="106"/>
        <v>3.06</v>
      </c>
      <c r="F864" s="550">
        <f>SUM($E$2:E864)/SUM($C$2:C864)</f>
        <v>4.0131285183937007E-2</v>
      </c>
      <c r="G864" s="536">
        <f t="shared" si="107"/>
        <v>77.805331776061777</v>
      </c>
      <c r="H864" s="551" t="s">
        <v>59</v>
      </c>
      <c r="I864" s="2"/>
      <c r="J864" s="2"/>
      <c r="K864" s="2"/>
      <c r="L864" s="2"/>
      <c r="O864" s="58"/>
      <c r="P864" s="58"/>
    </row>
    <row r="865" spans="2:16">
      <c r="B865" s="587"/>
      <c r="C865" s="546">
        <v>3.4</v>
      </c>
      <c r="D865" s="537">
        <v>1.825</v>
      </c>
      <c r="E865" s="537">
        <f t="shared" si="106"/>
        <v>2.8050000000000002</v>
      </c>
      <c r="F865" s="547">
        <f>SUM($E$2:E865)/SUM($C$2:C865)</f>
        <v>4.1505291388530124E-2</v>
      </c>
      <c r="G865" s="537">
        <f t="shared" si="107"/>
        <v>80.610331776061784</v>
      </c>
      <c r="H865" s="548" t="s">
        <v>302</v>
      </c>
      <c r="I865" s="2"/>
      <c r="J865" s="2"/>
      <c r="K865" s="2"/>
      <c r="L865" s="2"/>
      <c r="O865" s="58"/>
      <c r="P865" s="58"/>
    </row>
    <row r="866" spans="2:16">
      <c r="B866" s="587"/>
      <c r="C866" s="546">
        <v>3.4</v>
      </c>
      <c r="D866" s="537">
        <v>1.9</v>
      </c>
      <c r="E866" s="537">
        <f t="shared" si="106"/>
        <v>3.06</v>
      </c>
      <c r="F866" s="547">
        <f>SUM($E$2:E866)/SUM($C$2:C866)</f>
        <v>4.3005562265074779E-2</v>
      </c>
      <c r="G866" s="537">
        <f t="shared" si="107"/>
        <v>83.670331776061786</v>
      </c>
      <c r="H866" s="548" t="s">
        <v>303</v>
      </c>
      <c r="I866" s="2"/>
      <c r="J866" s="2"/>
      <c r="K866" s="2"/>
      <c r="L866" s="2"/>
      <c r="O866" s="58"/>
      <c r="P866" s="58"/>
    </row>
    <row r="867" spans="2:16">
      <c r="B867" s="587"/>
      <c r="C867" s="546">
        <v>3.4</v>
      </c>
      <c r="D867" s="537">
        <v>1.98</v>
      </c>
      <c r="E867" s="537">
        <f t="shared" si="106"/>
        <v>3.3320000000000003</v>
      </c>
      <c r="F867" s="547">
        <f>SUM($E$2:E867)/SUM($C$2:C867)</f>
        <v>4.4640159559183316E-2</v>
      </c>
      <c r="G867" s="537">
        <f t="shared" si="107"/>
        <v>87.00233177606178</v>
      </c>
      <c r="H867" s="548" t="s">
        <v>304</v>
      </c>
      <c r="I867" s="2"/>
      <c r="J867" s="2"/>
      <c r="K867" s="2"/>
      <c r="L867" s="2"/>
      <c r="O867" s="58"/>
      <c r="P867" s="58"/>
    </row>
    <row r="868" spans="2:16">
      <c r="B868" s="587"/>
      <c r="C868" s="546">
        <v>3.4</v>
      </c>
      <c r="D868" s="537">
        <v>1.85</v>
      </c>
      <c r="E868" s="537">
        <f t="shared" si="106"/>
        <v>2.89</v>
      </c>
      <c r="F868" s="547">
        <f>SUM($E$2:E868)/SUM($C$2:C868)</f>
        <v>4.6042672124680009E-2</v>
      </c>
      <c r="G868" s="537">
        <f t="shared" si="107"/>
        <v>89.892331776061781</v>
      </c>
      <c r="H868" s="548" t="s">
        <v>305</v>
      </c>
      <c r="I868" s="2"/>
      <c r="J868" s="2"/>
      <c r="K868" s="2"/>
      <c r="L868" s="2"/>
      <c r="O868" s="58"/>
      <c r="P868" s="58"/>
    </row>
    <row r="869" spans="2:16">
      <c r="B869" s="587"/>
      <c r="C869" s="549">
        <v>3.4</v>
      </c>
      <c r="D869" s="536">
        <v>1.825</v>
      </c>
      <c r="E869" s="536">
        <f t="shared" si="106"/>
        <v>2.8050000000000002</v>
      </c>
      <c r="F869" s="550">
        <f>SUM($E$2:E869)/SUM($C$2:C869)</f>
        <v>4.7396847163041413E-2</v>
      </c>
      <c r="G869" s="536">
        <f t="shared" si="107"/>
        <v>92.697331776061787</v>
      </c>
      <c r="H869" s="551" t="s">
        <v>306</v>
      </c>
      <c r="I869" s="2"/>
      <c r="J869" s="2"/>
      <c r="K869" s="2"/>
      <c r="L869" s="2"/>
      <c r="O869" s="58"/>
      <c r="P869" s="58"/>
    </row>
    <row r="870" spans="2:16">
      <c r="B870" s="587"/>
      <c r="C870" s="549">
        <v>3.4</v>
      </c>
      <c r="D870" s="536"/>
      <c r="E870" s="536">
        <f t="shared" si="106"/>
        <v>-3.4</v>
      </c>
      <c r="F870" s="550">
        <f>SUM($E$2:E870)/SUM($C$2:C870)</f>
        <v>4.5579164531950517E-2</v>
      </c>
      <c r="G870" s="536">
        <f t="shared" si="107"/>
        <v>89.297331776061782</v>
      </c>
      <c r="H870" s="551" t="s">
        <v>59</v>
      </c>
      <c r="I870" s="2">
        <f>SUM(E861:E870)</f>
        <v>17.438600000000001</v>
      </c>
      <c r="L870" s="2">
        <f>I870/C870</f>
        <v>5.1290000000000004</v>
      </c>
      <c r="O870" s="58"/>
      <c r="P870" s="58"/>
    </row>
    <row r="871" spans="2:16">
      <c r="B871" s="586">
        <v>46050</v>
      </c>
      <c r="C871" s="546">
        <v>2.71</v>
      </c>
      <c r="D871" s="537"/>
      <c r="E871" s="537">
        <f t="shared" ref="E871:E885" si="108">(C871*D871)-C871</f>
        <v>-2.71</v>
      </c>
      <c r="F871" s="547">
        <f>SUM($E$2:E871)/SUM($C$2:C871)</f>
        <v>4.4134876636726765E-2</v>
      </c>
      <c r="G871" s="537">
        <f t="shared" ref="G871:G885" si="109">G870+E871</f>
        <v>86.587331776061788</v>
      </c>
      <c r="H871" s="548" t="s">
        <v>46</v>
      </c>
      <c r="I871" s="2"/>
      <c r="J871" s="2"/>
      <c r="K871" s="2"/>
      <c r="L871" s="2"/>
      <c r="O871" s="58"/>
      <c r="P871" s="58"/>
    </row>
    <row r="872" spans="2:16">
      <c r="B872" s="587"/>
      <c r="C872" s="546">
        <v>2.71</v>
      </c>
      <c r="D872" s="537">
        <v>1.8160000000000001</v>
      </c>
      <c r="E872" s="537">
        <f t="shared" si="108"/>
        <v>2.21136</v>
      </c>
      <c r="F872" s="547">
        <f>SUM($E$2:E872)/SUM($C$2:C872)</f>
        <v>4.5199604892655211E-2</v>
      </c>
      <c r="G872" s="537">
        <f t="shared" si="109"/>
        <v>88.798691776061787</v>
      </c>
      <c r="H872" s="548" t="s">
        <v>60</v>
      </c>
      <c r="I872" s="2"/>
      <c r="J872" s="2"/>
      <c r="K872" s="2"/>
      <c r="L872" s="2"/>
      <c r="O872" s="58"/>
      <c r="P872" s="58"/>
    </row>
    <row r="873" spans="2:16">
      <c r="B873" s="587"/>
      <c r="C873" s="546">
        <v>2.71</v>
      </c>
      <c r="D873" s="537">
        <v>1.84</v>
      </c>
      <c r="E873" s="537">
        <f t="shared" si="108"/>
        <v>2.2763999999999998</v>
      </c>
      <c r="F873" s="547">
        <f>SUM($E$2:E873)/SUM($C$2:C873)</f>
        <v>4.6294460314167382E-2</v>
      </c>
      <c r="G873" s="537">
        <f t="shared" si="109"/>
        <v>91.075091776061782</v>
      </c>
      <c r="H873" s="548" t="s">
        <v>37</v>
      </c>
      <c r="I873" s="2"/>
      <c r="J873" s="2"/>
      <c r="K873" s="2"/>
      <c r="L873" s="2"/>
      <c r="O873" s="58"/>
      <c r="P873" s="58"/>
    </row>
    <row r="874" spans="2:16">
      <c r="B874" s="587"/>
      <c r="C874" s="546">
        <v>2.71</v>
      </c>
      <c r="D874" s="537">
        <v>1.9</v>
      </c>
      <c r="E874" s="537">
        <f t="shared" si="108"/>
        <v>2.4390000000000001</v>
      </c>
      <c r="F874" s="547">
        <f>SUM($E$2:E874)/SUM($C$2:C874)</f>
        <v>4.7468841161243586E-2</v>
      </c>
      <c r="G874" s="537">
        <f t="shared" si="109"/>
        <v>93.514091776061775</v>
      </c>
      <c r="H874" s="548" t="s">
        <v>25</v>
      </c>
      <c r="I874" s="2"/>
      <c r="J874" s="2"/>
      <c r="K874" s="2"/>
      <c r="L874" s="2"/>
      <c r="O874" s="58"/>
      <c r="P874" s="58"/>
    </row>
    <row r="875" spans="2:16">
      <c r="B875" s="587"/>
      <c r="C875" s="549">
        <v>2.71</v>
      </c>
      <c r="D875" s="536"/>
      <c r="E875" s="536">
        <f t="shared" si="108"/>
        <v>-2.71</v>
      </c>
      <c r="F875" s="550">
        <f>SUM($E$2:E875)/SUM($C$2:C875)</f>
        <v>4.6029893637242733E-2</v>
      </c>
      <c r="G875" s="536">
        <f t="shared" si="109"/>
        <v>90.804091776061782</v>
      </c>
      <c r="H875" s="551" t="s">
        <v>47</v>
      </c>
      <c r="I875" s="2"/>
      <c r="J875" s="2"/>
      <c r="K875" s="2"/>
      <c r="L875" s="2"/>
      <c r="O875" s="58"/>
      <c r="P875" s="58"/>
    </row>
    <row r="876" spans="2:16">
      <c r="B876" s="587"/>
      <c r="C876" s="546">
        <v>2.71</v>
      </c>
      <c r="D876" s="537">
        <v>1.825</v>
      </c>
      <c r="E876" s="537">
        <f t="shared" si="108"/>
        <v>2.2357499999999995</v>
      </c>
      <c r="F876" s="547">
        <f>SUM($E$2:E876)/SUM($C$2:C876)</f>
        <v>4.7098526283422586E-2</v>
      </c>
      <c r="G876" s="537">
        <f t="shared" si="109"/>
        <v>93.039841776061778</v>
      </c>
      <c r="H876" s="548" t="s">
        <v>307</v>
      </c>
      <c r="I876" s="2"/>
      <c r="J876" s="2"/>
      <c r="K876" s="2"/>
      <c r="L876" s="2"/>
      <c r="O876" s="58"/>
      <c r="P876" s="58"/>
    </row>
    <row r="877" spans="2:16">
      <c r="B877" s="587"/>
      <c r="C877" s="546">
        <v>2.71</v>
      </c>
      <c r="D877" s="537">
        <v>1.8160000000000001</v>
      </c>
      <c r="E877" s="537">
        <f t="shared" si="108"/>
        <v>2.21136</v>
      </c>
      <c r="F877" s="547">
        <f>SUM($E$2:E877)/SUM($C$2:C877)</f>
        <v>4.8151901167794726E-2</v>
      </c>
      <c r="G877" s="537">
        <f t="shared" si="109"/>
        <v>95.251201776061777</v>
      </c>
      <c r="H877" s="548" t="s">
        <v>308</v>
      </c>
      <c r="I877" s="2"/>
      <c r="J877" s="2"/>
      <c r="K877" s="2"/>
      <c r="L877" s="2"/>
      <c r="O877" s="58"/>
      <c r="P877" s="58"/>
    </row>
    <row r="878" spans="2:16">
      <c r="B878" s="587"/>
      <c r="C878" s="546">
        <v>2.71</v>
      </c>
      <c r="D878" s="537">
        <v>1.835</v>
      </c>
      <c r="E878" s="537">
        <f t="shared" si="108"/>
        <v>2.2628500000000003</v>
      </c>
      <c r="F878" s="547">
        <f>SUM($E$2:E878)/SUM($C$2:C878)</f>
        <v>4.9228387700260723E-2</v>
      </c>
      <c r="G878" s="537">
        <f t="shared" si="109"/>
        <v>97.514051776061777</v>
      </c>
      <c r="H878" s="548" t="s">
        <v>309</v>
      </c>
      <c r="I878" s="2"/>
      <c r="J878" s="2"/>
      <c r="K878" s="2"/>
      <c r="L878" s="2"/>
      <c r="O878" s="58"/>
      <c r="P878" s="58"/>
    </row>
    <row r="879" spans="2:16">
      <c r="B879" s="587"/>
      <c r="C879" s="546">
        <v>2.71</v>
      </c>
      <c r="D879" s="537"/>
      <c r="E879" s="537">
        <f t="shared" si="108"/>
        <v>-2.71</v>
      </c>
      <c r="F879" s="547">
        <f>SUM($E$2:E879)/SUM($C$2:C879)</f>
        <v>4.7794899965749191E-2</v>
      </c>
      <c r="G879" s="537">
        <f t="shared" si="109"/>
        <v>94.804051776061783</v>
      </c>
      <c r="H879" s="548" t="s">
        <v>310</v>
      </c>
      <c r="I879" s="2"/>
      <c r="J879" s="2"/>
      <c r="K879" s="2"/>
      <c r="L879" s="2"/>
      <c r="O879" s="58"/>
      <c r="P879" s="58"/>
    </row>
    <row r="880" spans="2:16">
      <c r="B880" s="587"/>
      <c r="C880" s="546">
        <v>2.71</v>
      </c>
      <c r="D880" s="537">
        <v>1.9</v>
      </c>
      <c r="E880" s="537">
        <f t="shared" si="108"/>
        <v>2.4390000000000001</v>
      </c>
      <c r="F880" s="547">
        <f>SUM($E$2:E880)/SUM($C$2:C880)</f>
        <v>4.8957619948980478E-2</v>
      </c>
      <c r="G880" s="537">
        <f t="shared" si="109"/>
        <v>97.243051776061776</v>
      </c>
      <c r="H880" s="548" t="s">
        <v>169</v>
      </c>
      <c r="I880" s="2"/>
      <c r="J880" s="2"/>
      <c r="K880" s="2"/>
      <c r="L880" s="2"/>
      <c r="O880" s="58"/>
      <c r="P880" s="58"/>
    </row>
    <row r="881" spans="2:16">
      <c r="B881" s="587"/>
      <c r="C881" s="546">
        <v>2.71</v>
      </c>
      <c r="D881" s="537">
        <v>1.825</v>
      </c>
      <c r="E881" s="537">
        <f t="shared" si="108"/>
        <v>2.2357499999999995</v>
      </c>
      <c r="F881" s="547">
        <f>SUM($E$2:E881)/SUM($C$2:C881)</f>
        <v>5.0014983446822717E-2</v>
      </c>
      <c r="G881" s="537">
        <f t="shared" si="109"/>
        <v>99.478801776061772</v>
      </c>
      <c r="H881" s="548" t="s">
        <v>311</v>
      </c>
      <c r="I881" s="2"/>
      <c r="J881" s="2"/>
      <c r="K881" s="2"/>
      <c r="L881" s="2"/>
      <c r="O881" s="58"/>
      <c r="P881" s="58"/>
    </row>
    <row r="882" spans="2:16">
      <c r="B882" s="587"/>
      <c r="C882" s="549">
        <v>2.71</v>
      </c>
      <c r="D882" s="536"/>
      <c r="E882" s="536">
        <f t="shared" si="108"/>
        <v>-2.71</v>
      </c>
      <c r="F882" s="550">
        <f>SUM($E$2:E882)/SUM($C$2:C882)</f>
        <v>4.8586276868419008E-2</v>
      </c>
      <c r="G882" s="536">
        <f t="shared" si="109"/>
        <v>96.768801776061778</v>
      </c>
      <c r="H882" s="551" t="s">
        <v>312</v>
      </c>
      <c r="I882" s="2"/>
      <c r="J882" s="2"/>
      <c r="K882" s="2"/>
      <c r="L882" s="2"/>
      <c r="O882" s="58"/>
      <c r="P882" s="58"/>
    </row>
    <row r="883" spans="2:16">
      <c r="B883" s="587"/>
      <c r="C883" s="546">
        <v>2.71</v>
      </c>
      <c r="D883" s="537">
        <v>2.19</v>
      </c>
      <c r="E883" s="537">
        <f t="shared" si="108"/>
        <v>3.2248999999999999</v>
      </c>
      <c r="F883" s="547">
        <f>SUM($E$2:E883)/SUM($C$2:C883)</f>
        <v>5.0137235146440758E-2</v>
      </c>
      <c r="G883" s="537">
        <f t="shared" si="109"/>
        <v>99.993701776061783</v>
      </c>
      <c r="H883" s="548" t="s">
        <v>60</v>
      </c>
      <c r="I883" s="2"/>
      <c r="J883" s="2"/>
      <c r="K883" s="2"/>
      <c r="L883" s="2"/>
      <c r="O883" s="58"/>
      <c r="P883" s="58"/>
    </row>
    <row r="884" spans="2:16">
      <c r="B884" s="587"/>
      <c r="C884" s="546">
        <v>2.71</v>
      </c>
      <c r="D884" s="537">
        <v>2.08</v>
      </c>
      <c r="E884" s="537">
        <f t="shared" si="108"/>
        <v>2.9268000000000001</v>
      </c>
      <c r="F884" s="547">
        <f>SUM($E$2:E884)/SUM($C$2:C884)</f>
        <v>5.1534718556344637E-2</v>
      </c>
      <c r="G884" s="537">
        <f t="shared" si="109"/>
        <v>102.92050177606178</v>
      </c>
      <c r="H884" s="548" t="s">
        <v>29</v>
      </c>
      <c r="I884" s="2"/>
      <c r="J884" s="2"/>
      <c r="K884" s="2"/>
      <c r="L884" s="2"/>
      <c r="O884" s="58"/>
      <c r="P884" s="58"/>
    </row>
    <row r="885" spans="2:16">
      <c r="B885" s="587"/>
      <c r="C885" s="549">
        <v>2.71</v>
      </c>
      <c r="D885" s="536"/>
      <c r="E885" s="536">
        <f t="shared" si="108"/>
        <v>-2.71</v>
      </c>
      <c r="F885" s="550">
        <f>SUM($E$2:E885)/SUM($C$2:C885)</f>
        <v>5.0109760766499707E-2</v>
      </c>
      <c r="G885" s="536">
        <f t="shared" si="109"/>
        <v>100.21050177606179</v>
      </c>
      <c r="H885" s="551" t="s">
        <v>17</v>
      </c>
      <c r="I885" s="2">
        <f>SUM(E871:E885)</f>
        <v>10.913169999999997</v>
      </c>
      <c r="L885" s="2">
        <f>I885/C885</f>
        <v>4.0269999999999992</v>
      </c>
      <c r="O885" s="58"/>
      <c r="P885" s="58"/>
    </row>
    <row r="886" spans="2:16">
      <c r="B886" s="586">
        <v>46051</v>
      </c>
      <c r="C886" s="546">
        <v>3.09</v>
      </c>
      <c r="D886" s="537">
        <v>1.8260000000000001</v>
      </c>
      <c r="E886" s="537">
        <f t="shared" ref="E886:E894" si="110">(C886*D886)-C886</f>
        <v>2.5523400000000001</v>
      </c>
      <c r="F886" s="547">
        <f>SUM($E$2:E886)/SUM($C$2:C886)</f>
        <v>5.130676953835242E-2</v>
      </c>
      <c r="G886" s="537">
        <f t="shared" ref="G886:G894" si="111">G885+E886</f>
        <v>102.76284177606179</v>
      </c>
      <c r="H886" s="548" t="s">
        <v>51</v>
      </c>
      <c r="I886" s="2"/>
      <c r="J886" s="2"/>
      <c r="K886" s="2"/>
      <c r="L886" s="2"/>
      <c r="O886" s="58"/>
      <c r="P886" s="58"/>
    </row>
    <row r="887" spans="2:16">
      <c r="B887" s="587"/>
      <c r="C887" s="546">
        <v>3.09</v>
      </c>
      <c r="D887" s="537">
        <v>1.8260000000000001</v>
      </c>
      <c r="E887" s="537">
        <f t="shared" si="110"/>
        <v>2.5523400000000001</v>
      </c>
      <c r="F887" s="547">
        <f>SUM($E$2:E887)/SUM($C$2:C887)</f>
        <v>5.2500090616182174E-2</v>
      </c>
      <c r="G887" s="537">
        <f t="shared" si="111"/>
        <v>105.31518177606179</v>
      </c>
      <c r="H887" s="548" t="s">
        <v>35</v>
      </c>
      <c r="I887" s="2"/>
      <c r="J887" s="2"/>
      <c r="K887" s="2"/>
      <c r="L887" s="2"/>
      <c r="O887" s="58"/>
      <c r="P887" s="58"/>
    </row>
    <row r="888" spans="2:16">
      <c r="B888" s="587"/>
      <c r="C888" s="549">
        <v>3.09</v>
      </c>
      <c r="D888" s="536">
        <v>1.9</v>
      </c>
      <c r="E888" s="536">
        <f t="shared" si="110"/>
        <v>2.7809999999999997</v>
      </c>
      <c r="F888" s="550">
        <f>SUM($E$2:E888)/SUM($C$2:C888)</f>
        <v>5.3803553736299241E-2</v>
      </c>
      <c r="G888" s="536">
        <f t="shared" si="111"/>
        <v>108.0961817760618</v>
      </c>
      <c r="H888" s="551" t="s">
        <v>36</v>
      </c>
      <c r="I888" s="2"/>
      <c r="J888" s="2"/>
      <c r="K888" s="2"/>
      <c r="L888" s="2"/>
      <c r="O888" s="58"/>
      <c r="P888" s="58"/>
    </row>
    <row r="889" spans="2:16">
      <c r="B889" s="587"/>
      <c r="C889" s="546">
        <v>3.09</v>
      </c>
      <c r="D889" s="537">
        <v>1.8160000000000001</v>
      </c>
      <c r="E889" s="537">
        <f t="shared" si="110"/>
        <v>2.5214400000000001</v>
      </c>
      <c r="F889" s="547">
        <f>SUM($E$2:E889)/SUM($C$2:C889)</f>
        <v>5.4974019111640827E-2</v>
      </c>
      <c r="G889" s="537">
        <f t="shared" si="111"/>
        <v>110.6176217760618</v>
      </c>
      <c r="H889" s="548" t="s">
        <v>313</v>
      </c>
      <c r="I889" s="2"/>
      <c r="J889" s="2"/>
      <c r="K889" s="2"/>
      <c r="L889" s="2"/>
      <c r="O889" s="58"/>
      <c r="P889" s="58"/>
    </row>
    <row r="890" spans="2:16">
      <c r="B890" s="587"/>
      <c r="C890" s="546">
        <v>3.09</v>
      </c>
      <c r="D890" s="537">
        <v>1.81</v>
      </c>
      <c r="E890" s="537">
        <f t="shared" si="110"/>
        <v>2.5029000000000003</v>
      </c>
      <c r="F890" s="547">
        <f>SUM($E$2:E890)/SUM($C$2:C890)</f>
        <v>5.6131695393699818E-2</v>
      </c>
      <c r="G890" s="537">
        <f t="shared" si="111"/>
        <v>113.12052177606179</v>
      </c>
      <c r="H890" s="548" t="s">
        <v>314</v>
      </c>
      <c r="I890" s="2"/>
      <c r="J890" s="2"/>
      <c r="K890" s="2"/>
      <c r="L890" s="2"/>
      <c r="O890" s="58"/>
      <c r="P890" s="58"/>
    </row>
    <row r="891" spans="2:16">
      <c r="B891" s="587"/>
      <c r="C891" s="546">
        <v>3.09</v>
      </c>
      <c r="D891" s="537"/>
      <c r="E891" s="537">
        <f t="shared" si="110"/>
        <v>-3.09</v>
      </c>
      <c r="F891" s="547">
        <f>SUM($E$2:E891)/SUM($C$2:C891)</f>
        <v>5.4514814887364718E-2</v>
      </c>
      <c r="G891" s="537">
        <f t="shared" si="111"/>
        <v>110.03052177606179</v>
      </c>
      <c r="H891" s="548" t="s">
        <v>315</v>
      </c>
      <c r="I891" s="2"/>
      <c r="J891" s="2"/>
      <c r="K891" s="2"/>
      <c r="L891" s="2"/>
      <c r="O891" s="58"/>
      <c r="P891" s="58"/>
    </row>
    <row r="892" spans="2:16">
      <c r="B892" s="587"/>
      <c r="C892" s="546">
        <v>3.09</v>
      </c>
      <c r="D892" s="537"/>
      <c r="E892" s="537">
        <f t="shared" si="110"/>
        <v>-3.09</v>
      </c>
      <c r="F892" s="547">
        <f>SUM($E$2:E892)/SUM($C$2:C892)</f>
        <v>5.2902877526558388E-2</v>
      </c>
      <c r="G892" s="537">
        <f t="shared" si="111"/>
        <v>106.94052177606179</v>
      </c>
      <c r="H892" s="548" t="s">
        <v>316</v>
      </c>
      <c r="I892" s="2"/>
      <c r="J892" s="2"/>
      <c r="K892" s="2"/>
      <c r="L892" s="2"/>
      <c r="O892" s="58"/>
      <c r="P892" s="58"/>
    </row>
    <row r="893" spans="2:16">
      <c r="B893" s="587"/>
      <c r="C893" s="546">
        <v>3.09</v>
      </c>
      <c r="D893" s="537"/>
      <c r="E893" s="537">
        <f t="shared" si="110"/>
        <v>-3.09</v>
      </c>
      <c r="F893" s="547">
        <f>SUM($E$2:E893)/SUM($C$2:C893)</f>
        <v>5.1295860677517596E-2</v>
      </c>
      <c r="G893" s="537">
        <f t="shared" si="111"/>
        <v>103.85052177606178</v>
      </c>
      <c r="H893" s="548" t="s">
        <v>317</v>
      </c>
      <c r="I893" s="2"/>
      <c r="J893" s="2"/>
      <c r="K893" s="2"/>
      <c r="L893" s="2"/>
      <c r="O893" s="58"/>
      <c r="P893" s="58"/>
    </row>
    <row r="894" spans="2:16">
      <c r="B894" s="587"/>
      <c r="C894" s="549">
        <v>3.09</v>
      </c>
      <c r="D894" s="536"/>
      <c r="E894" s="536">
        <f t="shared" si="110"/>
        <v>-3.09</v>
      </c>
      <c r="F894" s="550">
        <f>SUM($E$2:E894)/SUM($C$2:C894)</f>
        <v>4.969374184444967E-2</v>
      </c>
      <c r="G894" s="536">
        <f t="shared" si="111"/>
        <v>100.76052177606178</v>
      </c>
      <c r="H894" s="551" t="s">
        <v>318</v>
      </c>
      <c r="I894" s="2">
        <f>SUM(E886:E894)</f>
        <v>0.55001999999999995</v>
      </c>
      <c r="L894" s="2">
        <f>I894/C894</f>
        <v>0.17799999999999999</v>
      </c>
      <c r="O894" s="58"/>
      <c r="P894" s="58"/>
    </row>
    <row r="895" spans="2:16">
      <c r="B895" s="586">
        <v>46052</v>
      </c>
      <c r="C895" s="546">
        <v>2.75</v>
      </c>
      <c r="D895" s="537"/>
      <c r="E895" s="537">
        <f t="shared" ref="E895:E906" si="112">(C895*D895)-C895</f>
        <v>-2.75</v>
      </c>
      <c r="F895" s="547">
        <f>SUM($E$2:E895)/SUM($C$2:C895)</f>
        <v>4.8272009070253592E-2</v>
      </c>
      <c r="G895" s="537">
        <f t="shared" ref="G895:G906" si="113">G894+E895</f>
        <v>98.010521776061779</v>
      </c>
      <c r="H895" s="548" t="s">
        <v>29</v>
      </c>
      <c r="I895" s="2"/>
      <c r="J895" s="2"/>
      <c r="K895" s="2"/>
      <c r="L895" s="2"/>
      <c r="O895" s="58"/>
      <c r="P895" s="58"/>
    </row>
    <row r="896" spans="2:16">
      <c r="B896" s="587"/>
      <c r="C896" s="546">
        <v>2.75</v>
      </c>
      <c r="D896" s="537">
        <v>1.784</v>
      </c>
      <c r="E896" s="537">
        <f t="shared" si="112"/>
        <v>2.1559999999999997</v>
      </c>
      <c r="F896" s="547">
        <f>SUM($E$2:E896)/SUM($C$2:C896)</f>
        <v>4.9267150539346473E-2</v>
      </c>
      <c r="G896" s="537">
        <f t="shared" si="113"/>
        <v>100.16652177606178</v>
      </c>
      <c r="H896" s="548" t="s">
        <v>13</v>
      </c>
      <c r="I896" s="2"/>
      <c r="J896" s="2"/>
      <c r="K896" s="2"/>
      <c r="L896" s="2"/>
      <c r="O896" s="58"/>
      <c r="P896" s="58"/>
    </row>
    <row r="897" spans="2:16">
      <c r="B897" s="587"/>
      <c r="C897" s="546">
        <v>2.75</v>
      </c>
      <c r="D897" s="537">
        <v>1.8</v>
      </c>
      <c r="E897" s="537">
        <f t="shared" si="112"/>
        <v>2.2000000000000002</v>
      </c>
      <c r="F897" s="547">
        <f>SUM($E$2:E897)/SUM($C$2:C897)</f>
        <v>5.0281215875229129E-2</v>
      </c>
      <c r="G897" s="537">
        <f t="shared" si="113"/>
        <v>102.36652177606179</v>
      </c>
      <c r="H897" s="548" t="s">
        <v>59</v>
      </c>
      <c r="I897" s="2"/>
      <c r="J897" s="2"/>
      <c r="K897" s="2"/>
      <c r="L897" s="2"/>
      <c r="O897" s="58"/>
      <c r="P897" s="58"/>
    </row>
    <row r="898" spans="2:16">
      <c r="B898" s="587"/>
      <c r="C898" s="549">
        <v>2.75</v>
      </c>
      <c r="D898" s="536">
        <v>1.8069999999999999</v>
      </c>
      <c r="E898" s="536">
        <f t="shared" si="112"/>
        <v>2.2192499999999997</v>
      </c>
      <c r="F898" s="550">
        <f>SUM($E$2:E898)/SUM($C$2:C898)</f>
        <v>5.1301987990003815E-2</v>
      </c>
      <c r="G898" s="536">
        <f t="shared" si="113"/>
        <v>104.58577177606179</v>
      </c>
      <c r="H898" s="551" t="s">
        <v>47</v>
      </c>
      <c r="I898" s="2"/>
      <c r="J898" s="2"/>
      <c r="K898" s="2"/>
      <c r="L898" s="2"/>
      <c r="O898" s="58"/>
      <c r="P898" s="58"/>
    </row>
    <row r="899" spans="2:16">
      <c r="B899" s="587"/>
      <c r="C899" s="546">
        <v>2.75</v>
      </c>
      <c r="D899" s="537">
        <v>1.8</v>
      </c>
      <c r="E899" s="537">
        <f t="shared" si="112"/>
        <v>2.2000000000000002</v>
      </c>
      <c r="F899" s="547">
        <f>SUM($E$2:E899)/SUM($C$2:C899)</f>
        <v>5.2310579988077414E-2</v>
      </c>
      <c r="G899" s="537">
        <f t="shared" si="113"/>
        <v>106.78577177606179</v>
      </c>
      <c r="H899" s="548" t="s">
        <v>319</v>
      </c>
      <c r="I899" s="2"/>
      <c r="J899" s="2"/>
      <c r="K899" s="2"/>
      <c r="L899" s="2"/>
      <c r="O899" s="58"/>
      <c r="P899" s="58"/>
    </row>
    <row r="900" spans="2:16">
      <c r="B900" s="587"/>
      <c r="C900" s="546">
        <v>2.75</v>
      </c>
      <c r="D900" s="537">
        <v>1.8160000000000001</v>
      </c>
      <c r="E900" s="537">
        <f t="shared" si="112"/>
        <v>2.2439999999999998</v>
      </c>
      <c r="F900" s="547">
        <f>SUM($E$2:E900)/SUM($C$2:C900)</f>
        <v>5.3337983286807333E-2</v>
      </c>
      <c r="G900" s="537">
        <f t="shared" si="113"/>
        <v>109.02977177606179</v>
      </c>
      <c r="H900" s="548" t="s">
        <v>108</v>
      </c>
      <c r="I900" s="2"/>
      <c r="J900" s="2"/>
      <c r="K900" s="2"/>
      <c r="L900" s="2"/>
      <c r="O900" s="58"/>
      <c r="P900" s="58"/>
    </row>
    <row r="901" spans="2:16">
      <c r="B901" s="587"/>
      <c r="C901" s="546">
        <v>2.75</v>
      </c>
      <c r="D901" s="537">
        <v>1.96</v>
      </c>
      <c r="E901" s="537">
        <f t="shared" si="112"/>
        <v>2.6399999999999997</v>
      </c>
      <c r="F901" s="547">
        <f>SUM($E$2:E901)/SUM($C$2:C901)</f>
        <v>5.4556091112357083E-2</v>
      </c>
      <c r="G901" s="537">
        <f t="shared" si="113"/>
        <v>111.66977177606179</v>
      </c>
      <c r="H901" s="548" t="s">
        <v>320</v>
      </c>
      <c r="I901" s="2"/>
      <c r="J901" s="2"/>
      <c r="K901" s="2"/>
      <c r="L901" s="2"/>
      <c r="O901" s="58"/>
      <c r="P901" s="58"/>
    </row>
    <row r="902" spans="2:16">
      <c r="B902" s="587"/>
      <c r="C902" s="549">
        <v>2.75</v>
      </c>
      <c r="D902" s="536">
        <v>1.825</v>
      </c>
      <c r="E902" s="536">
        <f t="shared" si="112"/>
        <v>2.2687499999999998</v>
      </c>
      <c r="F902" s="550">
        <f>SUM($E$2:E902)/SUM($C$2:C902)</f>
        <v>5.5589800001005767E-2</v>
      </c>
      <c r="G902" s="536">
        <f t="shared" si="113"/>
        <v>113.93852177606179</v>
      </c>
      <c r="H902" s="551" t="s">
        <v>321</v>
      </c>
      <c r="I902" s="2"/>
      <c r="J902" s="2"/>
      <c r="K902" s="2"/>
      <c r="L902" s="2"/>
      <c r="O902" s="58"/>
      <c r="P902" s="58"/>
    </row>
    <row r="903" spans="2:16">
      <c r="B903" s="587"/>
      <c r="C903" s="546">
        <v>2.75</v>
      </c>
      <c r="D903" s="537"/>
      <c r="E903" s="537">
        <f t="shared" si="112"/>
        <v>-2.75</v>
      </c>
      <c r="F903" s="547">
        <f>SUM($E$2:E903)/SUM($C$2:C903)</f>
        <v>5.417540697924432E-2</v>
      </c>
      <c r="G903" s="537">
        <f t="shared" si="113"/>
        <v>111.18852177606179</v>
      </c>
      <c r="H903" s="548" t="s">
        <v>26</v>
      </c>
      <c r="I903" s="2"/>
      <c r="J903" s="2"/>
      <c r="K903" s="2"/>
      <c r="L903" s="2"/>
      <c r="O903" s="58"/>
      <c r="P903" s="58"/>
    </row>
    <row r="904" spans="2:16">
      <c r="B904" s="587"/>
      <c r="C904" s="546">
        <v>2.75</v>
      </c>
      <c r="D904" s="537">
        <v>1.95</v>
      </c>
      <c r="E904" s="537">
        <f t="shared" si="112"/>
        <v>2.6124999999999998</v>
      </c>
      <c r="F904" s="547">
        <f>SUM($E$2:E904)/SUM($C$2:C904)</f>
        <v>5.5374123182504981E-2</v>
      </c>
      <c r="G904" s="537">
        <f t="shared" si="113"/>
        <v>113.80102177606179</v>
      </c>
      <c r="H904" s="548" t="s">
        <v>36</v>
      </c>
      <c r="I904" s="2"/>
      <c r="J904" s="2"/>
      <c r="K904" s="2"/>
      <c r="L904" s="2"/>
      <c r="O904" s="58"/>
      <c r="P904" s="58"/>
    </row>
    <row r="905" spans="2:16">
      <c r="B905" s="587"/>
      <c r="C905" s="546">
        <v>2.75</v>
      </c>
      <c r="D905" s="537">
        <v>2.875</v>
      </c>
      <c r="E905" s="537">
        <f t="shared" si="112"/>
        <v>5.15625</v>
      </c>
      <c r="F905" s="547">
        <f>SUM($E$2:E905)/SUM($C$2:C905)</f>
        <v>5.7805737835083408E-2</v>
      </c>
      <c r="G905" s="537">
        <f t="shared" si="113"/>
        <v>118.95727177606179</v>
      </c>
      <c r="H905" s="548" t="s">
        <v>59</v>
      </c>
      <c r="I905" s="2"/>
      <c r="J905" s="2"/>
      <c r="K905" s="2"/>
      <c r="L905" s="2"/>
      <c r="O905" s="58"/>
      <c r="P905" s="58"/>
    </row>
    <row r="906" spans="2:16">
      <c r="B906" s="591"/>
      <c r="C906" s="549">
        <v>2.75</v>
      </c>
      <c r="D906" s="536"/>
      <c r="E906" s="536">
        <f t="shared" si="112"/>
        <v>-2.75</v>
      </c>
      <c r="F906" s="550">
        <f>SUM($E$2:E906)/SUM($C$2:C906)</f>
        <v>5.6394050254563628E-2</v>
      </c>
      <c r="G906" s="536">
        <f t="shared" si="113"/>
        <v>116.20727177606179</v>
      </c>
      <c r="H906" s="551" t="s">
        <v>27</v>
      </c>
      <c r="I906" s="2">
        <f>SUM(E895:E906)</f>
        <v>15.446750000000002</v>
      </c>
      <c r="L906" s="2">
        <f>I906/C906</f>
        <v>5.6170000000000009</v>
      </c>
      <c r="O906" s="58"/>
      <c r="P906" s="58"/>
    </row>
    <row r="907" spans="2:16">
      <c r="B907" s="587">
        <v>46053</v>
      </c>
      <c r="C907" s="546">
        <v>4.21</v>
      </c>
      <c r="D907" s="537"/>
      <c r="E907" s="537">
        <f t="shared" ref="E907:E912" si="114">(C907*D907)-C907</f>
        <v>-4.21</v>
      </c>
      <c r="F907" s="547">
        <f>SUM($E$2:E907)/SUM($C$2:C907)</f>
        <v>5.4240169589925349E-2</v>
      </c>
      <c r="G907" s="537">
        <f t="shared" ref="G907:G912" si="115">G906+E907</f>
        <v>111.99727177606179</v>
      </c>
      <c r="H907" s="548" t="s">
        <v>51</v>
      </c>
      <c r="I907" s="2"/>
      <c r="J907" s="2"/>
      <c r="K907" s="2"/>
      <c r="L907" s="2"/>
      <c r="O907" s="58"/>
      <c r="P907" s="58"/>
    </row>
    <row r="908" spans="2:16">
      <c r="B908" s="587"/>
      <c r="C908" s="546">
        <v>4.21</v>
      </c>
      <c r="D908" s="537">
        <v>1.84</v>
      </c>
      <c r="E908" s="537">
        <f t="shared" si="114"/>
        <v>3.5364000000000004</v>
      </c>
      <c r="F908" s="547">
        <f>SUM($E$2:E908)/SUM($C$2:C908)</f>
        <v>5.5838994599483556E-2</v>
      </c>
      <c r="G908" s="537">
        <f t="shared" si="115"/>
        <v>115.53367177606179</v>
      </c>
      <c r="H908" s="548" t="s">
        <v>16</v>
      </c>
      <c r="I908" s="2"/>
      <c r="J908" s="2"/>
      <c r="K908" s="2"/>
      <c r="L908" s="2"/>
      <c r="O908" s="58"/>
      <c r="P908" s="58"/>
    </row>
    <row r="909" spans="2:16">
      <c r="B909" s="587"/>
      <c r="C909" s="549">
        <v>4.21</v>
      </c>
      <c r="D909" s="536">
        <v>1.9</v>
      </c>
      <c r="E909" s="536">
        <f t="shared" si="114"/>
        <v>3.7889999999999997</v>
      </c>
      <c r="F909" s="550">
        <f>SUM($E$2:E909)/SUM($C$2:C909)</f>
        <v>5.7553163508706789E-2</v>
      </c>
      <c r="G909" s="536">
        <f t="shared" si="115"/>
        <v>119.3226717760618</v>
      </c>
      <c r="H909" s="551" t="s">
        <v>53</v>
      </c>
      <c r="I909" s="2"/>
      <c r="J909" s="2"/>
      <c r="K909" s="2"/>
      <c r="L909" s="2"/>
      <c r="O909" s="58"/>
      <c r="P909" s="58"/>
    </row>
    <row r="910" spans="2:16">
      <c r="B910" s="587"/>
      <c r="C910" s="546">
        <v>4.21</v>
      </c>
      <c r="D910" s="537"/>
      <c r="E910" s="537">
        <f t="shared" si="114"/>
        <v>-4.21</v>
      </c>
      <c r="F910" s="547">
        <f>SUM($E$2:E910)/SUM($C$2:C910)</f>
        <v>5.5410028436541303E-2</v>
      </c>
      <c r="G910" s="537">
        <f t="shared" si="115"/>
        <v>115.1126717760618</v>
      </c>
      <c r="H910" s="548" t="s">
        <v>322</v>
      </c>
      <c r="I910" s="2"/>
      <c r="J910" s="2"/>
      <c r="K910" s="2"/>
      <c r="L910" s="2"/>
      <c r="O910" s="58"/>
      <c r="P910" s="58"/>
    </row>
    <row r="911" spans="2:16">
      <c r="B911" s="587"/>
      <c r="C911" s="549">
        <v>4.21</v>
      </c>
      <c r="D911" s="543"/>
      <c r="E911" s="536">
        <f t="shared" si="114"/>
        <v>-4.21</v>
      </c>
      <c r="F911" s="550">
        <f>SUM($E$2:E911)/SUM($C$2:C911)</f>
        <v>5.3275561938463875E-2</v>
      </c>
      <c r="G911" s="536">
        <f t="shared" si="115"/>
        <v>110.90267177606181</v>
      </c>
      <c r="H911" s="551" t="s">
        <v>323</v>
      </c>
      <c r="I911" s="2"/>
      <c r="J911" s="2"/>
      <c r="K911" s="2"/>
      <c r="L911" s="2"/>
      <c r="O911" s="58"/>
      <c r="P911" s="58"/>
    </row>
    <row r="912" spans="2:16">
      <c r="B912" s="587"/>
      <c r="C912" s="549">
        <v>4.21</v>
      </c>
      <c r="D912" s="536">
        <v>1.984</v>
      </c>
      <c r="E912" s="536">
        <f t="shared" si="114"/>
        <v>4.1426399999999992</v>
      </c>
      <c r="F912" s="550">
        <f>SUM($E$2:E912)/SUM($C$2:C912)</f>
        <v>5.5154064584451462E-2</v>
      </c>
      <c r="G912" s="536">
        <f t="shared" si="115"/>
        <v>115.04531177606181</v>
      </c>
      <c r="H912" s="551" t="s">
        <v>60</v>
      </c>
      <c r="I912" s="490">
        <f>SUM(E907:E912)</f>
        <v>-1.1619600000000005</v>
      </c>
      <c r="J912" s="450"/>
      <c r="K912" s="490">
        <f>SUM(E640:E912)</f>
        <v>69.339851776061792</v>
      </c>
      <c r="L912" s="2">
        <f>I912/C912</f>
        <v>-0.27600000000000013</v>
      </c>
      <c r="O912" s="58"/>
      <c r="P912" s="58"/>
    </row>
    <row r="913" spans="2:16">
      <c r="B913" s="586">
        <v>46054</v>
      </c>
      <c r="C913" s="546">
        <v>2.52</v>
      </c>
      <c r="D913" s="537">
        <v>1.9390000000000001</v>
      </c>
      <c r="E913" s="537">
        <f t="shared" ref="E913:E929" si="116">(C913*D913)-C913</f>
        <v>2.3662800000000002</v>
      </c>
      <c r="F913" s="547">
        <f>SUM($E$2:E913)/SUM($C$2:C913)</f>
        <v>5.6220565777822105E-2</v>
      </c>
      <c r="G913" s="537">
        <f t="shared" ref="G913:G929" si="117">G912+E913</f>
        <v>117.41159177606181</v>
      </c>
      <c r="H913" s="548" t="s">
        <v>37</v>
      </c>
      <c r="I913" s="2"/>
      <c r="J913" s="2"/>
      <c r="K913" s="2"/>
      <c r="L913" s="2"/>
      <c r="O913" s="58"/>
      <c r="P913" s="58"/>
    </row>
    <row r="914" spans="2:16">
      <c r="B914" s="587"/>
      <c r="C914" s="546">
        <v>2.52</v>
      </c>
      <c r="D914" s="537"/>
      <c r="E914" s="537">
        <f t="shared" si="116"/>
        <v>-2.52</v>
      </c>
      <c r="F914" s="547">
        <f>SUM($E$2:E914)/SUM($C$2:C914)</f>
        <v>5.4947603112520012E-2</v>
      </c>
      <c r="G914" s="537">
        <f t="shared" si="117"/>
        <v>114.89159177606182</v>
      </c>
      <c r="H914" s="548" t="s">
        <v>97</v>
      </c>
      <c r="I914" s="2"/>
      <c r="J914" s="2"/>
      <c r="K914" s="2"/>
      <c r="L914" s="2"/>
      <c r="O914" s="58"/>
      <c r="P914" s="58"/>
    </row>
    <row r="915" spans="2:16">
      <c r="B915" s="587"/>
      <c r="C915" s="546">
        <v>2.52</v>
      </c>
      <c r="D915" s="537"/>
      <c r="E915" s="537">
        <f t="shared" si="116"/>
        <v>-2.52</v>
      </c>
      <c r="F915" s="547">
        <f>SUM($E$2:E915)/SUM($C$2:C915)</f>
        <v>5.3677705116463963E-2</v>
      </c>
      <c r="G915" s="537">
        <f t="shared" si="117"/>
        <v>112.37159177606182</v>
      </c>
      <c r="H915" s="548" t="s">
        <v>16</v>
      </c>
      <c r="I915" s="2"/>
      <c r="J915" s="2"/>
      <c r="K915" s="2"/>
      <c r="L915" s="2"/>
      <c r="O915" s="58"/>
      <c r="P915" s="58"/>
    </row>
    <row r="916" spans="2:16">
      <c r="B916" s="587"/>
      <c r="C916" s="546">
        <v>2.52</v>
      </c>
      <c r="D916" s="537">
        <v>1.798</v>
      </c>
      <c r="E916" s="537">
        <f t="shared" si="116"/>
        <v>2.0109600000000003</v>
      </c>
      <c r="F916" s="547">
        <f>SUM($E$2:E916)/SUM($C$2:C916)</f>
        <v>5.4572609233940125E-2</v>
      </c>
      <c r="G916" s="537">
        <f t="shared" si="117"/>
        <v>114.38255177606182</v>
      </c>
      <c r="H916" s="548" t="s">
        <v>25</v>
      </c>
      <c r="I916" s="2"/>
      <c r="J916" s="2"/>
      <c r="K916" s="2"/>
      <c r="L916" s="2"/>
      <c r="O916" s="58"/>
      <c r="P916" s="58"/>
    </row>
    <row r="917" spans="2:16">
      <c r="B917" s="587"/>
      <c r="C917" s="546">
        <v>2.52</v>
      </c>
      <c r="D917" s="537">
        <v>1.9</v>
      </c>
      <c r="E917" s="537">
        <f t="shared" si="116"/>
        <v>2.2679999999999993</v>
      </c>
      <c r="F917" s="547">
        <f>SUM($E$2:E917)/SUM($C$2:C917)</f>
        <v>5.5587852110832781E-2</v>
      </c>
      <c r="G917" s="537">
        <f t="shared" si="117"/>
        <v>116.65055177606182</v>
      </c>
      <c r="H917" s="548" t="s">
        <v>12</v>
      </c>
      <c r="I917" s="2"/>
      <c r="J917" s="2"/>
      <c r="K917" s="2"/>
      <c r="L917" s="2"/>
      <c r="O917" s="58"/>
      <c r="P917" s="58"/>
    </row>
    <row r="918" spans="2:16">
      <c r="B918" s="587"/>
      <c r="C918" s="546">
        <v>2.52</v>
      </c>
      <c r="D918" s="537">
        <v>1.9</v>
      </c>
      <c r="E918" s="537">
        <f t="shared" si="116"/>
        <v>2.2679999999999993</v>
      </c>
      <c r="F918" s="547">
        <f>SUM($E$2:E918)/SUM($C$2:C918)</f>
        <v>5.6600659576137892E-2</v>
      </c>
      <c r="G918" s="537">
        <f t="shared" si="117"/>
        <v>118.91855177606182</v>
      </c>
      <c r="H918" s="548" t="s">
        <v>29</v>
      </c>
      <c r="I918" s="2"/>
      <c r="J918" s="2"/>
      <c r="K918" s="2"/>
      <c r="L918" s="2"/>
      <c r="O918" s="58"/>
      <c r="P918" s="58"/>
    </row>
    <row r="919" spans="2:16">
      <c r="B919" s="587"/>
      <c r="C919" s="549">
        <v>2.52</v>
      </c>
      <c r="D919" s="536">
        <v>1.91</v>
      </c>
      <c r="E919" s="536">
        <f t="shared" si="116"/>
        <v>2.2932000000000001</v>
      </c>
      <c r="F919" s="550">
        <f>SUM($E$2:E919)/SUM($C$2:C919)</f>
        <v>5.7623020245045932E-2</v>
      </c>
      <c r="G919" s="536">
        <f t="shared" si="117"/>
        <v>121.21175177606182</v>
      </c>
      <c r="H919" s="551" t="s">
        <v>59</v>
      </c>
      <c r="I919" s="2"/>
      <c r="J919" s="2"/>
      <c r="K919" s="2"/>
      <c r="L919" s="2"/>
      <c r="O919" s="58"/>
      <c r="P919" s="58"/>
    </row>
    <row r="920" spans="2:16">
      <c r="B920" s="587"/>
      <c r="C920" s="546">
        <v>2.52</v>
      </c>
      <c r="D920" s="537"/>
      <c r="E920" s="537">
        <f t="shared" si="116"/>
        <v>-2.52</v>
      </c>
      <c r="F920" s="547">
        <f>SUM($E$2:E920)/SUM($C$2:C920)</f>
        <v>5.6357518471100626E-2</v>
      </c>
      <c r="G920" s="537">
        <f t="shared" si="117"/>
        <v>118.69175177606182</v>
      </c>
      <c r="H920" s="548" t="s">
        <v>324</v>
      </c>
      <c r="I920" s="2"/>
      <c r="J920" s="2"/>
      <c r="K920" s="2"/>
      <c r="L920" s="2"/>
      <c r="O920" s="58"/>
      <c r="P920" s="58"/>
    </row>
    <row r="921" spans="2:16">
      <c r="B921" s="587"/>
      <c r="C921" s="546">
        <v>2.52</v>
      </c>
      <c r="D921" s="537">
        <v>1.8049999999999999</v>
      </c>
      <c r="E921" s="537">
        <f t="shared" si="116"/>
        <v>2.0285999999999995</v>
      </c>
      <c r="F921" s="547">
        <f>SUM($E$2:E921)/SUM($C$2:C921)</f>
        <v>5.72522381405699E-2</v>
      </c>
      <c r="G921" s="537">
        <f t="shared" si="117"/>
        <v>120.72035177606182</v>
      </c>
      <c r="H921" s="548" t="s">
        <v>323</v>
      </c>
      <c r="I921" s="2"/>
      <c r="J921" s="2"/>
      <c r="K921" s="2"/>
      <c r="L921" s="2"/>
      <c r="O921" s="58"/>
      <c r="P921" s="58"/>
    </row>
    <row r="922" spans="2:16">
      <c r="B922" s="587"/>
      <c r="C922" s="546">
        <v>2.52</v>
      </c>
      <c r="D922" s="537">
        <v>1.8160000000000001</v>
      </c>
      <c r="E922" s="537">
        <f t="shared" si="116"/>
        <v>2.0563199999999999</v>
      </c>
      <c r="F922" s="547">
        <f>SUM($E$2:E922)/SUM($C$2:C922)</f>
        <v>5.8157952420816485E-2</v>
      </c>
      <c r="G922" s="537">
        <f t="shared" si="117"/>
        <v>122.77667177606182</v>
      </c>
      <c r="H922" s="548" t="s">
        <v>325</v>
      </c>
      <c r="I922" s="2"/>
      <c r="J922" s="2"/>
      <c r="K922" s="2"/>
      <c r="L922" s="2"/>
      <c r="O922" s="58"/>
      <c r="P922" s="58"/>
    </row>
    <row r="923" spans="2:16">
      <c r="B923" s="587"/>
      <c r="C923" s="546">
        <v>2.52</v>
      </c>
      <c r="D923" s="537">
        <v>1.825</v>
      </c>
      <c r="E923" s="537">
        <f t="shared" si="116"/>
        <v>2.0790000000000002</v>
      </c>
      <c r="F923" s="547">
        <f>SUM($E$2:E923)/SUM($C$2:C923)</f>
        <v>5.9072237440238005E-2</v>
      </c>
      <c r="G923" s="537">
        <f t="shared" si="117"/>
        <v>124.85567177606181</v>
      </c>
      <c r="H923" s="548" t="s">
        <v>326</v>
      </c>
      <c r="I923" s="2"/>
      <c r="J923" s="2"/>
      <c r="K923" s="2"/>
      <c r="L923" s="2"/>
      <c r="O923" s="58"/>
      <c r="P923" s="58"/>
    </row>
    <row r="924" spans="2:16">
      <c r="B924" s="587"/>
      <c r="C924" s="546">
        <v>2.52</v>
      </c>
      <c r="D924" s="537">
        <v>1.825</v>
      </c>
      <c r="E924" s="537">
        <f t="shared" si="116"/>
        <v>2.0790000000000002</v>
      </c>
      <c r="F924" s="547">
        <f>SUM($E$2:E924)/SUM($C$2:C924)</f>
        <v>5.9984344901334724E-2</v>
      </c>
      <c r="G924" s="537">
        <f t="shared" si="117"/>
        <v>126.9346717760618</v>
      </c>
      <c r="H924" s="548" t="s">
        <v>327</v>
      </c>
      <c r="I924" s="2"/>
      <c r="J924" s="2"/>
      <c r="K924" s="2"/>
      <c r="L924" s="2"/>
      <c r="O924" s="58"/>
      <c r="P924" s="58"/>
    </row>
    <row r="925" spans="2:16">
      <c r="B925" s="587"/>
      <c r="C925" s="549">
        <v>2.52</v>
      </c>
      <c r="D925" s="536"/>
      <c r="E925" s="536">
        <f t="shared" si="116"/>
        <v>-2.52</v>
      </c>
      <c r="F925" s="550">
        <f>SUM($E$2:E925)/SUM($C$2:C925)</f>
        <v>5.8723560652331183E-2</v>
      </c>
      <c r="G925" s="536">
        <f t="shared" si="117"/>
        <v>124.41467177606181</v>
      </c>
      <c r="H925" s="551" t="s">
        <v>328</v>
      </c>
      <c r="I925" s="2"/>
      <c r="J925" s="2"/>
      <c r="K925" s="2"/>
      <c r="L925" s="2"/>
      <c r="O925" s="58"/>
      <c r="P925" s="58"/>
    </row>
    <row r="926" spans="2:16">
      <c r="B926" s="587"/>
      <c r="C926" s="546">
        <v>2.52</v>
      </c>
      <c r="D926" s="537"/>
      <c r="E926" s="537">
        <f t="shared" si="116"/>
        <v>-2.52</v>
      </c>
      <c r="F926" s="547">
        <f>SUM($E$2:E926)/SUM($C$2:C926)</f>
        <v>5.7465772086188978E-2</v>
      </c>
      <c r="G926" s="537">
        <f t="shared" si="117"/>
        <v>121.89467177606181</v>
      </c>
      <c r="H926" s="548" t="s">
        <v>28</v>
      </c>
      <c r="I926" s="2"/>
      <c r="J926" s="2"/>
      <c r="K926" s="2"/>
      <c r="L926" s="2"/>
      <c r="O926" s="58"/>
      <c r="P926" s="58"/>
    </row>
    <row r="927" spans="2:16">
      <c r="B927" s="587"/>
      <c r="C927" s="546">
        <v>2.52</v>
      </c>
      <c r="D927" s="537"/>
      <c r="E927" s="537">
        <f t="shared" si="116"/>
        <v>-2.52</v>
      </c>
      <c r="F927" s="547">
        <f>SUM($E$2:E927)/SUM($C$2:C927)</f>
        <v>5.6210968538751648E-2</v>
      </c>
      <c r="G927" s="537">
        <f t="shared" si="117"/>
        <v>119.37467177606182</v>
      </c>
      <c r="H927" s="548" t="s">
        <v>28</v>
      </c>
      <c r="I927" s="2"/>
      <c r="J927" s="2"/>
      <c r="K927" s="2"/>
      <c r="L927" s="2"/>
      <c r="O927" s="58"/>
      <c r="P927" s="58"/>
    </row>
    <row r="928" spans="2:16">
      <c r="B928" s="587"/>
      <c r="C928" s="546">
        <v>2.52</v>
      </c>
      <c r="D928" s="537">
        <v>2.23</v>
      </c>
      <c r="E928" s="537">
        <f t="shared" si="116"/>
        <v>3.0996000000000001</v>
      </c>
      <c r="F928" s="547">
        <f>SUM($E$2:E928)/SUM($C$2:C928)</f>
        <v>5.7602152080961651E-2</v>
      </c>
      <c r="G928" s="537">
        <f t="shared" si="117"/>
        <v>122.47427177606181</v>
      </c>
      <c r="H928" s="548" t="s">
        <v>11</v>
      </c>
      <c r="I928" s="2"/>
      <c r="J928" s="2"/>
      <c r="K928" s="2"/>
      <c r="L928" s="2"/>
      <c r="O928" s="58"/>
      <c r="P928" s="58"/>
    </row>
    <row r="929" spans="2:16">
      <c r="B929" s="587"/>
      <c r="C929" s="549">
        <v>2.52</v>
      </c>
      <c r="D929" s="536"/>
      <c r="E929" s="536">
        <f t="shared" si="116"/>
        <v>-2.52</v>
      </c>
      <c r="F929" s="550">
        <f>SUM($E$2:E929)/SUM($C$2:C929)</f>
        <v>5.6350157970274053E-2</v>
      </c>
      <c r="G929" s="536">
        <f t="shared" si="117"/>
        <v>119.95427177606182</v>
      </c>
      <c r="H929" s="551" t="s">
        <v>59</v>
      </c>
      <c r="I929" s="490">
        <f>SUM(E913:E929)</f>
        <v>4.9089600000000022</v>
      </c>
      <c r="J929" s="490">
        <f>SUM(E851:E929)</f>
        <v>45.42653999999996</v>
      </c>
      <c r="L929" s="2">
        <f>I929/C929</f>
        <v>1.9480000000000008</v>
      </c>
      <c r="O929" s="58"/>
      <c r="P929" s="58"/>
    </row>
    <row r="930" spans="2:16">
      <c r="B930" s="586">
        <v>46055</v>
      </c>
      <c r="C930" s="549">
        <v>6.35</v>
      </c>
      <c r="D930" s="536">
        <v>1.8069999999999999</v>
      </c>
      <c r="E930" s="536">
        <f t="shared" ref="E930:E932" si="118">(C930*D930)-C930</f>
        <v>5.1244499999999995</v>
      </c>
      <c r="F930" s="550">
        <f>SUM($E$2:E930)/SUM($C$2:C930)</f>
        <v>5.8582686258154951E-2</v>
      </c>
      <c r="G930" s="536">
        <f t="shared" ref="G930:G932" si="119">G929+E930</f>
        <v>125.07872177606181</v>
      </c>
      <c r="H930" s="551" t="s">
        <v>15</v>
      </c>
      <c r="I930" s="2"/>
      <c r="J930" s="2"/>
      <c r="K930" s="2"/>
      <c r="L930" s="2"/>
      <c r="O930" s="58"/>
      <c r="P930" s="58"/>
    </row>
    <row r="931" spans="2:16">
      <c r="B931" s="587"/>
      <c r="C931" s="546">
        <v>6.35</v>
      </c>
      <c r="D931" s="537">
        <v>1.96</v>
      </c>
      <c r="E931" s="537">
        <f t="shared" si="118"/>
        <v>6.0960000000000001</v>
      </c>
      <c r="F931" s="547">
        <f>SUM($E$2:E931)/SUM($C$2:C931)</f>
        <v>6.1255666436008389E-2</v>
      </c>
      <c r="G931" s="537">
        <f t="shared" si="119"/>
        <v>131.1747217760618</v>
      </c>
      <c r="H931" s="548" t="s">
        <v>329</v>
      </c>
      <c r="I931" s="2"/>
      <c r="J931" s="2"/>
      <c r="K931" s="2"/>
      <c r="L931" s="2"/>
      <c r="O931" s="58"/>
      <c r="P931" s="58"/>
    </row>
    <row r="932" spans="2:16">
      <c r="B932" s="587"/>
      <c r="C932" s="549">
        <v>6.35</v>
      </c>
      <c r="D932" s="536">
        <v>1.98</v>
      </c>
      <c r="E932" s="536">
        <f t="shared" si="118"/>
        <v>6.222999999999999</v>
      </c>
      <c r="F932" s="550">
        <f>SUM($E$2:E932)/SUM($C$2:C932)</f>
        <v>6.3971971885417242E-2</v>
      </c>
      <c r="G932" s="536">
        <f t="shared" si="119"/>
        <v>137.39772177606181</v>
      </c>
      <c r="H932" s="551" t="s">
        <v>330</v>
      </c>
      <c r="I932" s="2">
        <f>SUM(E930:E932)</f>
        <v>17.443449999999999</v>
      </c>
      <c r="L932" s="2">
        <f>I932/C932</f>
        <v>2.7469999999999999</v>
      </c>
      <c r="O932" s="58"/>
      <c r="P932" s="58"/>
    </row>
    <row r="933" spans="2:16">
      <c r="B933" s="586">
        <v>46056</v>
      </c>
      <c r="C933" s="546">
        <v>2.6</v>
      </c>
      <c r="D933" s="537"/>
      <c r="E933" s="537">
        <f t="shared" ref="E933:E944" si="120">(C933*D933)-C933</f>
        <v>-2.6</v>
      </c>
      <c r="F933" s="547">
        <f>SUM($E$2:E933)/SUM($C$2:C933)</f>
        <v>6.2685535475618948E-2</v>
      </c>
      <c r="G933" s="537">
        <f t="shared" ref="G933:G944" si="121">G932+E933</f>
        <v>134.79772177606182</v>
      </c>
      <c r="H933" s="548" t="s">
        <v>97</v>
      </c>
      <c r="I933" s="2"/>
      <c r="J933" s="2"/>
      <c r="K933" s="2"/>
      <c r="L933" s="2"/>
      <c r="O933" s="58"/>
      <c r="P933" s="58"/>
    </row>
    <row r="934" spans="2:16">
      <c r="B934" s="587"/>
      <c r="C934" s="546">
        <v>2.6</v>
      </c>
      <c r="D934" s="537"/>
      <c r="E934" s="537">
        <f t="shared" si="120"/>
        <v>-2.6</v>
      </c>
      <c r="F934" s="547">
        <f>SUM($E$2:E934)/SUM($C$2:C934)</f>
        <v>6.1402206140354992E-2</v>
      </c>
      <c r="G934" s="537">
        <f t="shared" si="121"/>
        <v>132.19772177606183</v>
      </c>
      <c r="H934" s="548" t="s">
        <v>60</v>
      </c>
      <c r="I934" s="2"/>
      <c r="J934" s="2"/>
      <c r="K934" s="2"/>
      <c r="L934" s="2"/>
      <c r="O934" s="58"/>
      <c r="P934" s="58"/>
    </row>
    <row r="935" spans="2:16">
      <c r="B935" s="587"/>
      <c r="C935" s="549">
        <v>2.6</v>
      </c>
      <c r="D935" s="536">
        <v>1.784</v>
      </c>
      <c r="E935" s="536">
        <f t="shared" si="120"/>
        <v>2.0383999999999998</v>
      </c>
      <c r="F935" s="550">
        <f>SUM($E$2:E935)/SUM($C$2:C935)</f>
        <v>6.2273783286197447E-2</v>
      </c>
      <c r="G935" s="536">
        <f t="shared" si="121"/>
        <v>134.23612177606182</v>
      </c>
      <c r="H935" s="551" t="s">
        <v>16</v>
      </c>
      <c r="I935" s="2"/>
      <c r="J935" s="2"/>
      <c r="K935" s="2"/>
      <c r="L935" s="2"/>
      <c r="O935" s="58"/>
      <c r="P935" s="58"/>
    </row>
    <row r="936" spans="2:16">
      <c r="B936" s="587"/>
      <c r="C936" s="546">
        <v>2.6</v>
      </c>
      <c r="D936" s="537"/>
      <c r="E936" s="537">
        <f t="shared" si="120"/>
        <v>-2.6</v>
      </c>
      <c r="F936" s="547">
        <f>SUM($E$2:E936)/SUM($C$2:C936)</f>
        <v>6.0994042098463291E-2</v>
      </c>
      <c r="G936" s="537">
        <f t="shared" si="121"/>
        <v>131.63612177606183</v>
      </c>
      <c r="H936" s="548" t="s">
        <v>331</v>
      </c>
      <c r="I936" s="2"/>
      <c r="J936" s="2"/>
      <c r="K936" s="2"/>
      <c r="L936" s="2"/>
      <c r="O936" s="58"/>
      <c r="P936" s="58"/>
    </row>
    <row r="937" spans="2:16">
      <c r="B937" s="587"/>
      <c r="C937" s="546">
        <v>2.6</v>
      </c>
      <c r="D937" s="537"/>
      <c r="E937" s="537">
        <f t="shared" si="120"/>
        <v>-2.6</v>
      </c>
      <c r="F937" s="547">
        <f>SUM($E$2:E937)/SUM($C$2:C937)</f>
        <v>5.9717380657013451E-2</v>
      </c>
      <c r="G937" s="537">
        <f t="shared" si="121"/>
        <v>129.03612177606183</v>
      </c>
      <c r="H937" s="548" t="s">
        <v>332</v>
      </c>
      <c r="I937" s="2"/>
      <c r="J937" s="2"/>
      <c r="K937" s="2"/>
      <c r="L937" s="2"/>
      <c r="O937" s="58"/>
      <c r="P937" s="58"/>
    </row>
    <row r="938" spans="2:16">
      <c r="B938" s="587"/>
      <c r="C938" s="546">
        <v>2.6</v>
      </c>
      <c r="D938" s="537">
        <v>1</v>
      </c>
      <c r="E938" s="537">
        <f t="shared" si="120"/>
        <v>0</v>
      </c>
      <c r="F938" s="547">
        <f>SUM($E$2:E938)/SUM($C$2:C938)</f>
        <v>5.9645610931071534E-2</v>
      </c>
      <c r="G938" s="537">
        <f t="shared" si="121"/>
        <v>129.03612177606183</v>
      </c>
      <c r="H938" s="548" t="s">
        <v>333</v>
      </c>
      <c r="I938" s="2"/>
      <c r="J938" s="2"/>
      <c r="K938" s="2"/>
      <c r="L938" s="2"/>
      <c r="O938" s="58"/>
      <c r="P938" s="58"/>
    </row>
    <row r="939" spans="2:16">
      <c r="B939" s="587"/>
      <c r="C939" s="546">
        <v>2.6</v>
      </c>
      <c r="D939" s="537">
        <v>1.825</v>
      </c>
      <c r="E939" s="537">
        <f t="shared" si="120"/>
        <v>2.145</v>
      </c>
      <c r="F939" s="547">
        <f>SUM($E$2:E939)/SUM($C$2:C939)</f>
        <v>6.0564327360391849E-2</v>
      </c>
      <c r="G939" s="537">
        <f t="shared" si="121"/>
        <v>131.18112177606184</v>
      </c>
      <c r="H939" s="548" t="s">
        <v>334</v>
      </c>
      <c r="I939" s="2"/>
      <c r="J939" s="2"/>
      <c r="K939" s="2"/>
      <c r="L939" s="2"/>
      <c r="O939" s="58"/>
      <c r="P939" s="58"/>
    </row>
    <row r="940" spans="2:16">
      <c r="B940" s="587"/>
      <c r="C940" s="549">
        <v>2.6</v>
      </c>
      <c r="D940" s="536">
        <v>1.98</v>
      </c>
      <c r="E940" s="536">
        <f t="shared" si="120"/>
        <v>2.5479999999999996</v>
      </c>
      <c r="F940" s="550">
        <f>SUM($E$2:E940)/SUM($C$2:C940)</f>
        <v>6.1666676708289084E-2</v>
      </c>
      <c r="G940" s="536">
        <f t="shared" si="121"/>
        <v>133.72912177606185</v>
      </c>
      <c r="H940" s="551" t="s">
        <v>335</v>
      </c>
      <c r="I940" s="2"/>
      <c r="J940" s="2"/>
      <c r="K940" s="2"/>
      <c r="L940" s="2"/>
      <c r="O940" s="58"/>
      <c r="P940" s="58"/>
    </row>
    <row r="941" spans="2:16">
      <c r="B941" s="587"/>
      <c r="C941" s="546">
        <v>2.6</v>
      </c>
      <c r="D941" s="537"/>
      <c r="E941" s="537">
        <f t="shared" si="120"/>
        <v>-2.6</v>
      </c>
      <c r="F941" s="547">
        <f>SUM($E$2:E941)/SUM($C$2:C941)</f>
        <v>6.0395325019602965E-2</v>
      </c>
      <c r="G941" s="537">
        <f t="shared" si="121"/>
        <v>131.12912177606185</v>
      </c>
      <c r="H941" s="548" t="s">
        <v>59</v>
      </c>
      <c r="I941" s="2"/>
      <c r="J941" s="2"/>
      <c r="K941" s="2"/>
      <c r="L941" s="2"/>
      <c r="O941" s="58"/>
      <c r="P941" s="58"/>
    </row>
    <row r="942" spans="2:16">
      <c r="B942" s="587"/>
      <c r="C942" s="546">
        <v>2.6</v>
      </c>
      <c r="D942" s="537">
        <v>2.34</v>
      </c>
      <c r="E942" s="537">
        <f t="shared" si="120"/>
        <v>3.4839999999999995</v>
      </c>
      <c r="F942" s="547">
        <f>SUM($E$2:E942)/SUM($C$2:C942)</f>
        <v>6.1925825877532023E-2</v>
      </c>
      <c r="G942" s="537">
        <f t="shared" si="121"/>
        <v>134.61312177606186</v>
      </c>
      <c r="H942" s="548" t="s">
        <v>47</v>
      </c>
      <c r="I942" s="2"/>
      <c r="J942" s="2"/>
      <c r="K942" s="2"/>
      <c r="L942" s="2"/>
      <c r="O942" s="58"/>
      <c r="P942" s="58"/>
    </row>
    <row r="943" spans="2:16">
      <c r="B943" s="587"/>
      <c r="C943" s="546">
        <v>2.6</v>
      </c>
      <c r="D943" s="537">
        <v>2.2639999999999998</v>
      </c>
      <c r="E943" s="537">
        <f t="shared" si="120"/>
        <v>3.2864</v>
      </c>
      <c r="F943" s="547">
        <f>SUM($E$2:E943)/SUM($C$2:C943)</f>
        <v>6.3361876959015226E-2</v>
      </c>
      <c r="G943" s="537">
        <f t="shared" si="121"/>
        <v>137.89952177606185</v>
      </c>
      <c r="H943" s="548" t="s">
        <v>34</v>
      </c>
      <c r="I943" s="2"/>
      <c r="J943" s="2"/>
      <c r="K943" s="2"/>
      <c r="L943" s="2"/>
      <c r="O943" s="58"/>
      <c r="P943" s="58"/>
    </row>
    <row r="944" spans="2:16">
      <c r="B944" s="587"/>
      <c r="C944" s="549">
        <v>2.6</v>
      </c>
      <c r="D944" s="536"/>
      <c r="E944" s="536">
        <f t="shared" si="120"/>
        <v>-2.6</v>
      </c>
      <c r="F944" s="550">
        <f>SUM($E$2:E944)/SUM($C$2:C944)</f>
        <v>6.2093053527825667E-2</v>
      </c>
      <c r="G944" s="536">
        <f t="shared" si="121"/>
        <v>135.29952177606185</v>
      </c>
      <c r="H944" s="551" t="s">
        <v>27</v>
      </c>
      <c r="I944" s="2">
        <f>SUM(E933:E944)</f>
        <v>-2.0982000000000025</v>
      </c>
      <c r="L944" s="2">
        <f>I944/C944</f>
        <v>-0.80700000000000094</v>
      </c>
      <c r="O944" s="58"/>
      <c r="P944" s="58"/>
    </row>
    <row r="945" spans="2:16">
      <c r="B945" s="586">
        <v>46057</v>
      </c>
      <c r="C945" s="546">
        <v>3.7</v>
      </c>
      <c r="D945" s="537"/>
      <c r="E945" s="537">
        <f t="shared" ref="E945:E954" si="122">(C945*D945)-C945</f>
        <v>-3.7</v>
      </c>
      <c r="F945" s="547">
        <f>SUM($E$2:E945)/SUM($C$2:C945)</f>
        <v>6.0292631891097917E-2</v>
      </c>
      <c r="G945" s="537">
        <f t="shared" ref="G945:G954" si="123">G944+E945</f>
        <v>131.59952177606186</v>
      </c>
      <c r="H945" s="548" t="s">
        <v>29</v>
      </c>
      <c r="I945" s="2"/>
      <c r="J945" s="2"/>
      <c r="K945" s="2"/>
      <c r="L945" s="2"/>
      <c r="O945" s="58"/>
      <c r="P945" s="58"/>
    </row>
    <row r="946" spans="2:16">
      <c r="B946" s="587"/>
      <c r="C946" s="546">
        <v>3.7</v>
      </c>
      <c r="D946" s="537">
        <v>1.91</v>
      </c>
      <c r="E946" s="537">
        <f t="shared" si="122"/>
        <v>3.367</v>
      </c>
      <c r="F946" s="547">
        <f>SUM($E$2:E946)/SUM($C$2:C946)</f>
        <v>6.1730587444113832E-2</v>
      </c>
      <c r="G946" s="537">
        <f t="shared" si="123"/>
        <v>134.96652177606185</v>
      </c>
      <c r="H946" s="548" t="s">
        <v>53</v>
      </c>
      <c r="I946" s="2"/>
      <c r="J946" s="2"/>
      <c r="K946" s="2"/>
      <c r="L946" s="2"/>
      <c r="O946" s="58"/>
      <c r="P946" s="58"/>
    </row>
    <row r="947" spans="2:16">
      <c r="B947" s="587"/>
      <c r="C947" s="549">
        <v>3.7</v>
      </c>
      <c r="D947" s="536"/>
      <c r="E947" s="536">
        <f t="shared" si="122"/>
        <v>-3.7</v>
      </c>
      <c r="F947" s="550">
        <f>SUM($E$2:E947)/SUM($C$2:C947)</f>
        <v>5.993686156490248E-2</v>
      </c>
      <c r="G947" s="536">
        <f t="shared" si="123"/>
        <v>131.26652177606186</v>
      </c>
      <c r="H947" s="551" t="s">
        <v>38</v>
      </c>
      <c r="I947" s="2"/>
      <c r="J947" s="2"/>
      <c r="K947" s="2"/>
      <c r="L947" s="2"/>
      <c r="O947" s="58"/>
      <c r="P947" s="58"/>
    </row>
    <row r="948" spans="2:16">
      <c r="B948" s="587"/>
      <c r="C948" s="549">
        <v>3.7</v>
      </c>
      <c r="D948" s="536"/>
      <c r="E948" s="536">
        <f t="shared" si="122"/>
        <v>-3.7</v>
      </c>
      <c r="F948" s="550">
        <f>SUM($E$2:E948)/SUM($C$2:C948)</f>
        <v>5.8149186233834589E-2</v>
      </c>
      <c r="G948" s="536">
        <f t="shared" si="123"/>
        <v>127.56652177606186</v>
      </c>
      <c r="H948" s="551" t="s">
        <v>124</v>
      </c>
      <c r="I948" s="2"/>
      <c r="J948" s="2"/>
      <c r="K948" s="2"/>
      <c r="L948" s="2"/>
      <c r="O948" s="58"/>
      <c r="P948" s="58"/>
    </row>
    <row r="949" spans="2:16">
      <c r="B949" s="587"/>
      <c r="C949" s="546">
        <v>3.7</v>
      </c>
      <c r="D949" s="537"/>
      <c r="E949" s="537">
        <f t="shared" si="122"/>
        <v>-3.7</v>
      </c>
      <c r="F949" s="547">
        <f>SUM($E$2:E949)/SUM($C$2:C949)</f>
        <v>5.6367530888136251E-2</v>
      </c>
      <c r="G949" s="537">
        <f t="shared" si="123"/>
        <v>123.86652177606186</v>
      </c>
      <c r="H949" s="548" t="s">
        <v>59</v>
      </c>
      <c r="I949" s="2"/>
      <c r="J949" s="2"/>
      <c r="K949" s="2"/>
      <c r="L949" s="2"/>
      <c r="O949" s="58"/>
      <c r="P949" s="58"/>
    </row>
    <row r="950" spans="2:16">
      <c r="B950" s="587"/>
      <c r="C950" s="546">
        <v>3.7</v>
      </c>
      <c r="D950" s="537"/>
      <c r="E950" s="537">
        <f t="shared" si="122"/>
        <v>-3.7</v>
      </c>
      <c r="F950" s="547">
        <f>SUM($E$2:E950)/SUM($C$2:C950)</f>
        <v>5.4591865170527477E-2</v>
      </c>
      <c r="G950" s="537">
        <f t="shared" si="123"/>
        <v>120.16652177606186</v>
      </c>
      <c r="H950" s="548" t="s">
        <v>25</v>
      </c>
      <c r="I950" s="2"/>
      <c r="J950" s="2"/>
      <c r="K950" s="2"/>
      <c r="L950" s="2"/>
      <c r="O950" s="58"/>
      <c r="P950" s="58"/>
    </row>
    <row r="951" spans="2:16">
      <c r="B951" s="587"/>
      <c r="C951" s="546">
        <v>3.7</v>
      </c>
      <c r="D951" s="537">
        <v>2.7549999999999999</v>
      </c>
      <c r="E951" s="537">
        <f t="shared" si="122"/>
        <v>6.4935</v>
      </c>
      <c r="F951" s="547">
        <f>SUM($E$2:E951)/SUM($C$2:C951)</f>
        <v>5.7445313022051844E-2</v>
      </c>
      <c r="G951" s="537">
        <f t="shared" si="123"/>
        <v>126.66002177606185</v>
      </c>
      <c r="H951" s="548" t="s">
        <v>37</v>
      </c>
      <c r="I951" s="2"/>
      <c r="J951" s="2"/>
      <c r="K951" s="2"/>
      <c r="L951" s="2"/>
      <c r="O951" s="58"/>
      <c r="P951" s="58"/>
    </row>
    <row r="952" spans="2:16">
      <c r="B952" s="587"/>
      <c r="C952" s="546">
        <v>3.7</v>
      </c>
      <c r="D952" s="537">
        <v>2.52</v>
      </c>
      <c r="E952" s="537">
        <f t="shared" si="122"/>
        <v>5.6239999999999997</v>
      </c>
      <c r="F952" s="547">
        <f>SUM($E$2:E952)/SUM($C$2:C952)</f>
        <v>5.9895508324833903E-2</v>
      </c>
      <c r="G952" s="537">
        <f t="shared" si="123"/>
        <v>132.28402177606185</v>
      </c>
      <c r="H952" s="548" t="s">
        <v>34</v>
      </c>
      <c r="I952" s="2"/>
      <c r="J952" s="2"/>
      <c r="K952" s="2"/>
      <c r="L952" s="2"/>
      <c r="O952" s="58"/>
      <c r="P952" s="58"/>
    </row>
    <row r="953" spans="2:16">
      <c r="B953" s="587"/>
      <c r="C953" s="546">
        <v>3.7</v>
      </c>
      <c r="D953" s="537">
        <v>1.98</v>
      </c>
      <c r="E953" s="537">
        <f t="shared" si="122"/>
        <v>3.6260000000000003</v>
      </c>
      <c r="F953" s="547">
        <f>SUM($E$2:E953)/SUM($C$2:C953)</f>
        <v>6.1434367157892161E-2</v>
      </c>
      <c r="G953" s="537">
        <f t="shared" si="123"/>
        <v>135.91002177606185</v>
      </c>
      <c r="H953" s="548" t="s">
        <v>26</v>
      </c>
      <c r="I953" s="2"/>
      <c r="J953" s="2"/>
      <c r="K953" s="2"/>
      <c r="L953" s="2"/>
      <c r="O953" s="58"/>
      <c r="P953" s="58"/>
    </row>
    <row r="954" spans="2:16">
      <c r="B954" s="587"/>
      <c r="C954" s="549">
        <v>3.7</v>
      </c>
      <c r="D954" s="536"/>
      <c r="E954" s="536">
        <f t="shared" si="122"/>
        <v>-3.7</v>
      </c>
      <c r="F954" s="550">
        <f>SUM($E$2:E954)/SUM($C$2:C954)</f>
        <v>5.9662100639925317E-2</v>
      </c>
      <c r="G954" s="536">
        <f t="shared" si="123"/>
        <v>132.21002177606186</v>
      </c>
      <c r="H954" s="551" t="s">
        <v>18</v>
      </c>
      <c r="I954" s="2">
        <f>SUM(E945:E954)</f>
        <v>-3.0894999999999984</v>
      </c>
      <c r="L954" s="2">
        <f>I954/C954</f>
        <v>-0.83499999999999952</v>
      </c>
      <c r="O954" s="58"/>
      <c r="P954" s="58"/>
    </row>
    <row r="955" spans="2:16">
      <c r="B955" s="586">
        <v>46058</v>
      </c>
      <c r="C955" s="546">
        <v>3.22</v>
      </c>
      <c r="D955" s="537">
        <v>1.91</v>
      </c>
      <c r="E955" s="537">
        <f t="shared" ref="E955:E966" si="124">(C955*D955)-C955</f>
        <v>2.9301999999999997</v>
      </c>
      <c r="F955" s="547">
        <f>SUM($E$2:E955)/SUM($C$2:C955)</f>
        <v>6.0895918248045119E-2</v>
      </c>
      <c r="G955" s="537">
        <f t="shared" ref="G955:G966" si="125">G954+E955</f>
        <v>135.14022177606188</v>
      </c>
      <c r="H955" s="548" t="s">
        <v>97</v>
      </c>
      <c r="I955" s="2"/>
      <c r="J955" s="2"/>
      <c r="K955" s="2"/>
      <c r="L955" s="2"/>
      <c r="O955" s="58"/>
      <c r="P955" s="58"/>
    </row>
    <row r="956" spans="2:16">
      <c r="B956" s="587"/>
      <c r="C956" s="546">
        <v>3.22</v>
      </c>
      <c r="D956" s="537"/>
      <c r="E956" s="537">
        <f t="shared" si="124"/>
        <v>-3.22</v>
      </c>
      <c r="F956" s="547">
        <f>SUM($E$2:E956)/SUM($C$2:C956)</f>
        <v>5.9358816864526841E-2</v>
      </c>
      <c r="G956" s="537">
        <f t="shared" si="125"/>
        <v>131.92022177606188</v>
      </c>
      <c r="H956" s="548" t="s">
        <v>64</v>
      </c>
      <c r="I956" s="2"/>
      <c r="J956" s="2"/>
      <c r="K956" s="2"/>
      <c r="L956" s="2"/>
      <c r="O956" s="58"/>
      <c r="P956" s="58"/>
    </row>
    <row r="957" spans="2:16">
      <c r="B957" s="587"/>
      <c r="C957" s="546">
        <v>3.22</v>
      </c>
      <c r="D957" s="537">
        <v>1.9</v>
      </c>
      <c r="E957" s="537">
        <f t="shared" si="124"/>
        <v>2.8980000000000001</v>
      </c>
      <c r="F957" s="547">
        <f>SUM($E$2:E957)/SUM($C$2:C957)</f>
        <v>6.0575035394790595E-2</v>
      </c>
      <c r="G957" s="537">
        <f t="shared" si="125"/>
        <v>134.81822177606188</v>
      </c>
      <c r="H957" s="548" t="s">
        <v>14</v>
      </c>
      <c r="I957" s="2"/>
      <c r="J957" s="2"/>
      <c r="K957" s="2"/>
      <c r="L957" s="2"/>
      <c r="O957" s="58"/>
      <c r="P957" s="58"/>
    </row>
    <row r="958" spans="2:16">
      <c r="B958" s="587"/>
      <c r="C958" s="546">
        <v>3.22</v>
      </c>
      <c r="D958" s="537"/>
      <c r="E958" s="537">
        <f t="shared" si="124"/>
        <v>-3.22</v>
      </c>
      <c r="F958" s="547">
        <f>SUM($E$2:E958)/SUM($C$2:C958)</f>
        <v>5.9042838839613865E-2</v>
      </c>
      <c r="G958" s="537">
        <f t="shared" si="125"/>
        <v>131.59822177606188</v>
      </c>
      <c r="H958" s="548" t="s">
        <v>25</v>
      </c>
      <c r="I958" s="2"/>
      <c r="J958" s="2"/>
      <c r="K958" s="2"/>
      <c r="L958" s="2"/>
      <c r="O958" s="58"/>
      <c r="P958" s="58"/>
    </row>
    <row r="959" spans="2:16">
      <c r="B959" s="587"/>
      <c r="C959" s="549">
        <v>3.22</v>
      </c>
      <c r="D959" s="536"/>
      <c r="E959" s="536">
        <f t="shared" si="124"/>
        <v>-3.22</v>
      </c>
      <c r="F959" s="550">
        <f>SUM($E$2:E959)/SUM($C$2:C959)</f>
        <v>5.7515062979849187E-2</v>
      </c>
      <c r="G959" s="536">
        <f t="shared" si="125"/>
        <v>128.37822177606188</v>
      </c>
      <c r="H959" s="551" t="s">
        <v>10</v>
      </c>
      <c r="I959" s="2"/>
      <c r="J959" s="2"/>
      <c r="K959" s="2"/>
      <c r="L959" s="2"/>
      <c r="O959" s="58"/>
      <c r="P959" s="58"/>
    </row>
    <row r="960" spans="2:16">
      <c r="B960" s="587"/>
      <c r="C960" s="546">
        <v>3.22</v>
      </c>
      <c r="D960" s="537"/>
      <c r="E960" s="537">
        <f t="shared" si="124"/>
        <v>-3.22</v>
      </c>
      <c r="F960" s="547">
        <f>SUM($E$2:E960)/SUM($C$2:C960)</f>
        <v>5.5991688711162613E-2</v>
      </c>
      <c r="G960" s="537">
        <f t="shared" si="125"/>
        <v>125.15822177606188</v>
      </c>
      <c r="H960" s="548" t="s">
        <v>336</v>
      </c>
      <c r="I960" s="2"/>
      <c r="J960" s="2"/>
      <c r="K960" s="2"/>
      <c r="L960" s="2"/>
      <c r="O960" s="58"/>
      <c r="P960" s="58"/>
    </row>
    <row r="961" spans="2:16">
      <c r="B961" s="587"/>
      <c r="C961" s="546">
        <v>3.22</v>
      </c>
      <c r="D961" s="537">
        <v>1.825</v>
      </c>
      <c r="E961" s="537">
        <f t="shared" si="124"/>
        <v>2.6564999999999999</v>
      </c>
      <c r="F961" s="547">
        <f>SUM($E$2:E961)/SUM($C$2:C961)</f>
        <v>5.7097869027778081E-2</v>
      </c>
      <c r="G961" s="537">
        <f t="shared" si="125"/>
        <v>127.81472177606187</v>
      </c>
      <c r="H961" s="548" t="s">
        <v>337</v>
      </c>
      <c r="I961" s="2"/>
      <c r="J961" s="2"/>
      <c r="K961" s="2"/>
      <c r="L961" s="2"/>
      <c r="O961" s="58"/>
      <c r="P961" s="58"/>
    </row>
    <row r="962" spans="2:16">
      <c r="B962" s="587"/>
      <c r="C962" s="546">
        <v>3.22</v>
      </c>
      <c r="D962" s="537"/>
      <c r="E962" s="537">
        <f t="shared" si="124"/>
        <v>-3.22</v>
      </c>
      <c r="F962" s="547">
        <f>SUM($E$2:E962)/SUM($C$2:C962)</f>
        <v>5.5579470311482068E-2</v>
      </c>
      <c r="G962" s="537">
        <f t="shared" si="125"/>
        <v>124.59472177606187</v>
      </c>
      <c r="H962" s="548" t="s">
        <v>338</v>
      </c>
      <c r="I962" s="2"/>
      <c r="J962" s="2"/>
      <c r="K962" s="2"/>
      <c r="L962" s="2"/>
      <c r="O962" s="58"/>
      <c r="P962" s="58"/>
    </row>
    <row r="963" spans="2:16">
      <c r="B963" s="587"/>
      <c r="C963" s="546">
        <v>3.22</v>
      </c>
      <c r="D963" s="537"/>
      <c r="E963" s="537">
        <f t="shared" si="124"/>
        <v>-3.22</v>
      </c>
      <c r="F963" s="547">
        <f>SUM($E$2:E963)/SUM($C$2:C963)</f>
        <v>5.4065427346617234E-2</v>
      </c>
      <c r="G963" s="537">
        <f t="shared" si="125"/>
        <v>121.37472177606188</v>
      </c>
      <c r="H963" s="548" t="s">
        <v>193</v>
      </c>
      <c r="I963" s="2"/>
      <c r="J963" s="2"/>
      <c r="K963" s="2"/>
      <c r="L963" s="2"/>
      <c r="O963" s="58"/>
      <c r="P963" s="58"/>
    </row>
    <row r="964" spans="2:16">
      <c r="B964" s="587"/>
      <c r="C964" s="549">
        <v>3.22</v>
      </c>
      <c r="D964" s="536">
        <v>1.83</v>
      </c>
      <c r="E964" s="536">
        <f t="shared" si="124"/>
        <v>2.6726000000000005</v>
      </c>
      <c r="F964" s="550">
        <f>SUM($E$2:E964)/SUM($C$2:C964)</f>
        <v>5.517677489171767E-2</v>
      </c>
      <c r="G964" s="536">
        <f t="shared" si="125"/>
        <v>124.04732177606188</v>
      </c>
      <c r="H964" s="551" t="s">
        <v>339</v>
      </c>
      <c r="I964" s="2"/>
      <c r="J964" s="2"/>
      <c r="K964" s="2"/>
      <c r="L964" s="2"/>
      <c r="O964" s="58"/>
      <c r="P964" s="58"/>
    </row>
    <row r="965" spans="2:16">
      <c r="B965" s="587"/>
      <c r="C965" s="546">
        <v>3.22</v>
      </c>
      <c r="D965" s="537"/>
      <c r="E965" s="537">
        <f t="shared" si="124"/>
        <v>-3.22</v>
      </c>
      <c r="F965" s="547">
        <f>SUM($E$2:E965)/SUM($C$2:C965)</f>
        <v>5.36676387030567E-2</v>
      </c>
      <c r="G965" s="537">
        <f t="shared" si="125"/>
        <v>120.82732177606188</v>
      </c>
      <c r="H965" s="548" t="s">
        <v>28</v>
      </c>
      <c r="I965" s="2"/>
      <c r="J965" s="2"/>
      <c r="K965" s="2"/>
      <c r="L965" s="2"/>
      <c r="O965" s="58"/>
      <c r="P965" s="58"/>
    </row>
    <row r="966" spans="2:16">
      <c r="B966" s="587"/>
      <c r="C966" s="549">
        <v>3.22</v>
      </c>
      <c r="D966" s="536">
        <v>1.98</v>
      </c>
      <c r="E966" s="536">
        <f t="shared" si="124"/>
        <v>3.1556000000000002</v>
      </c>
      <c r="F966" s="550">
        <f>SUM($E$2:E966)/SUM($C$2:C966)</f>
        <v>5.499060674351415E-2</v>
      </c>
      <c r="G966" s="536">
        <f t="shared" si="125"/>
        <v>123.98292177606189</v>
      </c>
      <c r="H966" s="551" t="s">
        <v>27</v>
      </c>
      <c r="I966" s="2">
        <f>SUM(E955:E966)</f>
        <v>-8.2271000000000019</v>
      </c>
      <c r="L966" s="2">
        <f>I966/C966</f>
        <v>-2.5550000000000006</v>
      </c>
      <c r="O966" s="58"/>
      <c r="P966" s="58"/>
    </row>
    <row r="967" spans="2:16">
      <c r="B967" s="586">
        <v>46059</v>
      </c>
      <c r="C967" s="546">
        <v>4.25</v>
      </c>
      <c r="D967" s="537">
        <v>1.91</v>
      </c>
      <c r="E967" s="537">
        <f t="shared" ref="E967:E975" si="126">(C967*D967)-C967</f>
        <v>3.8674999999999997</v>
      </c>
      <c r="F967" s="547">
        <f>SUM($E$2:E967)/SUM($C$2:C967)</f>
        <v>5.6599282728117102E-2</v>
      </c>
      <c r="G967" s="537">
        <f t="shared" ref="G967:G975" si="127">G966+E967</f>
        <v>127.85042177606189</v>
      </c>
      <c r="H967" s="548" t="s">
        <v>37</v>
      </c>
      <c r="I967" s="2"/>
      <c r="J967" s="2"/>
      <c r="K967" s="2"/>
      <c r="L967" s="2"/>
      <c r="O967" s="58"/>
      <c r="P967" s="58"/>
    </row>
    <row r="968" spans="2:16">
      <c r="B968" s="587"/>
      <c r="C968" s="546">
        <v>4.25</v>
      </c>
      <c r="D968" s="537">
        <v>1.8260000000000001</v>
      </c>
      <c r="E968" s="537">
        <f t="shared" si="126"/>
        <v>3.5105000000000004</v>
      </c>
      <c r="F968" s="547">
        <f>SUM($E$2:E968)/SUM($C$2:C968)</f>
        <v>5.8044169896453515E-2</v>
      </c>
      <c r="G968" s="537">
        <f t="shared" si="127"/>
        <v>131.3609217760619</v>
      </c>
      <c r="H968" s="548" t="s">
        <v>104</v>
      </c>
      <c r="I968" s="2"/>
      <c r="J968" s="2"/>
      <c r="K968" s="2"/>
      <c r="L968" s="2"/>
      <c r="O968" s="58"/>
      <c r="P968" s="58"/>
    </row>
    <row r="969" spans="2:16">
      <c r="B969" s="587"/>
      <c r="C969" s="549">
        <v>4.25</v>
      </c>
      <c r="D969" s="536"/>
      <c r="E969" s="536">
        <f t="shared" si="126"/>
        <v>-4.25</v>
      </c>
      <c r="F969" s="550">
        <f>SUM($E$2:E969)/SUM($C$2:C969)</f>
        <v>5.6060952458602646E-2</v>
      </c>
      <c r="G969" s="536">
        <f t="shared" si="127"/>
        <v>127.1109217760619</v>
      </c>
      <c r="H969" s="551" t="s">
        <v>52</v>
      </c>
      <c r="I969" s="2"/>
      <c r="J969" s="2"/>
      <c r="K969" s="2"/>
      <c r="L969" s="2"/>
      <c r="O969" s="58"/>
      <c r="P969" s="58"/>
    </row>
    <row r="970" spans="2:16">
      <c r="B970" s="587"/>
      <c r="C970" s="546">
        <v>4.25</v>
      </c>
      <c r="D970" s="537">
        <v>1.85</v>
      </c>
      <c r="E970" s="537">
        <f t="shared" si="126"/>
        <v>3.6125000000000007</v>
      </c>
      <c r="F970" s="547">
        <f>SUM($E$2:E970)/SUM($C$2:C970)</f>
        <v>5.7546342159367277E-2</v>
      </c>
      <c r="G970" s="537">
        <f t="shared" si="127"/>
        <v>130.72342177606191</v>
      </c>
      <c r="H970" s="548" t="s">
        <v>195</v>
      </c>
      <c r="I970" s="2"/>
      <c r="J970" s="2"/>
      <c r="K970" s="2"/>
      <c r="L970" s="2"/>
      <c r="O970" s="58"/>
      <c r="P970" s="58"/>
    </row>
    <row r="971" spans="2:16">
      <c r="B971" s="587"/>
      <c r="C971" s="546">
        <v>4.25</v>
      </c>
      <c r="D971" s="537">
        <v>1.835</v>
      </c>
      <c r="E971" s="537">
        <f t="shared" si="126"/>
        <v>3.5487500000000001</v>
      </c>
      <c r="F971" s="547">
        <f>SUM($E$2:E971)/SUM($C$2:C971)</f>
        <v>5.8998172907970096E-2</v>
      </c>
      <c r="G971" s="537">
        <f t="shared" si="127"/>
        <v>134.27217177606192</v>
      </c>
      <c r="H971" s="548" t="s">
        <v>340</v>
      </c>
      <c r="I971" s="2"/>
      <c r="J971" s="2"/>
      <c r="K971" s="2"/>
      <c r="L971" s="2"/>
      <c r="O971" s="58"/>
      <c r="P971" s="58"/>
    </row>
    <row r="972" spans="2:16">
      <c r="B972" s="587"/>
      <c r="C972" s="549">
        <v>4.25</v>
      </c>
      <c r="D972" s="536">
        <v>1.9</v>
      </c>
      <c r="E972" s="536">
        <f t="shared" si="126"/>
        <v>3.8249999999999993</v>
      </c>
      <c r="F972" s="550">
        <f>SUM($E$2:E972)/SUM($C$2:C972)</f>
        <v>6.0565747318589325E-2</v>
      </c>
      <c r="G972" s="536">
        <f t="shared" si="127"/>
        <v>138.09717177606191</v>
      </c>
      <c r="H972" s="551" t="s">
        <v>341</v>
      </c>
      <c r="I972" s="2"/>
      <c r="J972" s="2"/>
      <c r="K972" s="2"/>
      <c r="L972" s="2"/>
      <c r="O972" s="58"/>
      <c r="P972" s="58"/>
    </row>
    <row r="973" spans="2:16">
      <c r="B973" s="587"/>
      <c r="C973" s="546">
        <v>4.25</v>
      </c>
      <c r="D973" s="537">
        <v>2.02</v>
      </c>
      <c r="E973" s="537">
        <f t="shared" si="126"/>
        <v>4.3350000000000009</v>
      </c>
      <c r="F973" s="547">
        <f>SUM($E$2:E973)/SUM($C$2:C973)</f>
        <v>6.2350745184038443E-2</v>
      </c>
      <c r="G973" s="537">
        <f t="shared" si="127"/>
        <v>142.43217177606192</v>
      </c>
      <c r="H973" s="548" t="s">
        <v>97</v>
      </c>
      <c r="I973" s="2"/>
      <c r="J973" s="2"/>
      <c r="K973" s="2"/>
      <c r="L973" s="2"/>
      <c r="O973" s="58"/>
      <c r="P973" s="58"/>
    </row>
    <row r="974" spans="2:16">
      <c r="B974" s="587"/>
      <c r="C974" s="546">
        <v>4.25</v>
      </c>
      <c r="D974" s="537">
        <v>2.0449999999999999</v>
      </c>
      <c r="E974" s="537">
        <f t="shared" si="126"/>
        <v>4.4412500000000001</v>
      </c>
      <c r="F974" s="547">
        <f>SUM($E$2:E974)/SUM($C$2:C974)</f>
        <v>6.4175538873234475E-2</v>
      </c>
      <c r="G974" s="537">
        <f t="shared" si="127"/>
        <v>146.87342177606192</v>
      </c>
      <c r="H974" s="548" t="s">
        <v>34</v>
      </c>
      <c r="I974" s="2"/>
      <c r="J974" s="2"/>
      <c r="K974" s="2"/>
      <c r="L974" s="2"/>
      <c r="O974" s="58"/>
      <c r="P974" s="58"/>
    </row>
    <row r="975" spans="2:16">
      <c r="B975" s="591"/>
      <c r="C975" s="549">
        <v>4.25</v>
      </c>
      <c r="D975" s="536"/>
      <c r="E975" s="536">
        <f t="shared" si="126"/>
        <v>-4.25</v>
      </c>
      <c r="F975" s="550">
        <f>SUM($E$2:E975)/SUM($C$2:C975)</f>
        <v>6.2203012720329499E-2</v>
      </c>
      <c r="G975" s="536">
        <f t="shared" si="127"/>
        <v>142.62342177606192</v>
      </c>
      <c r="H975" s="551" t="s">
        <v>26</v>
      </c>
      <c r="I975" s="2">
        <f>SUM(E967:E975)</f>
        <v>18.640499999999999</v>
      </c>
      <c r="L975" s="2">
        <f>I975/C975</f>
        <v>4.3860000000000001</v>
      </c>
      <c r="O975" s="58"/>
      <c r="P975" s="58"/>
    </row>
    <row r="976" spans="2:16">
      <c r="B976" s="587">
        <v>46060</v>
      </c>
      <c r="C976" s="546">
        <v>2.61</v>
      </c>
      <c r="D976" s="537"/>
      <c r="E976" s="537">
        <f t="shared" ref="E976:E990" si="128">(C976*D976)-C976</f>
        <v>-2.61</v>
      </c>
      <c r="F976" s="547">
        <f>SUM($E$2:E976)/SUM($C$2:C976)</f>
        <v>6.0995269737075412E-2</v>
      </c>
      <c r="G976" s="537">
        <f t="shared" ref="G976:G990" si="129">G975+E976</f>
        <v>140.0134217760619</v>
      </c>
      <c r="H976" s="548" t="s">
        <v>30</v>
      </c>
      <c r="I976" s="2"/>
      <c r="J976" s="2"/>
      <c r="K976" s="2"/>
      <c r="L976" s="2"/>
      <c r="O976" s="58"/>
      <c r="P976" s="58"/>
    </row>
    <row r="977" spans="1:16">
      <c r="B977" s="587"/>
      <c r="C977" s="546">
        <v>2.61</v>
      </c>
      <c r="D977" s="537"/>
      <c r="E977" s="537">
        <f t="shared" si="128"/>
        <v>-2.61</v>
      </c>
      <c r="F977" s="547">
        <f>SUM($E$2:E977)/SUM($C$2:C977)</f>
        <v>5.9790270083444015E-2</v>
      </c>
      <c r="G977" s="537">
        <f t="shared" si="129"/>
        <v>137.40342177606189</v>
      </c>
      <c r="H977" s="548" t="s">
        <v>12</v>
      </c>
      <c r="I977" s="2"/>
      <c r="J977" s="2"/>
      <c r="K977" s="2"/>
      <c r="L977" s="2"/>
      <c r="O977" s="58"/>
      <c r="P977" s="58"/>
    </row>
    <row r="978" spans="1:16">
      <c r="B978" s="587"/>
      <c r="C978" s="546">
        <v>2.61</v>
      </c>
      <c r="D978" s="537">
        <v>1.85</v>
      </c>
      <c r="E978" s="537">
        <f t="shared" si="128"/>
        <v>2.2185000000000001</v>
      </c>
      <c r="F978" s="547">
        <f>SUM($E$2:E978)/SUM($C$2:C978)</f>
        <v>6.0686713511566848E-2</v>
      </c>
      <c r="G978" s="537">
        <f t="shared" si="129"/>
        <v>139.6219217760619</v>
      </c>
      <c r="H978" s="548" t="s">
        <v>64</v>
      </c>
      <c r="I978" s="2"/>
      <c r="J978" s="2"/>
      <c r="K978" s="2"/>
      <c r="L978" s="2"/>
      <c r="O978" s="58"/>
      <c r="P978" s="58"/>
    </row>
    <row r="979" spans="1:16">
      <c r="B979" s="587"/>
      <c r="C979" s="546">
        <v>2.61</v>
      </c>
      <c r="D979" s="537">
        <v>1.9</v>
      </c>
      <c r="E979" s="537">
        <f t="shared" si="128"/>
        <v>2.3489999999999998</v>
      </c>
      <c r="F979" s="547">
        <f>SUM($E$2:E979)/SUM($C$2:C979)</f>
        <v>6.1637782919390718E-2</v>
      </c>
      <c r="G979" s="537">
        <f t="shared" si="129"/>
        <v>141.97092177606189</v>
      </c>
      <c r="H979" s="548" t="s">
        <v>36</v>
      </c>
      <c r="I979" s="2"/>
      <c r="J979" s="2"/>
      <c r="K979" s="2"/>
      <c r="L979" s="2"/>
      <c r="O979" s="58"/>
      <c r="P979" s="58"/>
    </row>
    <row r="980" spans="1:16">
      <c r="A980" s="556"/>
      <c r="B980" s="587"/>
      <c r="C980" s="549">
        <v>2.61</v>
      </c>
      <c r="D980" s="536">
        <v>1</v>
      </c>
      <c r="E980" s="536">
        <f t="shared" si="128"/>
        <v>0</v>
      </c>
      <c r="F980" s="550">
        <f>SUM($E$2:E980)/SUM($C$2:C980)</f>
        <v>6.1568017006687931E-2</v>
      </c>
      <c r="G980" s="536">
        <f t="shared" si="129"/>
        <v>141.97092177606189</v>
      </c>
      <c r="H980" s="551" t="s">
        <v>52</v>
      </c>
      <c r="I980" s="2"/>
      <c r="J980" s="2"/>
      <c r="K980" s="2"/>
      <c r="L980" s="2"/>
      <c r="O980" s="58"/>
      <c r="P980" s="58"/>
    </row>
    <row r="981" spans="1:16">
      <c r="B981" s="587"/>
      <c r="C981" s="546">
        <v>2.61</v>
      </c>
      <c r="D981" s="537">
        <v>1.98</v>
      </c>
      <c r="E981" s="537">
        <f t="shared" si="128"/>
        <v>2.5577999999999999</v>
      </c>
      <c r="F981" s="547">
        <f>SUM($E$2:E981)/SUM($C$2:C981)</f>
        <v>6.2606386651272369E-2</v>
      </c>
      <c r="G981" s="537">
        <f t="shared" si="129"/>
        <v>144.52872177606187</v>
      </c>
      <c r="H981" s="548" t="s">
        <v>342</v>
      </c>
      <c r="I981" s="2"/>
      <c r="J981" s="2"/>
      <c r="K981" s="2"/>
      <c r="L981" s="2"/>
      <c r="O981" s="58"/>
      <c r="P981" s="58"/>
    </row>
    <row r="982" spans="1:16">
      <c r="B982" s="587"/>
      <c r="C982" s="546">
        <v>2.61</v>
      </c>
      <c r="D982" s="537">
        <v>1.98</v>
      </c>
      <c r="E982" s="537">
        <f t="shared" si="128"/>
        <v>2.5577999999999999</v>
      </c>
      <c r="F982" s="547">
        <f>SUM($E$2:E982)/SUM($C$2:C982)</f>
        <v>6.3642411007581445E-2</v>
      </c>
      <c r="G982" s="537">
        <f t="shared" si="129"/>
        <v>147.08652177606186</v>
      </c>
      <c r="H982" s="548" t="s">
        <v>343</v>
      </c>
      <c r="I982" s="2"/>
      <c r="J982" s="2"/>
      <c r="K982" s="2"/>
      <c r="L982" s="2"/>
      <c r="O982" s="58"/>
      <c r="P982" s="58"/>
    </row>
    <row r="983" spans="1:16">
      <c r="B983" s="587"/>
      <c r="C983" s="546">
        <v>2.61</v>
      </c>
      <c r="D983" s="537"/>
      <c r="E983" s="537">
        <f t="shared" si="128"/>
        <v>-2.61</v>
      </c>
      <c r="F983" s="547">
        <f>SUM($E$2:E983)/SUM($C$2:C983)</f>
        <v>6.2442580994516154E-2</v>
      </c>
      <c r="G983" s="537">
        <f t="shared" si="129"/>
        <v>144.47652177606184</v>
      </c>
      <c r="H983" s="548" t="s">
        <v>344</v>
      </c>
      <c r="I983" s="2"/>
      <c r="J983" s="2"/>
      <c r="K983" s="2"/>
      <c r="L983" s="2"/>
      <c r="O983" s="58"/>
      <c r="P983" s="58"/>
    </row>
    <row r="984" spans="1:16">
      <c r="B984" s="587"/>
      <c r="C984" s="546">
        <v>2.61</v>
      </c>
      <c r="D984" s="537">
        <v>1.825</v>
      </c>
      <c r="E984" s="537">
        <f t="shared" si="128"/>
        <v>2.1532499999999994</v>
      </c>
      <c r="F984" s="547">
        <f>SUM($E$2:E984)/SUM($C$2:C984)</f>
        <v>6.3301806185593668E-2</v>
      </c>
      <c r="G984" s="537">
        <f t="shared" si="129"/>
        <v>146.62977177606183</v>
      </c>
      <c r="H984" s="548" t="s">
        <v>345</v>
      </c>
      <c r="I984" s="2"/>
      <c r="J984" s="2"/>
      <c r="K984" s="2"/>
      <c r="L984" s="2"/>
      <c r="O984" s="58"/>
      <c r="P984" s="58"/>
    </row>
    <row r="985" spans="1:16">
      <c r="B985" s="587"/>
      <c r="C985" s="546">
        <v>2.61</v>
      </c>
      <c r="D985" s="537"/>
      <c r="E985" s="537">
        <f t="shared" si="128"/>
        <v>-2.61</v>
      </c>
      <c r="F985" s="547">
        <f>SUM($E$2:E985)/SUM($C$2:C985)</f>
        <v>6.2105060339746401E-2</v>
      </c>
      <c r="G985" s="537">
        <f t="shared" si="129"/>
        <v>144.01977177606182</v>
      </c>
      <c r="H985" s="548" t="s">
        <v>93</v>
      </c>
      <c r="I985" s="2"/>
      <c r="J985" s="2"/>
      <c r="K985" s="2"/>
      <c r="L985" s="2"/>
      <c r="O985" s="58"/>
      <c r="P985" s="58"/>
    </row>
    <row r="986" spans="1:16">
      <c r="B986" s="587"/>
      <c r="C986" s="546">
        <v>2.61</v>
      </c>
      <c r="D986" s="537"/>
      <c r="E986" s="537">
        <f t="shared" si="128"/>
        <v>-2.61</v>
      </c>
      <c r="F986" s="547">
        <f>SUM($E$2:E986)/SUM($C$2:C986)</f>
        <v>6.091100533949366E-2</v>
      </c>
      <c r="G986" s="537">
        <f t="shared" si="129"/>
        <v>141.4097717760618</v>
      </c>
      <c r="H986" s="548" t="s">
        <v>346</v>
      </c>
      <c r="I986" s="2"/>
      <c r="J986" s="2"/>
      <c r="K986" s="2"/>
      <c r="L986" s="2"/>
      <c r="O986" s="58"/>
      <c r="P986" s="58"/>
    </row>
    <row r="987" spans="1:16">
      <c r="B987" s="587"/>
      <c r="C987" s="546">
        <v>2.61</v>
      </c>
      <c r="D987" s="537">
        <v>1.825</v>
      </c>
      <c r="E987" s="537">
        <f t="shared" si="128"/>
        <v>2.1532499999999994</v>
      </c>
      <c r="F987" s="547">
        <f>SUM($E$2:E987)/SUM($C$2:C987)</f>
        <v>6.1769055789785546E-2</v>
      </c>
      <c r="G987" s="537">
        <f t="shared" si="129"/>
        <v>143.56302177606179</v>
      </c>
      <c r="H987" s="548" t="s">
        <v>347</v>
      </c>
      <c r="I987" s="2"/>
      <c r="J987" s="2"/>
      <c r="K987" s="2"/>
      <c r="L987" s="2"/>
      <c r="O987" s="58"/>
      <c r="P987" s="58"/>
    </row>
    <row r="988" spans="1:16">
      <c r="A988" s="556"/>
      <c r="B988" s="587"/>
      <c r="C988" s="546">
        <v>2.61</v>
      </c>
      <c r="D988" s="537"/>
      <c r="E988" s="537">
        <f t="shared" si="128"/>
        <v>-2.61</v>
      </c>
      <c r="F988" s="547">
        <f>SUM($E$2:E988)/SUM($C$2:C988)</f>
        <v>6.0578056462120361E-2</v>
      </c>
      <c r="G988" s="537">
        <f t="shared" si="129"/>
        <v>140.95302177606177</v>
      </c>
      <c r="H988" s="548" t="s">
        <v>348</v>
      </c>
      <c r="I988" s="2"/>
      <c r="J988" s="2"/>
      <c r="K988" s="2"/>
      <c r="L988" s="2"/>
      <c r="O988" s="58"/>
      <c r="P988" s="58"/>
    </row>
    <row r="989" spans="1:16">
      <c r="B989" s="587"/>
      <c r="C989" s="549">
        <v>2.61</v>
      </c>
      <c r="D989" s="536"/>
      <c r="E989" s="536">
        <f t="shared" si="128"/>
        <v>-2.61</v>
      </c>
      <c r="F989" s="550">
        <f>SUM($E$2:E989)/SUM($C$2:C989)</f>
        <v>5.9389726057697718E-2</v>
      </c>
      <c r="G989" s="536">
        <f t="shared" si="129"/>
        <v>138.34302177606176</v>
      </c>
      <c r="H989" s="551" t="s">
        <v>349</v>
      </c>
      <c r="I989" s="2"/>
      <c r="J989" s="2"/>
      <c r="K989" s="2"/>
      <c r="L989" s="2"/>
      <c r="O989" s="58"/>
      <c r="P989" s="58"/>
    </row>
    <row r="990" spans="1:16">
      <c r="B990" s="587"/>
      <c r="C990" s="549">
        <v>2.61</v>
      </c>
      <c r="D990" s="536"/>
      <c r="E990" s="536">
        <f t="shared" si="128"/>
        <v>-2.61</v>
      </c>
      <c r="F990" s="550">
        <f>SUM($E$2:E990)/SUM($C$2:C990)</f>
        <v>5.8204055615329896E-2</v>
      </c>
      <c r="G990" s="536">
        <f t="shared" si="129"/>
        <v>135.73302177606175</v>
      </c>
      <c r="H990" s="551" t="s">
        <v>14</v>
      </c>
      <c r="I990" s="2">
        <f>SUM(E976:E990)</f>
        <v>-6.8903999999999996</v>
      </c>
      <c r="L990" s="2">
        <f>I990/C990</f>
        <v>-2.64</v>
      </c>
      <c r="O990" s="58"/>
      <c r="P990" s="58"/>
    </row>
    <row r="991" spans="1:16">
      <c r="B991" s="586">
        <v>46061</v>
      </c>
      <c r="C991" s="546">
        <v>6.48</v>
      </c>
      <c r="D991" s="537">
        <v>1.8160000000000001</v>
      </c>
      <c r="E991" s="537">
        <f t="shared" ref="E991:E993" si="130">(C991*D991)-C991</f>
        <v>5.2876799999999999</v>
      </c>
      <c r="F991" s="547">
        <f>SUM($E$2:E991)/SUM($C$2:C991)</f>
        <v>6.0303913524080224E-2</v>
      </c>
      <c r="G991" s="537">
        <f t="shared" ref="G991:G993" si="131">G990+E991</f>
        <v>141.02070177606174</v>
      </c>
      <c r="H991" s="548" t="s">
        <v>11</v>
      </c>
      <c r="I991" s="2"/>
      <c r="J991" s="2"/>
      <c r="K991" s="2"/>
      <c r="L991" s="2"/>
      <c r="O991" s="58"/>
      <c r="P991" s="58"/>
    </row>
    <row r="992" spans="1:16">
      <c r="B992" s="587"/>
      <c r="C992" s="549">
        <v>6.48</v>
      </c>
      <c r="D992" s="536"/>
      <c r="E992" s="536">
        <f t="shared" si="130"/>
        <v>-6.48</v>
      </c>
      <c r="F992" s="550">
        <f>SUM($E$2:E992)/SUM($C$2:C992)</f>
        <v>5.737392292303628E-2</v>
      </c>
      <c r="G992" s="536">
        <f t="shared" si="131"/>
        <v>134.54070177606175</v>
      </c>
      <c r="H992" s="551" t="s">
        <v>25</v>
      </c>
      <c r="I992" s="2"/>
      <c r="J992" s="2"/>
      <c r="K992" s="2"/>
      <c r="L992" s="2"/>
      <c r="O992" s="58"/>
      <c r="P992" s="58"/>
    </row>
    <row r="993" spans="2:16">
      <c r="B993" s="587"/>
      <c r="C993" s="549">
        <v>6.48</v>
      </c>
      <c r="D993" s="536">
        <v>1.835</v>
      </c>
      <c r="E993" s="536">
        <f t="shared" si="130"/>
        <v>5.4108000000000001</v>
      </c>
      <c r="F993" s="550">
        <f>SUM($E$2:E993)/SUM($C$2:C993)</f>
        <v>5.9516854114491258E-2</v>
      </c>
      <c r="G993" s="536">
        <f t="shared" si="131"/>
        <v>139.95150177606175</v>
      </c>
      <c r="H993" s="551" t="s">
        <v>350</v>
      </c>
      <c r="I993" s="490">
        <f>SUM(E991:E993)</f>
        <v>4.2184799999999996</v>
      </c>
      <c r="J993" s="490">
        <f>SUM(E930:E993)</f>
        <v>19.997230000000002</v>
      </c>
      <c r="L993" s="2">
        <f>I993/C993</f>
        <v>0.65099999999999991</v>
      </c>
      <c r="O993" s="58"/>
      <c r="P993" s="58"/>
    </row>
    <row r="994" spans="2:16">
      <c r="B994" s="586">
        <v>46062</v>
      </c>
      <c r="C994" s="546"/>
      <c r="D994" s="537"/>
      <c r="E994" s="537"/>
      <c r="F994" s="547"/>
      <c r="G994" s="537"/>
      <c r="H994" s="548" t="s">
        <v>15</v>
      </c>
      <c r="I994" s="2"/>
      <c r="J994" s="2"/>
      <c r="K994" s="2"/>
      <c r="L994" s="2"/>
      <c r="O994" s="58"/>
      <c r="P994" s="58"/>
    </row>
    <row r="995" spans="2:16">
      <c r="B995" s="587"/>
      <c r="C995" s="546"/>
      <c r="D995" s="537"/>
      <c r="E995" s="537"/>
      <c r="F995" s="547"/>
      <c r="G995" s="537"/>
      <c r="H995" s="548" t="s">
        <v>16</v>
      </c>
      <c r="I995" s="2"/>
      <c r="J995" s="2"/>
      <c r="K995" s="2"/>
      <c r="L995" s="2"/>
      <c r="O995" s="58"/>
      <c r="P995" s="58"/>
    </row>
    <row r="996" spans="2:16">
      <c r="B996" s="587"/>
      <c r="C996" s="546"/>
      <c r="D996" s="537"/>
      <c r="E996" s="537"/>
      <c r="F996" s="547"/>
      <c r="G996" s="537"/>
      <c r="H996" s="548" t="s">
        <v>104</v>
      </c>
      <c r="I996" s="2"/>
      <c r="J996" s="2"/>
      <c r="K996" s="2"/>
      <c r="L996" s="2"/>
      <c r="O996" s="58"/>
      <c r="P996" s="58"/>
    </row>
    <row r="997" spans="2:16">
      <c r="B997" s="587"/>
      <c r="C997" s="546"/>
      <c r="D997" s="537"/>
      <c r="E997" s="537"/>
      <c r="F997" s="547"/>
      <c r="G997" s="537"/>
      <c r="H997" s="548" t="s">
        <v>13</v>
      </c>
      <c r="I997" s="2"/>
      <c r="J997" s="2"/>
      <c r="K997" s="2"/>
      <c r="L997" s="2"/>
      <c r="O997" s="58"/>
      <c r="P997" s="58"/>
    </row>
    <row r="998" spans="2:16">
      <c r="B998" s="587"/>
      <c r="C998" s="549"/>
      <c r="D998" s="536"/>
      <c r="E998" s="536"/>
      <c r="F998" s="550"/>
      <c r="G998" s="536"/>
      <c r="H998" s="551" t="s">
        <v>59</v>
      </c>
      <c r="I998" s="2"/>
      <c r="J998" s="2"/>
      <c r="K998" s="2"/>
      <c r="L998" s="2"/>
      <c r="O998" s="58"/>
      <c r="P998" s="58"/>
    </row>
    <row r="999" spans="2:16">
      <c r="B999" s="587"/>
      <c r="C999" s="546"/>
      <c r="D999" s="537"/>
      <c r="E999" s="537"/>
      <c r="F999" s="547"/>
      <c r="G999" s="537"/>
      <c r="H999" s="548" t="s">
        <v>351</v>
      </c>
      <c r="I999" s="2"/>
      <c r="J999" s="2"/>
      <c r="K999" s="2"/>
      <c r="L999" s="2"/>
      <c r="O999" s="58"/>
      <c r="P999" s="58"/>
    </row>
    <row r="1000" spans="2:16">
      <c r="B1000" s="587"/>
      <c r="C1000" s="546"/>
      <c r="D1000" s="537"/>
      <c r="E1000" s="537"/>
      <c r="F1000" s="547"/>
      <c r="G1000" s="537"/>
      <c r="H1000" s="548" t="s">
        <v>352</v>
      </c>
      <c r="I1000" s="2"/>
      <c r="J1000" s="2"/>
      <c r="K1000" s="2"/>
      <c r="L1000" s="2"/>
      <c r="O1000" s="58"/>
      <c r="P1000" s="58"/>
    </row>
    <row r="1001" spans="2:16">
      <c r="B1001" s="587"/>
      <c r="C1001" s="546"/>
      <c r="D1001" s="537"/>
      <c r="E1001" s="537"/>
      <c r="F1001" s="547"/>
      <c r="G1001" s="537"/>
      <c r="H1001" s="548" t="s">
        <v>353</v>
      </c>
      <c r="I1001" s="2"/>
      <c r="J1001" s="2"/>
      <c r="K1001" s="2"/>
      <c r="L1001" s="2"/>
      <c r="O1001" s="58"/>
      <c r="P1001" s="58"/>
    </row>
    <row r="1002" spans="2:16">
      <c r="B1002" s="587"/>
      <c r="C1002" s="546"/>
      <c r="D1002" s="537"/>
      <c r="E1002" s="537"/>
      <c r="F1002" s="547"/>
      <c r="G1002" s="537"/>
      <c r="H1002" s="548" t="s">
        <v>354</v>
      </c>
      <c r="I1002" s="2"/>
      <c r="J1002" s="2"/>
      <c r="K1002" s="2"/>
      <c r="L1002" s="2"/>
      <c r="O1002" s="58"/>
      <c r="P1002" s="58"/>
    </row>
    <row r="1003" spans="2:16">
      <c r="B1003" s="587"/>
      <c r="C1003" s="546"/>
      <c r="D1003" s="537"/>
      <c r="E1003" s="537"/>
      <c r="F1003" s="547"/>
      <c r="G1003" s="537"/>
      <c r="H1003" s="548" t="s">
        <v>355</v>
      </c>
      <c r="I1003" s="185"/>
      <c r="J1003" s="2"/>
      <c r="K1003" s="2"/>
      <c r="L1003" s="2"/>
      <c r="O1003" s="58"/>
      <c r="P1003" s="58"/>
    </row>
    <row r="1004" spans="2:16">
      <c r="B1004" s="587"/>
      <c r="C1004" s="546"/>
      <c r="D1004" s="537"/>
      <c r="E1004" s="537"/>
      <c r="F1004" s="547"/>
      <c r="G1004" s="537"/>
      <c r="H1004" s="548" t="s">
        <v>356</v>
      </c>
      <c r="I1004" s="2"/>
      <c r="J1004" s="2"/>
      <c r="K1004" s="2"/>
      <c r="L1004" s="2"/>
      <c r="O1004" s="58"/>
      <c r="P1004" s="58"/>
    </row>
    <row r="1005" spans="2:16">
      <c r="B1005" s="587"/>
      <c r="C1005" s="549"/>
      <c r="D1005" s="536"/>
      <c r="E1005" s="536"/>
      <c r="F1005" s="550"/>
      <c r="G1005" s="536"/>
      <c r="H1005" s="551" t="s">
        <v>357</v>
      </c>
      <c r="I1005" s="2"/>
      <c r="J1005" s="2"/>
      <c r="K1005" s="2"/>
      <c r="L1005" s="2"/>
      <c r="O1005" s="58"/>
      <c r="P1005" s="58"/>
    </row>
    <row r="1006" spans="2:16">
      <c r="B1006" s="587"/>
      <c r="C1006" s="549"/>
      <c r="D1006" s="536"/>
      <c r="E1006" s="536"/>
      <c r="F1006" s="550"/>
      <c r="G1006" s="562"/>
      <c r="H1006" s="551" t="s">
        <v>28</v>
      </c>
      <c r="I1006" s="2">
        <f>SUM(E994:E1006)</f>
        <v>0</v>
      </c>
      <c r="L1006" s="2" t="e">
        <f>I1006/C1006</f>
        <v>#DIV/0!</v>
      </c>
      <c r="O1006" s="58"/>
      <c r="P1006" s="58"/>
    </row>
    <row r="1007" spans="2:16">
      <c r="B1007" s="586">
        <v>46063</v>
      </c>
      <c r="C1007" s="546"/>
      <c r="D1007" s="537"/>
      <c r="E1007" s="537"/>
      <c r="F1007" s="547"/>
      <c r="G1007" s="537"/>
      <c r="H1007" s="548" t="s">
        <v>29</v>
      </c>
      <c r="I1007" s="2"/>
      <c r="J1007" s="2"/>
      <c r="K1007" s="2"/>
      <c r="L1007" s="2"/>
      <c r="O1007" s="58"/>
      <c r="P1007" s="58"/>
    </row>
    <row r="1008" spans="2:16">
      <c r="B1008" s="587"/>
      <c r="C1008" s="549"/>
      <c r="D1008" s="536"/>
      <c r="E1008" s="536"/>
      <c r="F1008" s="550"/>
      <c r="G1008" s="536"/>
      <c r="H1008" s="551" t="s">
        <v>36</v>
      </c>
      <c r="I1008" s="2"/>
      <c r="J1008" s="2"/>
      <c r="K1008" s="2"/>
      <c r="L1008" s="2"/>
      <c r="O1008" s="58"/>
      <c r="P1008" s="58"/>
    </row>
    <row r="1009" spans="1:16">
      <c r="B1009" s="587"/>
      <c r="C1009" s="546"/>
      <c r="D1009" s="537"/>
      <c r="E1009" s="537"/>
      <c r="F1009" s="547"/>
      <c r="G1009" s="537"/>
      <c r="H1009" s="548" t="s">
        <v>170</v>
      </c>
      <c r="I1009" s="2"/>
      <c r="J1009" s="2"/>
      <c r="K1009" s="2"/>
      <c r="L1009" s="2"/>
      <c r="O1009" s="58"/>
      <c r="P1009" s="58"/>
    </row>
    <row r="1010" spans="1:16">
      <c r="B1010" s="587"/>
      <c r="C1010" s="549"/>
      <c r="D1010" s="536"/>
      <c r="E1010" s="536"/>
      <c r="F1010" s="550"/>
      <c r="G1010" s="536"/>
      <c r="H1010" s="551" t="s">
        <v>358</v>
      </c>
      <c r="I1010" s="2"/>
      <c r="J1010" s="2"/>
      <c r="K1010" s="2"/>
      <c r="L1010" s="2"/>
      <c r="O1010" s="58"/>
      <c r="P1010" s="58"/>
    </row>
    <row r="1011" spans="1:16">
      <c r="B1011" s="587"/>
      <c r="C1011" s="549"/>
      <c r="D1011" s="536"/>
      <c r="E1011" s="536"/>
      <c r="F1011" s="550"/>
      <c r="G1011" s="563"/>
      <c r="H1011" s="551" t="s">
        <v>10</v>
      </c>
      <c r="I1011" s="2">
        <f>SUM(E1007:E1011)</f>
        <v>0</v>
      </c>
      <c r="L1011" s="2" t="e">
        <f>I1011/C1011</f>
        <v>#DIV/0!</v>
      </c>
      <c r="O1011" s="58"/>
      <c r="P1011" s="58"/>
    </row>
    <row r="1012" spans="1:16">
      <c r="A1012" s="186">
        <v>118</v>
      </c>
      <c r="B1012" s="586">
        <v>46064</v>
      </c>
      <c r="C1012" s="546"/>
      <c r="D1012" s="566"/>
      <c r="E1012" s="537"/>
      <c r="F1012" s="547"/>
      <c r="G1012" s="537"/>
      <c r="H1012" s="548" t="s">
        <v>15</v>
      </c>
      <c r="I1012" s="2"/>
      <c r="J1012" s="2"/>
      <c r="K1012" s="2"/>
      <c r="L1012" s="2"/>
      <c r="O1012" s="58"/>
      <c r="P1012" s="58"/>
    </row>
    <row r="1013" spans="1:16">
      <c r="A1013" s="186">
        <v>121</v>
      </c>
      <c r="B1013" s="587"/>
      <c r="C1013" s="546"/>
      <c r="D1013" s="537"/>
      <c r="E1013" s="537"/>
      <c r="F1013" s="547"/>
      <c r="G1013" s="537"/>
      <c r="H1013" s="548" t="s">
        <v>46</v>
      </c>
      <c r="I1013" s="2"/>
      <c r="J1013" s="2"/>
      <c r="K1013" s="2"/>
      <c r="L1013" s="2"/>
      <c r="O1013" s="58"/>
      <c r="P1013" s="58"/>
    </row>
    <row r="1014" spans="1:16">
      <c r="A1014" s="186">
        <v>113</v>
      </c>
      <c r="B1014" s="587"/>
      <c r="C1014" s="546"/>
      <c r="D1014" s="566"/>
      <c r="E1014" s="537"/>
      <c r="F1014" s="547"/>
      <c r="G1014" s="537"/>
      <c r="H1014" s="548" t="s">
        <v>64</v>
      </c>
      <c r="I1014" s="2"/>
      <c r="J1014" s="2"/>
      <c r="K1014" s="2"/>
      <c r="L1014" s="2"/>
      <c r="O1014" s="58"/>
      <c r="P1014" s="58"/>
    </row>
    <row r="1015" spans="1:16">
      <c r="A1015" s="186">
        <v>116</v>
      </c>
      <c r="B1015" s="587"/>
      <c r="C1015" s="546"/>
      <c r="D1015" s="537"/>
      <c r="E1015" s="537"/>
      <c r="F1015" s="547"/>
      <c r="G1015" s="537"/>
      <c r="H1015" s="548" t="s">
        <v>37</v>
      </c>
      <c r="I1015" s="2"/>
      <c r="J1015" s="2"/>
      <c r="K1015" s="2"/>
      <c r="L1015" s="2"/>
      <c r="O1015" s="58"/>
      <c r="P1015" s="58"/>
    </row>
    <row r="1016" spans="1:16">
      <c r="A1016" s="186">
        <v>111</v>
      </c>
      <c r="B1016" s="587"/>
      <c r="C1016" s="546"/>
      <c r="D1016" s="566"/>
      <c r="E1016" s="537"/>
      <c r="F1016" s="547"/>
      <c r="G1016" s="537"/>
      <c r="H1016" s="548" t="s">
        <v>51</v>
      </c>
      <c r="I1016" s="2"/>
      <c r="J1016" s="2"/>
      <c r="K1016" s="2"/>
      <c r="L1016" s="2"/>
      <c r="O1016" s="58"/>
      <c r="P1016" s="58"/>
    </row>
    <row r="1017" spans="1:16">
      <c r="A1017" s="186">
        <v>120</v>
      </c>
      <c r="B1017" s="587"/>
      <c r="C1017" s="546"/>
      <c r="D1017" s="537"/>
      <c r="E1017" s="537"/>
      <c r="F1017" s="547"/>
      <c r="G1017" s="537"/>
      <c r="H1017" s="548" t="s">
        <v>104</v>
      </c>
      <c r="I1017" s="2"/>
      <c r="J1017" s="2"/>
      <c r="K1017" s="2"/>
      <c r="L1017" s="2"/>
      <c r="O1017" s="58"/>
      <c r="P1017" s="58"/>
    </row>
    <row r="1018" spans="1:16">
      <c r="A1018" s="186">
        <v>115</v>
      </c>
      <c r="B1018" s="587"/>
      <c r="C1018" s="546"/>
      <c r="D1018" s="566"/>
      <c r="E1018" s="537"/>
      <c r="F1018" s="547"/>
      <c r="G1018" s="537"/>
      <c r="H1018" s="548" t="s">
        <v>13</v>
      </c>
      <c r="I1018" s="2"/>
      <c r="J1018" s="2"/>
      <c r="K1018" s="2"/>
      <c r="L1018" s="2"/>
      <c r="O1018" s="58"/>
      <c r="P1018" s="58"/>
    </row>
    <row r="1019" spans="1:16">
      <c r="A1019" s="186">
        <v>116</v>
      </c>
      <c r="B1019" s="587"/>
      <c r="C1019" s="546"/>
      <c r="D1019" s="567"/>
      <c r="E1019" s="537"/>
      <c r="F1019" s="547"/>
      <c r="G1019" s="537"/>
      <c r="H1019" s="548" t="s">
        <v>47</v>
      </c>
      <c r="I1019" s="2"/>
      <c r="J1019" s="2"/>
      <c r="K1019" s="2"/>
      <c r="L1019" s="2"/>
      <c r="O1019" s="58"/>
      <c r="P1019" s="58"/>
    </row>
    <row r="1020" spans="1:16">
      <c r="A1020" s="186">
        <v>117</v>
      </c>
      <c r="B1020" s="587"/>
      <c r="C1020" s="546"/>
      <c r="D1020" s="566"/>
      <c r="E1020" s="537"/>
      <c r="F1020" s="547"/>
      <c r="G1020" s="537"/>
      <c r="H1020" s="548" t="s">
        <v>59</v>
      </c>
      <c r="I1020" s="2"/>
      <c r="J1020" s="2"/>
      <c r="K1020" s="2"/>
      <c r="L1020" s="2"/>
      <c r="O1020" s="58"/>
      <c r="P1020" s="58"/>
    </row>
    <row r="1021" spans="1:16">
      <c r="A1021" s="186">
        <v>120</v>
      </c>
      <c r="B1021" s="587"/>
      <c r="C1021" s="549"/>
      <c r="D1021" s="568"/>
      <c r="E1021" s="536"/>
      <c r="F1021" s="550"/>
      <c r="G1021" s="536"/>
      <c r="H1021" s="565" t="s">
        <v>27</v>
      </c>
      <c r="I1021" s="2"/>
      <c r="J1021" s="2"/>
      <c r="K1021" s="2"/>
      <c r="L1021" s="2"/>
      <c r="O1021" s="58"/>
      <c r="P1021" s="58"/>
    </row>
    <row r="1022" spans="1:16">
      <c r="A1022" s="186">
        <v>232</v>
      </c>
      <c r="B1022" s="587"/>
      <c r="C1022" s="546"/>
      <c r="D1022" s="537"/>
      <c r="E1022" s="537"/>
      <c r="F1022" s="547"/>
      <c r="G1022" s="537"/>
      <c r="H1022" s="548" t="s">
        <v>359</v>
      </c>
      <c r="I1022" s="2"/>
      <c r="J1022" s="2"/>
      <c r="K1022" s="2"/>
      <c r="L1022" s="2"/>
      <c r="O1022" s="58"/>
      <c r="P1022" s="58"/>
    </row>
    <row r="1023" spans="1:16">
      <c r="A1023" s="186">
        <v>221</v>
      </c>
      <c r="B1023" s="587"/>
      <c r="C1023" s="546"/>
      <c r="D1023" s="537"/>
      <c r="E1023" s="537"/>
      <c r="F1023" s="547"/>
      <c r="G1023" s="537"/>
      <c r="H1023" s="548" t="s">
        <v>360</v>
      </c>
      <c r="I1023" s="2"/>
      <c r="J1023" s="2"/>
      <c r="K1023" s="2"/>
      <c r="L1023" s="2"/>
      <c r="O1023" s="58"/>
      <c r="P1023" s="58"/>
    </row>
    <row r="1024" spans="1:16">
      <c r="A1024" s="186">
        <v>230</v>
      </c>
      <c r="B1024" s="587"/>
      <c r="C1024" s="546"/>
      <c r="D1024" s="566"/>
      <c r="E1024" s="537"/>
      <c r="F1024" s="547"/>
      <c r="G1024" s="537"/>
      <c r="H1024" s="564" t="s">
        <v>361</v>
      </c>
      <c r="I1024" s="2"/>
      <c r="J1024" s="2"/>
      <c r="K1024" s="2"/>
      <c r="L1024" s="2"/>
      <c r="O1024" s="58"/>
      <c r="P1024" s="58"/>
    </row>
    <row r="1025" spans="1:16">
      <c r="A1025" s="186">
        <v>222</v>
      </c>
      <c r="B1025" s="587"/>
      <c r="C1025" s="546"/>
      <c r="D1025" s="537"/>
      <c r="E1025" s="537"/>
      <c r="F1025" s="547"/>
      <c r="G1025" s="537"/>
      <c r="H1025" s="548" t="s">
        <v>291</v>
      </c>
      <c r="I1025" s="2"/>
      <c r="J1025" s="2"/>
      <c r="K1025" s="2"/>
      <c r="L1025" s="2"/>
      <c r="O1025" s="58"/>
      <c r="P1025" s="58"/>
    </row>
    <row r="1026" spans="1:16">
      <c r="A1026" s="186">
        <v>219</v>
      </c>
      <c r="B1026" s="587"/>
      <c r="C1026" s="546"/>
      <c r="D1026" s="537"/>
      <c r="E1026" s="537"/>
      <c r="F1026" s="547"/>
      <c r="G1026" s="537"/>
      <c r="H1026" s="564" t="s">
        <v>170</v>
      </c>
      <c r="I1026" s="2"/>
      <c r="J1026" s="2"/>
      <c r="K1026" s="2"/>
      <c r="L1026" s="2"/>
      <c r="O1026" s="58"/>
      <c r="P1026" s="58"/>
    </row>
    <row r="1027" spans="1:16">
      <c r="A1027" s="186">
        <v>231</v>
      </c>
      <c r="B1027" s="587"/>
      <c r="C1027" s="546"/>
      <c r="D1027" s="537"/>
      <c r="E1027" s="537"/>
      <c r="F1027" s="547"/>
      <c r="G1027" s="537"/>
      <c r="H1027" s="548" t="s">
        <v>362</v>
      </c>
      <c r="I1027" s="2"/>
      <c r="J1027" s="2"/>
      <c r="K1027" s="2"/>
      <c r="L1027" s="2"/>
      <c r="O1027" s="58"/>
      <c r="P1027" s="58"/>
    </row>
    <row r="1028" spans="1:16">
      <c r="A1028" s="186">
        <v>229</v>
      </c>
      <c r="B1028" s="587"/>
      <c r="C1028" s="546"/>
      <c r="D1028" s="537"/>
      <c r="E1028" s="537"/>
      <c r="F1028" s="547"/>
      <c r="G1028" s="537"/>
      <c r="H1028" s="548" t="s">
        <v>363</v>
      </c>
      <c r="I1028" s="2"/>
      <c r="J1028" s="2"/>
      <c r="K1028" s="2"/>
      <c r="L1028" s="2"/>
      <c r="O1028" s="58"/>
      <c r="P1028" s="58"/>
    </row>
    <row r="1029" spans="1:16">
      <c r="A1029" s="186">
        <v>230</v>
      </c>
      <c r="B1029" s="587"/>
      <c r="C1029" s="546"/>
      <c r="D1029" s="566"/>
      <c r="E1029" s="537"/>
      <c r="F1029" s="547"/>
      <c r="G1029" s="537"/>
      <c r="H1029" s="548" t="s">
        <v>364</v>
      </c>
      <c r="I1029" s="2"/>
      <c r="J1029" s="2"/>
      <c r="K1029" s="2"/>
      <c r="L1029" s="2"/>
      <c r="O1029" s="58"/>
      <c r="P1029" s="58"/>
    </row>
    <row r="1030" spans="1:16">
      <c r="A1030" s="186">
        <v>227</v>
      </c>
      <c r="B1030" s="587"/>
      <c r="C1030" s="546"/>
      <c r="D1030" s="537"/>
      <c r="E1030" s="537"/>
      <c r="F1030" s="547"/>
      <c r="G1030" s="537"/>
      <c r="H1030" s="548" t="s">
        <v>365</v>
      </c>
      <c r="I1030" s="2"/>
      <c r="J1030" s="2"/>
      <c r="K1030" s="2"/>
      <c r="L1030" s="2"/>
      <c r="O1030" s="58"/>
      <c r="P1030" s="58"/>
    </row>
    <row r="1031" spans="1:16">
      <c r="A1031" s="186">
        <v>233</v>
      </c>
      <c r="B1031" s="587"/>
      <c r="C1031" s="549"/>
      <c r="D1031" s="568"/>
      <c r="E1031" s="536"/>
      <c r="F1031" s="550"/>
      <c r="G1031" s="536"/>
      <c r="H1031" s="565" t="s">
        <v>366</v>
      </c>
      <c r="I1031" s="2"/>
      <c r="J1031" s="2"/>
      <c r="K1031" s="2"/>
      <c r="L1031" s="2"/>
      <c r="O1031" s="58"/>
      <c r="P1031" s="58"/>
    </row>
    <row r="1032" spans="1:16">
      <c r="B1032" s="587"/>
      <c r="C1032" s="546"/>
      <c r="D1032" s="566"/>
      <c r="E1032" s="537"/>
      <c r="F1032" s="547"/>
      <c r="G1032" s="537"/>
      <c r="H1032" s="564" t="s">
        <v>14</v>
      </c>
      <c r="I1032" s="2"/>
      <c r="J1032" s="2"/>
      <c r="K1032" s="2"/>
      <c r="L1032" s="2"/>
      <c r="O1032" s="58"/>
      <c r="P1032" s="58"/>
    </row>
    <row r="1033" spans="1:16">
      <c r="B1033" s="587"/>
      <c r="C1033" s="546"/>
      <c r="D1033" s="566"/>
      <c r="E1033" s="537"/>
      <c r="F1033" s="547"/>
      <c r="G1033" s="537"/>
      <c r="H1033" s="564" t="s">
        <v>51</v>
      </c>
      <c r="I1033" s="2"/>
      <c r="J1033" s="2"/>
      <c r="K1033" s="2"/>
      <c r="L1033" s="2"/>
      <c r="O1033" s="58"/>
      <c r="P1033" s="58"/>
    </row>
    <row r="1034" spans="1:16">
      <c r="B1034" s="587"/>
      <c r="C1034" s="546"/>
      <c r="D1034" s="537"/>
      <c r="E1034" s="537"/>
      <c r="F1034" s="547"/>
      <c r="G1034" s="537"/>
      <c r="H1034" s="548" t="s">
        <v>25</v>
      </c>
      <c r="I1034" s="2"/>
      <c r="J1034" s="2"/>
      <c r="K1034" s="2"/>
      <c r="L1034" s="2"/>
      <c r="O1034" s="58"/>
      <c r="P1034" s="58"/>
    </row>
    <row r="1035" spans="1:16">
      <c r="B1035" s="591"/>
      <c r="C1035" s="549"/>
      <c r="D1035" s="536"/>
      <c r="E1035" s="536"/>
      <c r="F1035" s="550"/>
      <c r="G1035" s="536"/>
      <c r="H1035" s="551" t="s">
        <v>27</v>
      </c>
      <c r="I1035" s="2">
        <f>SUM(E1012:E1035)</f>
        <v>0</v>
      </c>
      <c r="J1035" s="2">
        <f>SUM(E994:E1036)</f>
        <v>0</v>
      </c>
      <c r="K1035" s="2">
        <f>SUM(E913:E1036)</f>
        <v>24.906189999999995</v>
      </c>
      <c r="L1035" s="2" t="e">
        <f>I1035/C1035</f>
        <v>#DIV/0!</v>
      </c>
      <c r="O1035" s="58"/>
      <c r="P1035" s="58"/>
    </row>
    <row r="1036" spans="1:16">
      <c r="B1036" s="371"/>
      <c r="C1036" s="369"/>
      <c r="D1036" s="257"/>
      <c r="E1036" s="257"/>
      <c r="F1036" s="256"/>
      <c r="G1036" s="257"/>
      <c r="H1036" s="555"/>
      <c r="O1036" s="58"/>
      <c r="P1036" s="58"/>
    </row>
    <row r="1037" spans="1:16">
      <c r="C1037" s="130">
        <f>SUM(C2:C1036)</f>
        <v>2351.4600000000023</v>
      </c>
      <c r="E1037" s="501">
        <f>SUM(E2:E1036)</f>
        <v>139.95150177606175</v>
      </c>
      <c r="F1037" s="502"/>
      <c r="G1037" s="503">
        <f>E1037-MAX(G2:G1036)</f>
        <v>-7.1350200000001109</v>
      </c>
      <c r="I1037" s="11">
        <f>E1037-SUM(I2:I1036)</f>
        <v>0</v>
      </c>
      <c r="J1037" s="11">
        <f>E1037-SUM(J2:J1036)</f>
        <v>0</v>
      </c>
      <c r="K1037" s="12">
        <f>E1037-SUM(K2:K1036)</f>
        <v>0</v>
      </c>
      <c r="O1037" s="58"/>
      <c r="P1037" s="58"/>
    </row>
    <row r="1038" spans="1:16">
      <c r="E1038" s="185"/>
      <c r="F1038" s="185"/>
      <c r="N1038" s="19"/>
      <c r="O1038" s="58"/>
      <c r="P1038" s="58"/>
    </row>
    <row r="1039" spans="1:16" ht="15.75" customHeight="1">
      <c r="B1039" t="s">
        <v>367</v>
      </c>
      <c r="D1039" s="583" t="s">
        <v>368</v>
      </c>
      <c r="E1039" s="584"/>
      <c r="F1039" s="585"/>
      <c r="G1039" s="185"/>
      <c r="I1039" s="581">
        <v>700</v>
      </c>
      <c r="J1039" s="582"/>
      <c r="K1039" s="16" t="s">
        <v>369</v>
      </c>
      <c r="N1039" s="19"/>
      <c r="O1039" s="58"/>
      <c r="P1039" s="58"/>
    </row>
    <row r="1040" spans="1:16">
      <c r="B1040">
        <f>COUNT(C2:C1036)</f>
        <v>755</v>
      </c>
      <c r="C1040" s="1"/>
      <c r="D1040" s="504">
        <v>1</v>
      </c>
      <c r="E1040" s="596">
        <v>1.93</v>
      </c>
      <c r="F1040" s="505">
        <f>D1040*E1040-D1040</f>
        <v>0.92999999999999994</v>
      </c>
      <c r="G1040" s="506"/>
      <c r="H1040" s="17" t="s">
        <v>370</v>
      </c>
      <c r="I1040" s="75">
        <f>(J1040/(14*3))</f>
        <v>1.999955956609671</v>
      </c>
      <c r="J1040" s="150">
        <f>I1043/10</f>
        <v>83.998150177606178</v>
      </c>
      <c r="K1040" s="3" t="s">
        <v>371</v>
      </c>
      <c r="N1040" s="19"/>
      <c r="O1040" s="58"/>
      <c r="P1040" s="58"/>
    </row>
    <row r="1041" spans="2:16">
      <c r="B1041" t="s">
        <v>372</v>
      </c>
      <c r="C1041" s="99"/>
      <c r="D1041" s="507">
        <f>F1041/(E1040-1)</f>
        <v>1.0752688172043012</v>
      </c>
      <c r="E1041" s="597"/>
      <c r="F1041" s="508">
        <v>1</v>
      </c>
      <c r="G1041" s="506"/>
      <c r="H1041" s="17" t="s">
        <v>373</v>
      </c>
      <c r="I1041" s="127">
        <f>SUM(I2:I1036)+0.03</f>
        <v>139.98150177606183</v>
      </c>
      <c r="J1041" s="149"/>
      <c r="K1041" s="3" t="s">
        <v>374</v>
      </c>
      <c r="L1041" s="138"/>
      <c r="N1041" s="19"/>
      <c r="O1041" s="18"/>
      <c r="P1041" s="58"/>
    </row>
    <row r="1042" spans="2:16">
      <c r="B1042" s="18">
        <f>COUNT(D2:D1036)/B1040</f>
        <v>0.53907284768211916</v>
      </c>
      <c r="C1042" s="18"/>
      <c r="E1042" s="506">
        <f>1/B1042</f>
        <v>1.8550368550368552</v>
      </c>
      <c r="F1042" s="506"/>
      <c r="G1042" s="506"/>
      <c r="H1042" s="17" t="s">
        <v>375</v>
      </c>
      <c r="I1042" s="592">
        <f>(I1041-J1041)</f>
        <v>139.98150177606183</v>
      </c>
      <c r="J1042" s="593"/>
      <c r="K1042" s="128"/>
      <c r="N1042" s="19"/>
      <c r="O1042" s="58"/>
      <c r="P1042" s="58"/>
    </row>
    <row r="1043" spans="2:16">
      <c r="B1043" t="s">
        <v>4</v>
      </c>
      <c r="H1043" s="17" t="s">
        <v>376</v>
      </c>
      <c r="I1043" s="594">
        <f>I1039+I1042</f>
        <v>839.9815017760618</v>
      </c>
      <c r="J1043" s="595"/>
      <c r="K1043" s="128"/>
      <c r="L1043" s="138">
        <f>I1043-666.51</f>
        <v>173.47150177606181</v>
      </c>
      <c r="M1043" s="138"/>
      <c r="N1043" s="19"/>
      <c r="O1043" s="58"/>
      <c r="P1043" s="58"/>
    </row>
    <row r="1044" spans="2:16">
      <c r="B1044" s="18">
        <f>E1037/C1037</f>
        <v>5.9516854114491258E-2</v>
      </c>
      <c r="E1044" s="529"/>
      <c r="H1044" s="17" t="s">
        <v>377</v>
      </c>
      <c r="I1044" s="221">
        <f>(I1043-I1039)/I1039</f>
        <v>0.19997357396580256</v>
      </c>
      <c r="J1044" s="232">
        <f>C1037/I1039</f>
        <v>3.3592285714285746</v>
      </c>
      <c r="K1044" t="s">
        <v>378</v>
      </c>
      <c r="L1044" s="18"/>
      <c r="M1044" s="138"/>
      <c r="N1044" s="19"/>
      <c r="O1044" s="58"/>
      <c r="P1044" s="58"/>
    </row>
    <row r="1045" spans="2:16">
      <c r="B1045" s="18"/>
      <c r="H1045" s="17" t="s">
        <v>379</v>
      </c>
      <c r="I1045" s="127">
        <f>-$I$1043*15/100</f>
        <v>-125.99722526640927</v>
      </c>
      <c r="J1045" s="149">
        <f>$I$1043*20/100</f>
        <v>167.99630035521238</v>
      </c>
      <c r="K1045" t="s">
        <v>380</v>
      </c>
      <c r="L1045" s="18"/>
      <c r="M1045" s="138"/>
      <c r="N1045" s="19"/>
      <c r="O1045" s="58"/>
      <c r="P1045" s="58"/>
    </row>
    <row r="1046" spans="2:16">
      <c r="B1046" s="18"/>
      <c r="H1046" s="17"/>
      <c r="I1046" s="18"/>
      <c r="J1046" s="2"/>
      <c r="L1046" s="3"/>
      <c r="N1046" s="19"/>
      <c r="O1046" s="58"/>
      <c r="P1046" s="58"/>
    </row>
    <row r="1047" spans="2:16">
      <c r="L1047" s="3"/>
      <c r="N1047" s="19"/>
      <c r="O1047" s="58"/>
      <c r="P1047" s="58"/>
    </row>
    <row r="1048" spans="2:16">
      <c r="N1048" s="19"/>
      <c r="O1048" s="58"/>
      <c r="P1048" s="58"/>
    </row>
    <row r="1049" spans="2:16">
      <c r="I1049" s="20"/>
      <c r="L1049" s="3"/>
      <c r="N1049" s="19"/>
      <c r="O1049" s="58"/>
      <c r="P1049" s="58"/>
    </row>
    <row r="1050" spans="2:16">
      <c r="L1050" s="2"/>
      <c r="N1050" s="19"/>
      <c r="O1050" s="58"/>
      <c r="P1050" s="58"/>
    </row>
    <row r="1051" spans="2:16">
      <c r="L1051" s="18"/>
      <c r="N1051" s="19"/>
      <c r="O1051" s="58"/>
      <c r="P1051" s="58"/>
    </row>
    <row r="1052" spans="2:16">
      <c r="O1052" s="58"/>
      <c r="P1052" s="58"/>
    </row>
    <row r="1053" spans="2:16">
      <c r="P1053" s="58"/>
    </row>
    <row r="1054" spans="2:16">
      <c r="P1054" s="58"/>
    </row>
    <row r="1055" spans="2:16">
      <c r="P1055" s="58"/>
    </row>
    <row r="1056" spans="2:16">
      <c r="P1056" s="58"/>
    </row>
    <row r="1063" spans="2:13">
      <c r="B1063" s="557" t="s">
        <v>381</v>
      </c>
      <c r="C1063" s="558" t="s">
        <v>1</v>
      </c>
      <c r="D1063" s="559"/>
      <c r="E1063" s="560" t="s">
        <v>3</v>
      </c>
      <c r="F1063" s="561" t="s">
        <v>4</v>
      </c>
      <c r="H1063" s="588" t="s">
        <v>382</v>
      </c>
      <c r="I1063" s="588"/>
    </row>
    <row r="1064" spans="2:13">
      <c r="B1064" s="145" t="s">
        <v>383</v>
      </c>
      <c r="C1064" s="146">
        <f>SUM(C2:C87)</f>
        <v>0</v>
      </c>
      <c r="D1064" s="509"/>
      <c r="E1064" s="509">
        <f>SUM(E2:E87)</f>
        <v>0</v>
      </c>
      <c r="F1064" s="510" t="e">
        <f>E1064/C1064</f>
        <v>#DIV/0!</v>
      </c>
      <c r="G1064" s="511"/>
      <c r="H1064" s="375"/>
    </row>
    <row r="1065" spans="2:13">
      <c r="B1065" s="145" t="s">
        <v>384</v>
      </c>
      <c r="C1065" s="146">
        <f>SUM(C88:C162)</f>
        <v>0</v>
      </c>
      <c r="D1065" s="509"/>
      <c r="E1065" s="509">
        <f>SUM(E88:E162)</f>
        <v>0</v>
      </c>
      <c r="F1065" s="510" t="e">
        <f>E1065/C1065</f>
        <v>#DIV/0!</v>
      </c>
      <c r="G1065" s="512"/>
      <c r="H1065" s="382"/>
      <c r="I1065" s="571"/>
    </row>
    <row r="1066" spans="2:13">
      <c r="B1066" s="145" t="s">
        <v>385</v>
      </c>
      <c r="C1066" s="146">
        <f>SUM(C163:C238)</f>
        <v>0</v>
      </c>
      <c r="D1066" s="509"/>
      <c r="E1066" s="539">
        <f>SUM(E163:E238)</f>
        <v>0</v>
      </c>
      <c r="F1066" s="153" t="e">
        <f>E1066/C1066</f>
        <v>#DIV/0!</v>
      </c>
      <c r="G1066" s="589" t="s">
        <v>386</v>
      </c>
      <c r="H1066" s="590"/>
    </row>
    <row r="1067" spans="2:13">
      <c r="B1067" s="145" t="s">
        <v>387</v>
      </c>
      <c r="C1067" s="146">
        <f>SUM(C239:C362)</f>
        <v>363.56999999999988</v>
      </c>
      <c r="D1067" s="509"/>
      <c r="E1067" s="509">
        <f>SUM(E239:E362)</f>
        <v>0.45845999999998011</v>
      </c>
      <c r="F1067" s="510">
        <f>E1067/C1067</f>
        <v>1.2609951316114648E-3</v>
      </c>
    </row>
    <row r="1068" spans="2:13">
      <c r="B1068" s="145" t="s">
        <v>388</v>
      </c>
      <c r="C1068" s="146">
        <f>SUM(C363:C417)</f>
        <v>253.45999999999987</v>
      </c>
      <c r="D1068" s="509"/>
      <c r="E1068" s="509">
        <f>SUM(E363:E417)</f>
        <v>-9.4171099999999885</v>
      </c>
      <c r="F1068" s="510">
        <f>E1068/C1068</f>
        <v>-3.7154225518819514E-2</v>
      </c>
    </row>
    <row r="1069" spans="2:13">
      <c r="B1069" s="145" t="s">
        <v>389</v>
      </c>
      <c r="C1069" s="146">
        <f>SUM(C418:C500)</f>
        <v>278.7699999999997</v>
      </c>
      <c r="D1069" s="509"/>
      <c r="E1069" s="509">
        <f>SUM(E418:E500)</f>
        <v>2.5899699999999952</v>
      </c>
      <c r="F1069" s="510">
        <f>E1069/C1069</f>
        <v>9.2907055995982285E-3</v>
      </c>
    </row>
    <row r="1070" spans="2:13">
      <c r="B1070" s="145" t="s">
        <v>390</v>
      </c>
      <c r="C1070" s="146">
        <f>SUM(C501:C594)</f>
        <v>253.28999999999982</v>
      </c>
      <c r="D1070" s="509"/>
      <c r="E1070" s="509">
        <f>SUM(E501:E594)</f>
        <v>4.2219799999999932</v>
      </c>
      <c r="F1070" s="510">
        <f>E1070/C1070</f>
        <v>1.6668561727663928E-2</v>
      </c>
      <c r="M1070" s="545"/>
    </row>
    <row r="1071" spans="2:13">
      <c r="B1071" s="145" t="s">
        <v>391</v>
      </c>
      <c r="C1071" s="146">
        <f>SUM(C595:C691)</f>
        <v>277.90000000000015</v>
      </c>
      <c r="D1071" s="509"/>
      <c r="E1071" s="509">
        <f>SUM(E595:E691)</f>
        <v>18.901421776061795</v>
      </c>
      <c r="F1071" s="510">
        <f>E1071/C1071</f>
        <v>6.8015191709470263E-2</v>
      </c>
      <c r="I1071" s="544">
        <v>-50.734390000000062</v>
      </c>
      <c r="J1071" s="545">
        <v>46.224360000000004</v>
      </c>
      <c r="K1071" s="545">
        <f>I1071+J1071</f>
        <v>-4.5100300000000573</v>
      </c>
      <c r="L1071" s="544"/>
      <c r="M1071" s="545"/>
    </row>
    <row r="1072" spans="2:13">
      <c r="B1072" s="145" t="s">
        <v>392</v>
      </c>
      <c r="C1072" s="146">
        <f>SUM(C692:C756)</f>
        <v>174.95999999999992</v>
      </c>
      <c r="D1072" s="509"/>
      <c r="E1072" s="509">
        <f>SUM(E692:E756)</f>
        <v>-27.048020000000008</v>
      </c>
      <c r="F1072" s="510">
        <f>E1072/C1072</f>
        <v>-0.15459545038866038</v>
      </c>
      <c r="I1072" s="544">
        <v>-31.943870000000008</v>
      </c>
      <c r="J1072" s="553">
        <v>45.426540000000003</v>
      </c>
      <c r="K1072" s="545">
        <f>I1072+J1072</f>
        <v>13.482669999999995</v>
      </c>
      <c r="L1072" s="544"/>
      <c r="M1072" s="545"/>
    </row>
    <row r="1073" spans="2:14">
      <c r="B1073" s="145" t="s">
        <v>393</v>
      </c>
      <c r="C1073" s="146">
        <f>SUM(C757:C793)</f>
        <v>119.08000000000008</v>
      </c>
      <c r="D1073" s="509"/>
      <c r="E1073" s="509">
        <f>SUM(E757:E793)</f>
        <v>38.596669999999996</v>
      </c>
      <c r="F1073" s="153">
        <f>E1073/C1073</f>
        <v>0.32412386630836387</v>
      </c>
      <c r="I1073" s="544">
        <v>-27.048020000000008</v>
      </c>
      <c r="J1073" s="545">
        <v>38.596669999999996</v>
      </c>
      <c r="K1073" s="545">
        <f>I1073+J1073</f>
        <v>11.548649999999988</v>
      </c>
      <c r="L1073" s="544"/>
      <c r="M1073" s="545"/>
      <c r="N1073" s="545"/>
    </row>
    <row r="1074" spans="2:14">
      <c r="B1074" s="145" t="s">
        <v>394</v>
      </c>
      <c r="C1074" s="146">
        <f>SUM(C794:C850)</f>
        <v>170.13999999999984</v>
      </c>
      <c r="D1074" s="509"/>
      <c r="E1074" s="539">
        <f>SUM(E794:E850)</f>
        <v>46.224360000000004</v>
      </c>
      <c r="F1074" s="510">
        <f>E1074/C1074</f>
        <v>0.27168426002115931</v>
      </c>
      <c r="I1074" s="544">
        <v>-9.4171099999999885</v>
      </c>
      <c r="J1074" s="545">
        <v>24.18810999999998</v>
      </c>
      <c r="K1074" s="545">
        <f>I1074+J1074</f>
        <v>14.770999999999992</v>
      </c>
      <c r="L1074" s="544"/>
      <c r="M1074" s="545"/>
    </row>
    <row r="1075" spans="2:14">
      <c r="B1075" s="145" t="s">
        <v>395</v>
      </c>
      <c r="C1075" s="146">
        <f>SUM(C851:C929)</f>
        <v>237.56000000000014</v>
      </c>
      <c r="D1075" s="509"/>
      <c r="E1075" s="509">
        <f>SUM(E851:E929)</f>
        <v>45.42653999999996</v>
      </c>
      <c r="F1075" s="510">
        <f>E1075/C1075</f>
        <v>0.19122133355783774</v>
      </c>
      <c r="I1075" s="544">
        <f>SUM(I1071:I1074)</f>
        <v>-119.14339000000007</v>
      </c>
      <c r="J1075" s="544">
        <f>SUM(J1071:J1074)</f>
        <v>154.43567999999999</v>
      </c>
      <c r="K1075" s="545">
        <f>SUM(K1071:K1074)</f>
        <v>35.292289999999916</v>
      </c>
      <c r="L1075" s="544"/>
      <c r="M1075" s="545"/>
    </row>
    <row r="1076" spans="2:14">
      <c r="B1076" s="145" t="s">
        <v>396</v>
      </c>
      <c r="C1076" s="146">
        <f>SUM(C930:C993)</f>
        <v>222.73000000000022</v>
      </c>
      <c r="D1076" s="509"/>
      <c r="E1076" s="509">
        <f>SUM(E930:E993)</f>
        <v>19.997230000000002</v>
      </c>
      <c r="F1076" s="510">
        <f>E1076/C1076</f>
        <v>8.9782382256543725E-2</v>
      </c>
      <c r="I1076" s="544"/>
      <c r="J1076" s="544"/>
      <c r="K1076" s="545"/>
      <c r="M1076" s="545"/>
    </row>
    <row r="1077" spans="2:14">
      <c r="B1077" s="145" t="s">
        <v>397</v>
      </c>
      <c r="C1077" s="146">
        <f>SUM(C994:C1036)</f>
        <v>0</v>
      </c>
      <c r="D1077" s="509"/>
      <c r="E1077" s="509">
        <f>SUM(E994:E1036)</f>
        <v>0</v>
      </c>
      <c r="F1077" s="510" t="e">
        <f>E1077/C1077</f>
        <v>#DIV/0!</v>
      </c>
      <c r="G1077" s="512">
        <v>-117.22220276640927</v>
      </c>
      <c r="H1077" s="382">
        <v>156.29627035521236</v>
      </c>
      <c r="I1077" s="544"/>
      <c r="J1077" s="544"/>
      <c r="K1077" s="545"/>
      <c r="M1077" s="545"/>
    </row>
    <row r="1078" spans="2:14">
      <c r="B1078" s="142"/>
      <c r="C1078" s="143"/>
      <c r="D1078" s="514"/>
      <c r="E1078" s="514"/>
      <c r="F1078" s="515"/>
      <c r="G1078" s="513"/>
      <c r="H1078" s="233"/>
    </row>
    <row r="1079" spans="2:14">
      <c r="E1079" s="516"/>
      <c r="G1079" s="517"/>
      <c r="H1079" s="230"/>
    </row>
    <row r="1080" spans="2:14">
      <c r="C1080" s="43">
        <f>SUM(C1064:C1079)</f>
        <v>2351.4599999999996</v>
      </c>
      <c r="D1080" s="494"/>
      <c r="E1080" s="518">
        <f>SUM(E1064:E1079)</f>
        <v>139.95150177606172</v>
      </c>
      <c r="F1080" s="519">
        <f>E1080/C1080</f>
        <v>5.9516854114491313E-2</v>
      </c>
      <c r="G1080" s="494" t="s">
        <v>398</v>
      </c>
      <c r="H1080" s="231"/>
    </row>
    <row r="1081" spans="2:14">
      <c r="C1081" s="43">
        <f>SUM(C1067:C1078)</f>
        <v>2351.4599999999996</v>
      </c>
      <c r="D1081" s="494"/>
      <c r="E1081" s="518">
        <f>SUM(E1067:E1078)</f>
        <v>139.95150177606172</v>
      </c>
      <c r="F1081" s="519">
        <f>E1081/C1081</f>
        <v>5.9516854114491313E-2</v>
      </c>
      <c r="G1081" s="494" t="s">
        <v>399</v>
      </c>
      <c r="H1081" s="57"/>
      <c r="I1081" s="240">
        <v>40</v>
      </c>
      <c r="J1081" s="240">
        <v>21062</v>
      </c>
    </row>
    <row r="1082" spans="2:14">
      <c r="C1082" s="43">
        <f>SUM(C912:C1011)</f>
        <v>269.7800000000002</v>
      </c>
      <c r="D1082" s="494"/>
      <c r="E1082" s="518">
        <f>SUM(E912:E1011)</f>
        <v>29.048829999999995</v>
      </c>
      <c r="F1082" s="519">
        <f>E1082/C1082</f>
        <v>0.10767599525539319</v>
      </c>
      <c r="G1082" s="552">
        <v>100</v>
      </c>
      <c r="I1082" s="554">
        <f>J1082*I1081/J1081</f>
        <v>40.831829835723106</v>
      </c>
      <c r="J1082" s="240">
        <v>21500</v>
      </c>
    </row>
    <row r="1085" spans="2:14">
      <c r="H1085" s="57"/>
    </row>
    <row r="1086" spans="2:14">
      <c r="H1086" s="57"/>
    </row>
    <row r="1087" spans="2:14">
      <c r="H1087" s="57"/>
    </row>
    <row r="1088" spans="2:14">
      <c r="H1088" s="57"/>
    </row>
    <row r="1089" spans="8:8">
      <c r="H1089" s="57"/>
    </row>
    <row r="1090" spans="8:8">
      <c r="H1090" s="57"/>
    </row>
    <row r="1091" spans="8:8">
      <c r="H1091" s="57"/>
    </row>
    <row r="1092" spans="8:8">
      <c r="H1092" s="57"/>
    </row>
    <row r="1093" spans="8:8">
      <c r="H1093" s="57"/>
    </row>
    <row r="1094" spans="8:8">
      <c r="H1094" s="57"/>
    </row>
    <row r="1095" spans="8:8">
      <c r="H1095" s="57"/>
    </row>
  </sheetData>
  <sortState xmlns:xlrd2="http://schemas.microsoft.com/office/spreadsheetml/2017/richdata2" ref="I1071:K1074">
    <sortCondition ref="I1071:I1074"/>
  </sortState>
  <mergeCells count="95">
    <mergeCell ref="B871:B885"/>
    <mergeCell ref="B775:B784"/>
    <mergeCell ref="B785:B789"/>
    <mergeCell ref="B790:B793"/>
    <mergeCell ref="B945:B954"/>
    <mergeCell ref="B907:B912"/>
    <mergeCell ref="B933:B944"/>
    <mergeCell ref="B851:B860"/>
    <mergeCell ref="B861:B870"/>
    <mergeCell ref="B930:B932"/>
    <mergeCell ref="B843:B850"/>
    <mergeCell ref="B794:B802"/>
    <mergeCell ref="B803:B807"/>
    <mergeCell ref="B808:B812"/>
    <mergeCell ref="B813:B821"/>
    <mergeCell ref="B822:B828"/>
    <mergeCell ref="B64:B72"/>
    <mergeCell ref="B434:B457"/>
    <mergeCell ref="B259:B275"/>
    <mergeCell ref="B73:B87"/>
    <mergeCell ref="B501:B513"/>
    <mergeCell ref="B239:B258"/>
    <mergeCell ref="B276:B293"/>
    <mergeCell ref="B294:B306"/>
    <mergeCell ref="B307:B329"/>
    <mergeCell ref="B468:B486"/>
    <mergeCell ref="B428:B433"/>
    <mergeCell ref="B330:B347"/>
    <mergeCell ref="B348:B362"/>
    <mergeCell ref="B387:B401"/>
    <mergeCell ref="B88:B99"/>
    <mergeCell ref="B100:B109"/>
    <mergeCell ref="B2:B16"/>
    <mergeCell ref="B17:B25"/>
    <mergeCell ref="B26:B42"/>
    <mergeCell ref="B43:B49"/>
    <mergeCell ref="B50:B63"/>
    <mergeCell ref="B377:B386"/>
    <mergeCell ref="B487:B500"/>
    <mergeCell ref="B640:B645"/>
    <mergeCell ref="B625:B639"/>
    <mergeCell ref="B595:B615"/>
    <mergeCell ref="B616:B624"/>
    <mergeCell ref="B569:B580"/>
    <mergeCell ref="B581:B594"/>
    <mergeCell ref="B402:B417"/>
    <mergeCell ref="B514:B539"/>
    <mergeCell ref="B552:B568"/>
    <mergeCell ref="B540:B551"/>
    <mergeCell ref="B458:B467"/>
    <mergeCell ref="B678:B691"/>
    <mergeCell ref="B664:B677"/>
    <mergeCell ref="B745:B756"/>
    <mergeCell ref="B757:B763"/>
    <mergeCell ref="B764:B765"/>
    <mergeCell ref="B702:B708"/>
    <mergeCell ref="B120:B128"/>
    <mergeCell ref="B110:B119"/>
    <mergeCell ref="B228:B238"/>
    <mergeCell ref="B175:B179"/>
    <mergeCell ref="B140:B149"/>
    <mergeCell ref="B150:B162"/>
    <mergeCell ref="B163:B174"/>
    <mergeCell ref="B129:B139"/>
    <mergeCell ref="B180:B197"/>
    <mergeCell ref="B198:B215"/>
    <mergeCell ref="B216:B227"/>
    <mergeCell ref="B363:B371"/>
    <mergeCell ref="B418:B427"/>
    <mergeCell ref="B372:B376"/>
    <mergeCell ref="B886:B894"/>
    <mergeCell ref="B994:B1006"/>
    <mergeCell ref="B991:B993"/>
    <mergeCell ref="B976:B990"/>
    <mergeCell ref="B895:B906"/>
    <mergeCell ref="B829:B842"/>
    <mergeCell ref="B766:B774"/>
    <mergeCell ref="B646:B663"/>
    <mergeCell ref="B725:B736"/>
    <mergeCell ref="B737:B744"/>
    <mergeCell ref="B692:B701"/>
    <mergeCell ref="B709:B720"/>
    <mergeCell ref="B721:B724"/>
    <mergeCell ref="I1039:J1039"/>
    <mergeCell ref="D1039:F1039"/>
    <mergeCell ref="B913:B929"/>
    <mergeCell ref="H1063:I1063"/>
    <mergeCell ref="G1066:H1066"/>
    <mergeCell ref="B967:B975"/>
    <mergeCell ref="B955:B966"/>
    <mergeCell ref="I1042:J1042"/>
    <mergeCell ref="I1043:J1043"/>
    <mergeCell ref="E1040:E1041"/>
    <mergeCell ref="B1007:B1011"/>
    <mergeCell ref="B1012:B1035"/>
  </mergeCells>
  <conditionalFormatting sqref="B1044">
    <cfRule type="cellIs" dxfId="107" priority="5" operator="lessThanOrEqual">
      <formula>0</formula>
    </cfRule>
    <cfRule type="cellIs" dxfId="106" priority="6" operator="between">
      <formula>0.05</formula>
      <formula>0</formula>
    </cfRule>
    <cfRule type="cellIs" dxfId="105" priority="7" operator="greaterThan">
      <formula>0.05</formula>
    </cfRule>
  </conditionalFormatting>
  <conditionalFormatting sqref="E1042">
    <cfRule type="cellIs" dxfId="104" priority="10" operator="greaterThan">
      <formula>$E$1040</formula>
    </cfRule>
    <cfRule type="cellIs" dxfId="103" priority="11" operator="lessThan">
      <formula>$E$1040</formula>
    </cfRule>
  </conditionalFormatting>
  <conditionalFormatting sqref="F2:F1037 F1064:F1078">
    <cfRule type="cellIs" dxfId="102" priority="21" stopIfTrue="1" operator="greaterThan">
      <formula>5</formula>
    </cfRule>
  </conditionalFormatting>
  <conditionalFormatting sqref="F1080:F1082">
    <cfRule type="cellIs" dxfId="101" priority="1" operator="equal">
      <formula>$B$1044</formula>
    </cfRule>
  </conditionalFormatting>
  <conditionalFormatting sqref="I1041">
    <cfRule type="cellIs" dxfId="100" priority="9" operator="greaterThan">
      <formula>210</formula>
    </cfRule>
  </conditionalFormatting>
  <conditionalFormatting sqref="I1042:J1042">
    <cfRule type="cellIs" dxfId="99" priority="20" stopIfTrue="1" operator="greaterThan">
      <formula>210</formula>
    </cfRule>
  </conditionalFormatting>
  <conditionalFormatting sqref="I1043:J1043">
    <cfRule type="cellIs" dxfId="98" priority="19" stopIfTrue="1" operator="greaterThan">
      <formula>910</formula>
    </cfRule>
  </conditionalFormatting>
  <conditionalFormatting sqref="N1038:N1051">
    <cfRule type="cellIs" dxfId="97" priority="15" operator="greaterThan">
      <formula>0.5</formula>
    </cfRule>
  </conditionalFormatting>
  <pageMargins left="0.7" right="0.7" top="0.75" bottom="0.75" header="0.3" footer="0.3"/>
  <pageSetup fitToWidth="0" fitToHeight="0"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159C-EDF9-41C4-BC88-90125A006A0F}">
  <dimension ref="A1:Z2564"/>
  <sheetViews>
    <sheetView topLeftCell="G1" workbookViewId="0">
      <pane ySplit="1" topLeftCell="G819" activePane="bottomLeft" state="frozen"/>
      <selection pane="bottomLeft" activeCell="C821" sqref="C821"/>
      <selection activeCell="B1" sqref="B1"/>
    </sheetView>
  </sheetViews>
  <sheetFormatPr defaultRowHeight="15"/>
  <cols>
    <col min="1" max="1" width="8.7109375" style="420" bestFit="1" customWidth="1"/>
    <col min="2" max="2" width="47.85546875" customWidth="1"/>
    <col min="3" max="3" width="22.85546875" customWidth="1"/>
    <col min="4" max="4" width="6.85546875" customWidth="1"/>
    <col min="5" max="5" width="7" style="42" customWidth="1"/>
    <col min="6" max="6" width="8.28515625" style="287" customWidth="1"/>
    <col min="7" max="7" width="22.85546875" customWidth="1"/>
    <col min="8" max="8" width="7.28515625" customWidth="1"/>
    <col min="9" max="9" width="8.140625" style="42" customWidth="1"/>
    <col min="10" max="10" width="9.28515625" style="287" customWidth="1"/>
    <col min="11" max="11" width="6.85546875" bestFit="1" customWidth="1"/>
    <col min="12" max="12" width="7.85546875" customWidth="1"/>
    <col min="13" max="13" width="9" customWidth="1"/>
    <col min="14" max="14" width="5.7109375" customWidth="1"/>
    <col min="15" max="15" width="8.140625" customWidth="1"/>
    <col min="16" max="16" width="7.28515625" bestFit="1" customWidth="1"/>
    <col min="17" max="17" width="10.28515625" hidden="1" customWidth="1"/>
    <col min="18" max="18" width="7" hidden="1" customWidth="1"/>
    <col min="19" max="19" width="16.42578125" bestFit="1" customWidth="1"/>
    <col min="20" max="20" width="5.140625" customWidth="1"/>
    <col min="21" max="21" width="6.140625" bestFit="1" customWidth="1"/>
    <col min="22" max="23" width="5.140625" customWidth="1"/>
    <col min="24" max="24" width="3" bestFit="1" customWidth="1"/>
    <col min="25" max="25" width="3" customWidth="1"/>
    <col min="26" max="26" width="3.85546875" bestFit="1" customWidth="1"/>
    <col min="16380" max="16381" width="9.140625" bestFit="1" customWidth="1"/>
    <col min="16382" max="16384" width="9.140625" customWidth="1"/>
  </cols>
  <sheetData>
    <row r="1" spans="1:26" s="285" customFormat="1">
      <c r="A1" s="434" t="s">
        <v>0</v>
      </c>
      <c r="B1" s="435" t="s">
        <v>400</v>
      </c>
      <c r="C1" s="414" t="s">
        <v>401</v>
      </c>
      <c r="D1" s="414" t="s">
        <v>402</v>
      </c>
      <c r="E1" s="436" t="s">
        <v>403</v>
      </c>
      <c r="F1" s="414" t="s">
        <v>404</v>
      </c>
      <c r="G1" s="414" t="s">
        <v>405</v>
      </c>
      <c r="H1" s="414" t="s">
        <v>406</v>
      </c>
      <c r="I1" s="437" t="s">
        <v>407</v>
      </c>
      <c r="J1" s="435" t="s">
        <v>408</v>
      </c>
      <c r="K1" s="414" t="s">
        <v>409</v>
      </c>
      <c r="L1" s="414" t="s">
        <v>410</v>
      </c>
      <c r="M1" s="414" t="s">
        <v>411</v>
      </c>
      <c r="N1" s="414" t="s">
        <v>412</v>
      </c>
      <c r="O1" s="438" t="s">
        <v>413</v>
      </c>
      <c r="P1" s="413" t="s">
        <v>414</v>
      </c>
      <c r="Q1" s="414" t="s">
        <v>381</v>
      </c>
      <c r="R1" s="414" t="s">
        <v>415</v>
      </c>
      <c r="S1" s="288"/>
      <c r="T1" s="288"/>
      <c r="U1" s="288"/>
      <c r="V1" s="288"/>
      <c r="W1" s="288"/>
      <c r="X1"/>
      <c r="Y1"/>
      <c r="Z1"/>
    </row>
    <row r="2" spans="1:26">
      <c r="A2" s="425">
        <v>45951</v>
      </c>
      <c r="B2" s="426" t="s">
        <v>343</v>
      </c>
      <c r="C2" s="244" t="str">
        <f>LEFT(B2,FIND("@",B2)-2)</f>
        <v>Houston Rockets</v>
      </c>
      <c r="D2" s="293">
        <v>101</v>
      </c>
      <c r="E2" s="294">
        <v>124</v>
      </c>
      <c r="F2" s="427">
        <f>IF(E2&gt;D2, 1, 0)</f>
        <v>1</v>
      </c>
      <c r="G2" s="244" t="str">
        <f>MID(B2,FIND("@",B2)+2,LEN(B2)-FIND("@",B2)-1)</f>
        <v>Oklahoma City Thunder</v>
      </c>
      <c r="H2" s="295">
        <v>114</v>
      </c>
      <c r="I2" s="294">
        <v>125</v>
      </c>
      <c r="J2" s="298">
        <f>IF(I2&gt;H2, 1, 0)</f>
        <v>1</v>
      </c>
      <c r="K2" s="244">
        <f>+D2+H2</f>
        <v>215</v>
      </c>
      <c r="L2" s="292">
        <f>E2+I2</f>
        <v>249</v>
      </c>
      <c r="M2" s="427">
        <f>IF(L2&gt;K2, 1, 0)</f>
        <v>1</v>
      </c>
      <c r="N2" s="320">
        <f>(+H2-D2)</f>
        <v>13</v>
      </c>
      <c r="O2" s="344">
        <f>I2-E2</f>
        <v>1</v>
      </c>
      <c r="P2" s="410">
        <f>IF(OR(AND(N2&gt;0,O2&gt;0),AND(N2&lt;0,O2&lt;0)),1,0)</f>
        <v>1</v>
      </c>
      <c r="Q2" s="428">
        <f>WEEKNUM(tblResultadosNBA[[#This Row],[Fecha]],2)</f>
        <v>43</v>
      </c>
      <c r="R2" s="378" t="str">
        <f>TEXT(tblResultadosNBA[[#This Row],[Fecha]],"mmm")</f>
        <v>oct</v>
      </c>
      <c r="S2" s="289"/>
      <c r="T2" s="289"/>
      <c r="U2" s="289"/>
      <c r="V2" s="289"/>
      <c r="W2" s="289"/>
      <c r="X2" s="289"/>
      <c r="Y2" s="289"/>
      <c r="Z2" s="289"/>
    </row>
    <row r="3" spans="1:26">
      <c r="A3" s="442">
        <v>45951</v>
      </c>
      <c r="B3" s="421" t="s">
        <v>416</v>
      </c>
      <c r="C3" s="299" t="str">
        <f>LEFT(B3,FIND("@",B3)-2)</f>
        <v>Golden State Warriors</v>
      </c>
      <c r="D3" s="305">
        <v>99</v>
      </c>
      <c r="E3" s="306">
        <v>119</v>
      </c>
      <c r="F3" s="307">
        <f>IF(E3&gt;D3, 1, 0)</f>
        <v>1</v>
      </c>
      <c r="G3" s="299" t="str">
        <f>MID(B3,FIND("@",B3)+2,LEN(B3)-FIND("@",B3)-1)</f>
        <v>Los Angeles Lakers</v>
      </c>
      <c r="H3" s="308">
        <v>119</v>
      </c>
      <c r="I3" s="313">
        <v>109</v>
      </c>
      <c r="J3" s="334">
        <f>IF(I3&gt;H3, 1, 0)</f>
        <v>0</v>
      </c>
      <c r="K3" s="328">
        <f>+D3+H3</f>
        <v>218</v>
      </c>
      <c r="L3" s="309">
        <f>E3+I3</f>
        <v>228</v>
      </c>
      <c r="M3" s="307">
        <f>IF(L3&gt;K3, 1, 0)</f>
        <v>1</v>
      </c>
      <c r="N3" s="321">
        <f>(+H3-D3)</f>
        <v>20</v>
      </c>
      <c r="O3" s="345">
        <f>I3-E3</f>
        <v>-10</v>
      </c>
      <c r="P3" s="408">
        <f>IF(OR(AND(N3&gt;0,O3&gt;0),AND(N3&lt;0,O3&lt;0)),1,0)</f>
        <v>0</v>
      </c>
      <c r="Q3" s="289">
        <f>WEEKNUM(tblResultadosNBA[[#This Row],[Fecha]],2)</f>
        <v>43</v>
      </c>
      <c r="R3" s="379" t="str">
        <f>TEXT(tblResultadosNBA[[#This Row],[Fecha]],"mmm")</f>
        <v>oct</v>
      </c>
      <c r="S3" s="289"/>
      <c r="T3" s="289"/>
      <c r="U3" s="289"/>
      <c r="V3" s="289"/>
      <c r="W3" s="289"/>
      <c r="X3" s="289"/>
      <c r="Y3" s="289"/>
      <c r="Z3" s="289"/>
    </row>
    <row r="4" spans="1:26">
      <c r="A4" s="425">
        <v>45952</v>
      </c>
      <c r="B4" s="329" t="s">
        <v>223</v>
      </c>
      <c r="C4" s="244" t="str">
        <f>LEFT(B4,FIND("@",B4)-2)</f>
        <v>Cleveland Cavaliers</v>
      </c>
      <c r="D4" s="293">
        <v>94</v>
      </c>
      <c r="E4" s="294">
        <v>111</v>
      </c>
      <c r="F4" s="298">
        <f>IF(E4&gt;D4, 1, 0)</f>
        <v>1</v>
      </c>
      <c r="G4" s="244" t="str">
        <f>MID(B4,FIND("@",B4)+2,LEN(B4)-FIND("@",B4)-1)</f>
        <v>New York Knicks</v>
      </c>
      <c r="H4" s="295">
        <v>117</v>
      </c>
      <c r="I4" s="315">
        <v>119</v>
      </c>
      <c r="J4" s="316">
        <f>IF(I4&gt;H4, 1, 0)</f>
        <v>1</v>
      </c>
      <c r="K4" s="329">
        <f>+D4+H4</f>
        <v>211</v>
      </c>
      <c r="L4" s="292">
        <f>E4+I4</f>
        <v>230</v>
      </c>
      <c r="M4" s="298">
        <f>IF(L4&gt;K4, 1, 0)</f>
        <v>1</v>
      </c>
      <c r="N4" s="322">
        <f>(+H4-D4)</f>
        <v>23</v>
      </c>
      <c r="O4" s="346">
        <f>I4-E4</f>
        <v>8</v>
      </c>
      <c r="P4" s="410">
        <f>IF(OR(AND(N4&gt;0,O4&gt;0),AND(N4&lt;0,O4&lt;0)),1,0)</f>
        <v>1</v>
      </c>
      <c r="Q4" s="440">
        <f>WEEKNUM(tblResultadosNBA[[#This Row],[Fecha]],2)</f>
        <v>43</v>
      </c>
      <c r="R4" s="378" t="str">
        <f>TEXT(tblResultadosNBA[[#This Row],[Fecha]],"mmm")</f>
        <v>oct</v>
      </c>
      <c r="S4" s="289"/>
      <c r="T4" s="289"/>
      <c r="U4" s="289"/>
      <c r="V4" s="289"/>
      <c r="W4" s="289"/>
      <c r="X4" s="289"/>
      <c r="Y4" s="289"/>
      <c r="Z4" s="289"/>
    </row>
    <row r="5" spans="1:26">
      <c r="A5" s="441">
        <v>45952</v>
      </c>
      <c r="B5" s="302" t="s">
        <v>417</v>
      </c>
      <c r="C5" s="177" t="str">
        <f>LEFT(B5,FIND("@",B5)-2)</f>
        <v>Brooklyn Nets</v>
      </c>
      <c r="D5" s="291">
        <v>109</v>
      </c>
      <c r="E5" s="301">
        <v>117</v>
      </c>
      <c r="F5" s="300">
        <f>IF(E5&gt;D5, 1, 0)</f>
        <v>1</v>
      </c>
      <c r="G5" s="302" t="str">
        <f>MID(B5,FIND("@",B5)+2,LEN(B5)-FIND("@",B5)-1)</f>
        <v>Charlotte Hornets</v>
      </c>
      <c r="H5" s="290">
        <v>117</v>
      </c>
      <c r="I5" s="301">
        <v>136</v>
      </c>
      <c r="J5" s="327">
        <f>IF(I5&gt;H5, 1, 0)</f>
        <v>1</v>
      </c>
      <c r="K5" s="302">
        <f>+D5+H5</f>
        <v>226</v>
      </c>
      <c r="L5" s="303">
        <f>E5+I5</f>
        <v>253</v>
      </c>
      <c r="M5" s="300">
        <f>IF(L5&gt;K5, 1, 0)</f>
        <v>1</v>
      </c>
      <c r="N5" s="323">
        <f>(+H5-D5)</f>
        <v>8</v>
      </c>
      <c r="O5" s="347">
        <f>I5-E5</f>
        <v>19</v>
      </c>
      <c r="P5" s="405">
        <f>IF(OR(AND(N5&gt;0,O5&gt;0),AND(N5&lt;0,O5&lt;0)),1,0)</f>
        <v>1</v>
      </c>
      <c r="Q5" s="289">
        <f>WEEKNUM(tblResultadosNBA[[#This Row],[Fecha]],2)</f>
        <v>43</v>
      </c>
      <c r="R5" s="379" t="str">
        <f>TEXT(tblResultadosNBA[[#This Row],[Fecha]],"mmm")</f>
        <v>oct</v>
      </c>
      <c r="S5" s="289"/>
      <c r="T5" s="289"/>
      <c r="U5" s="289"/>
      <c r="V5" s="289"/>
      <c r="W5" s="289"/>
      <c r="X5" s="289"/>
      <c r="Y5" s="289"/>
      <c r="Z5" s="289"/>
    </row>
    <row r="6" spans="1:26">
      <c r="A6" s="441">
        <v>45952</v>
      </c>
      <c r="B6" s="302" t="s">
        <v>168</v>
      </c>
      <c r="C6" s="177" t="str">
        <f>LEFT(B6,FIND("@",B6)-2)</f>
        <v>Miami Heat</v>
      </c>
      <c r="D6" s="291">
        <v>108</v>
      </c>
      <c r="E6" s="301">
        <v>121</v>
      </c>
      <c r="F6" s="300">
        <f>IF(E6&gt;D6, 1, 0)</f>
        <v>1</v>
      </c>
      <c r="G6" s="302" t="str">
        <f>MID(B6,FIND("@",B6)+2,LEN(B6)-FIND("@",B6)-1)</f>
        <v>Orlando Magic</v>
      </c>
      <c r="H6" s="290">
        <v>120</v>
      </c>
      <c r="I6" s="301">
        <v>125</v>
      </c>
      <c r="J6" s="327">
        <f>IF(I6&gt;H6, 1, 0)</f>
        <v>1</v>
      </c>
      <c r="K6" s="302">
        <f>+D6+H6</f>
        <v>228</v>
      </c>
      <c r="L6" s="303">
        <f>E6+I6</f>
        <v>246</v>
      </c>
      <c r="M6" s="300">
        <f>IF(L6&gt;K6, 1, 0)</f>
        <v>1</v>
      </c>
      <c r="N6" s="323">
        <f>(+H6-D6)</f>
        <v>12</v>
      </c>
      <c r="O6" s="347">
        <f>I6-E6</f>
        <v>4</v>
      </c>
      <c r="P6" s="405">
        <f>IF(OR(AND(N6&gt;0,O6&gt;0),AND(N6&lt;0,O6&lt;0)),1,0)</f>
        <v>1</v>
      </c>
      <c r="Q6" s="289">
        <f>WEEKNUM(tblResultadosNBA[[#This Row],[Fecha]],2)</f>
        <v>43</v>
      </c>
      <c r="R6" s="379" t="str">
        <f>TEXT(tblResultadosNBA[[#This Row],[Fecha]],"mmm")</f>
        <v>oct</v>
      </c>
      <c r="S6" s="289"/>
      <c r="T6" s="289"/>
      <c r="U6" s="289"/>
      <c r="V6" s="289"/>
      <c r="W6" s="289"/>
      <c r="X6" s="289"/>
      <c r="Y6" s="289"/>
      <c r="Z6" s="289"/>
    </row>
    <row r="7" spans="1:26">
      <c r="A7" s="441">
        <v>45952</v>
      </c>
      <c r="B7" s="302" t="s">
        <v>418</v>
      </c>
      <c r="C7" s="177" t="str">
        <f>LEFT(B7,FIND("@",B7)-2)</f>
        <v>Toronto Raptors</v>
      </c>
      <c r="D7" s="291">
        <v>104</v>
      </c>
      <c r="E7" s="301">
        <v>138</v>
      </c>
      <c r="F7" s="300">
        <f>IF(E7&gt;D7, 1, 0)</f>
        <v>1</v>
      </c>
      <c r="G7" s="302" t="str">
        <f>MID(B7,FIND("@",B7)+2,LEN(B7)-FIND("@",B7)-1)</f>
        <v>Atlanta Hawks</v>
      </c>
      <c r="H7" s="290">
        <v>119</v>
      </c>
      <c r="I7" s="301">
        <v>118</v>
      </c>
      <c r="J7" s="327">
        <f>IF(I7&gt;H7, 1, 0)</f>
        <v>0</v>
      </c>
      <c r="K7" s="302">
        <f>+D7+H7</f>
        <v>223</v>
      </c>
      <c r="L7" s="303">
        <f>E7+I7</f>
        <v>256</v>
      </c>
      <c r="M7" s="300">
        <f>IF(L7&gt;K7, 1, 0)</f>
        <v>1</v>
      </c>
      <c r="N7" s="324">
        <f>(+H7-D7)</f>
        <v>15</v>
      </c>
      <c r="O7" s="347">
        <f>I7-E7</f>
        <v>-20</v>
      </c>
      <c r="P7" s="405">
        <f>IF(OR(AND(N7&gt;0,O7&gt;0),AND(N7&lt;0,O7&lt;0)),1,0)</f>
        <v>0</v>
      </c>
      <c r="Q7" s="289">
        <f>WEEKNUM(tblResultadosNBA[[#This Row],[Fecha]],2)</f>
        <v>43</v>
      </c>
      <c r="R7" s="379" t="str">
        <f>TEXT(tblResultadosNBA[[#This Row],[Fecha]],"mmm")</f>
        <v>oct</v>
      </c>
      <c r="S7" s="289"/>
      <c r="T7" s="289"/>
      <c r="U7" s="289"/>
      <c r="V7" s="289"/>
      <c r="W7" s="289"/>
      <c r="X7" s="289"/>
      <c r="Y7" s="289"/>
      <c r="Z7" s="289"/>
    </row>
    <row r="8" spans="1:26">
      <c r="A8" s="441">
        <v>45952</v>
      </c>
      <c r="B8" s="302" t="s">
        <v>419</v>
      </c>
      <c r="C8" s="177" t="str">
        <f>LEFT(B8,FIND("@",B8)-2)</f>
        <v>Philadelphia 76ers</v>
      </c>
      <c r="D8" s="291">
        <v>107</v>
      </c>
      <c r="E8" s="301">
        <v>117</v>
      </c>
      <c r="F8" s="300">
        <f>IF(E8&gt;D8, 1, 0)</f>
        <v>1</v>
      </c>
      <c r="G8" s="302" t="str">
        <f>MID(B8,FIND("@",B8)+2,LEN(B8)-FIND("@",B8)-1)</f>
        <v>Boston Celtics</v>
      </c>
      <c r="H8" s="290">
        <v>128</v>
      </c>
      <c r="I8" s="301">
        <v>116</v>
      </c>
      <c r="J8" s="327">
        <f>IF(I8&gt;H8, 1, 0)</f>
        <v>0</v>
      </c>
      <c r="K8" s="302">
        <f>+D8+H8</f>
        <v>235</v>
      </c>
      <c r="L8" s="303">
        <f>E8+I8</f>
        <v>233</v>
      </c>
      <c r="M8" s="300">
        <f>IF(L8&gt;K8, 1, 0)</f>
        <v>0</v>
      </c>
      <c r="N8" s="324">
        <f>(+H8-D8)</f>
        <v>21</v>
      </c>
      <c r="O8" s="347">
        <f>I8-E8</f>
        <v>-1</v>
      </c>
      <c r="P8" s="405">
        <f>IF(OR(AND(N8&gt;0,O8&gt;0),AND(N8&lt;0,O8&lt;0)),1,0)</f>
        <v>0</v>
      </c>
      <c r="Q8" s="289">
        <f>WEEKNUM(tblResultadosNBA[[#This Row],[Fecha]],2)</f>
        <v>43</v>
      </c>
      <c r="R8" s="379" t="str">
        <f>TEXT(tblResultadosNBA[[#This Row],[Fecha]],"mmm")</f>
        <v>oct</v>
      </c>
      <c r="V8" s="289"/>
      <c r="W8" s="289"/>
      <c r="X8" s="289"/>
    </row>
    <row r="9" spans="1:26">
      <c r="A9" s="441">
        <v>45952</v>
      </c>
      <c r="B9" s="302" t="s">
        <v>420</v>
      </c>
      <c r="C9" s="177" t="str">
        <f>LEFT(B9,FIND("@",B9)-2)</f>
        <v>Detroit Pistons</v>
      </c>
      <c r="D9" s="291">
        <v>99</v>
      </c>
      <c r="E9" s="301">
        <v>111</v>
      </c>
      <c r="F9" s="300">
        <f>IF(E9&gt;D9, 1, 0)</f>
        <v>1</v>
      </c>
      <c r="G9" s="302" t="str">
        <f>MID(B9,FIND("@",B9)+2,LEN(B9)-FIND("@",B9)-1)</f>
        <v>Chicago Bulls</v>
      </c>
      <c r="H9" s="290">
        <v>116</v>
      </c>
      <c r="I9" s="301">
        <v>105</v>
      </c>
      <c r="J9" s="327">
        <f>IF(I9&gt;H9, 1, 0)</f>
        <v>0</v>
      </c>
      <c r="K9" s="302">
        <f>+D9+H9</f>
        <v>215</v>
      </c>
      <c r="L9" s="303">
        <f>E9+I9</f>
        <v>216</v>
      </c>
      <c r="M9" s="300">
        <f>IF(L9&gt;K9, 1, 0)</f>
        <v>1</v>
      </c>
      <c r="N9" s="325">
        <f>(+H9-D9)</f>
        <v>17</v>
      </c>
      <c r="O9" s="347">
        <f>I9-E9</f>
        <v>-6</v>
      </c>
      <c r="P9" s="405">
        <f>IF(OR(AND(N9&gt;0,O9&gt;0),AND(N9&lt;0,O9&lt;0)),1,0)</f>
        <v>0</v>
      </c>
      <c r="Q9" s="289">
        <f>WEEKNUM(tblResultadosNBA[[#This Row],[Fecha]],2)</f>
        <v>43</v>
      </c>
      <c r="R9" s="379" t="str">
        <f>TEXT(tblResultadosNBA[[#This Row],[Fecha]],"mmm")</f>
        <v>oct</v>
      </c>
      <c r="V9" s="289"/>
      <c r="W9" s="289"/>
      <c r="X9" s="289"/>
    </row>
    <row r="10" spans="1:26">
      <c r="A10" s="441">
        <v>45952</v>
      </c>
      <c r="B10" s="302" t="s">
        <v>289</v>
      </c>
      <c r="C10" s="177" t="str">
        <f>LEFT(B10,FIND("@",B10)-2)</f>
        <v>New Orleans Pelicans</v>
      </c>
      <c r="D10" s="291">
        <v>109</v>
      </c>
      <c r="E10" s="301">
        <v>122</v>
      </c>
      <c r="F10" s="300">
        <f>IF(E10&gt;D10, 1, 0)</f>
        <v>1</v>
      </c>
      <c r="G10" s="302" t="str">
        <f>MID(B10,FIND("@",B10)+2,LEN(B10)-FIND("@",B10)-1)</f>
        <v>Memphis Grizzlies</v>
      </c>
      <c r="H10" s="290">
        <v>118</v>
      </c>
      <c r="I10" s="301">
        <v>128</v>
      </c>
      <c r="J10" s="327">
        <f>IF(I10&gt;H10, 1, 0)</f>
        <v>1</v>
      </c>
      <c r="K10" s="302">
        <f>+D10+H10</f>
        <v>227</v>
      </c>
      <c r="L10" s="303">
        <f>E10+I10</f>
        <v>250</v>
      </c>
      <c r="M10" s="300">
        <f>IF(L10&gt;K10, 1, 0)</f>
        <v>1</v>
      </c>
      <c r="N10" s="325">
        <f>(+H10-D10)</f>
        <v>9</v>
      </c>
      <c r="O10" s="347">
        <f>I10-E10</f>
        <v>6</v>
      </c>
      <c r="P10" s="405">
        <f>IF(OR(AND(N10&gt;0,O10&gt;0),AND(N10&lt;0,O10&lt;0)),1,0)</f>
        <v>1</v>
      </c>
      <c r="Q10" s="289">
        <f>WEEKNUM(tblResultadosNBA[[#This Row],[Fecha]],2)</f>
        <v>43</v>
      </c>
      <c r="R10" s="379" t="str">
        <f>TEXT(tblResultadosNBA[[#This Row],[Fecha]],"mmm")</f>
        <v>oct</v>
      </c>
      <c r="V10" s="289"/>
      <c r="W10" s="289"/>
      <c r="X10" s="289"/>
    </row>
    <row r="11" spans="1:26">
      <c r="A11" s="441">
        <v>45952</v>
      </c>
      <c r="B11" s="302" t="s">
        <v>255</v>
      </c>
      <c r="C11" s="177" t="str">
        <f>LEFT(B11,FIND("@",B11)-2)</f>
        <v>Washington Wizards</v>
      </c>
      <c r="D11" s="291">
        <v>109</v>
      </c>
      <c r="E11" s="301">
        <v>120</v>
      </c>
      <c r="F11" s="300">
        <f>IF(E11&gt;D11, 1, 0)</f>
        <v>1</v>
      </c>
      <c r="G11" s="302" t="str">
        <f>MID(B11,FIND("@",B11)+2,LEN(B11)-FIND("@",B11)-1)</f>
        <v>Milwaukee Bucks</v>
      </c>
      <c r="H11" s="290">
        <v>114</v>
      </c>
      <c r="I11" s="301">
        <v>133</v>
      </c>
      <c r="J11" s="327">
        <f>IF(I11&gt;H11, 1, 0)</f>
        <v>1</v>
      </c>
      <c r="K11" s="302">
        <f>+D11+H11</f>
        <v>223</v>
      </c>
      <c r="L11" s="303">
        <f>E11+I11</f>
        <v>253</v>
      </c>
      <c r="M11" s="300">
        <f>IF(L11&gt;K11, 1, 0)</f>
        <v>1</v>
      </c>
      <c r="N11" s="325">
        <f>(+H11-D11)</f>
        <v>5</v>
      </c>
      <c r="O11" s="347">
        <f>I11-E11</f>
        <v>13</v>
      </c>
      <c r="P11" s="405">
        <f>IF(OR(AND(N11&gt;0,O11&gt;0),AND(N11&lt;0,O11&lt;0)),1,0)</f>
        <v>1</v>
      </c>
      <c r="Q11" s="289">
        <f>WEEKNUM(tblResultadosNBA[[#This Row],[Fecha]],2)</f>
        <v>43</v>
      </c>
      <c r="R11" s="379" t="str">
        <f>TEXT(tblResultadosNBA[[#This Row],[Fecha]],"mmm")</f>
        <v>oct</v>
      </c>
      <c r="V11" s="289"/>
      <c r="W11" s="289"/>
      <c r="X11" s="289"/>
    </row>
    <row r="12" spans="1:26">
      <c r="A12" s="441">
        <v>45952</v>
      </c>
      <c r="B12" s="302" t="s">
        <v>306</v>
      </c>
      <c r="C12" s="177" t="str">
        <f>LEFT(B12,FIND("@",B12)-2)</f>
        <v>LA Clippers</v>
      </c>
      <c r="D12" s="291">
        <v>115</v>
      </c>
      <c r="E12" s="301">
        <v>108</v>
      </c>
      <c r="F12" s="300">
        <f>IF(E12&gt;D12, 1, 0)</f>
        <v>0</v>
      </c>
      <c r="G12" s="302" t="str">
        <f>MID(B12,FIND("@",B12)+2,LEN(B12)-FIND("@",B12)-1)</f>
        <v>Utah Jazz</v>
      </c>
      <c r="H12" s="290">
        <v>118</v>
      </c>
      <c r="I12" s="301">
        <v>129</v>
      </c>
      <c r="J12" s="327">
        <f>IF(I12&gt;H12, 1, 0)</f>
        <v>1</v>
      </c>
      <c r="K12" s="302">
        <f>+D12+H12</f>
        <v>233</v>
      </c>
      <c r="L12" s="303">
        <f>E12+I12</f>
        <v>237</v>
      </c>
      <c r="M12" s="300">
        <f>IF(L12&gt;K12, 1, 0)</f>
        <v>1</v>
      </c>
      <c r="N12" s="325">
        <f>(+H12-D12)</f>
        <v>3</v>
      </c>
      <c r="O12" s="347">
        <f>I12-E12</f>
        <v>21</v>
      </c>
      <c r="P12" s="405">
        <f>IF(OR(AND(N12&gt;0,O12&gt;0),AND(N12&lt;0,O12&lt;0)),1,0)</f>
        <v>1</v>
      </c>
      <c r="Q12" s="289">
        <f>WEEKNUM(tblResultadosNBA[[#This Row],[Fecha]],2)</f>
        <v>43</v>
      </c>
      <c r="R12" s="379" t="str">
        <f>TEXT(tblResultadosNBA[[#This Row],[Fecha]],"mmm")</f>
        <v>oct</v>
      </c>
      <c r="V12" s="289"/>
      <c r="W12" s="289"/>
      <c r="X12" s="289"/>
    </row>
    <row r="13" spans="1:26">
      <c r="A13" s="441">
        <v>45952</v>
      </c>
      <c r="B13" s="302" t="s">
        <v>338</v>
      </c>
      <c r="C13" s="177" t="str">
        <f>LEFT(B13,FIND("@",B13)-2)</f>
        <v>San Antonio Spurs</v>
      </c>
      <c r="D13" s="291">
        <v>103</v>
      </c>
      <c r="E13" s="301">
        <v>125</v>
      </c>
      <c r="F13" s="300">
        <f>IF(E13&gt;D13, 1, 0)</f>
        <v>1</v>
      </c>
      <c r="G13" s="302" t="str">
        <f>MID(B13,FIND("@",B13)+2,LEN(B13)-FIND("@",B13)-1)</f>
        <v>Dallas Mavericks</v>
      </c>
      <c r="H13" s="290">
        <v>114</v>
      </c>
      <c r="I13" s="301">
        <v>92</v>
      </c>
      <c r="J13" s="327">
        <f>IF(I13&gt;H13, 1, 0)</f>
        <v>0</v>
      </c>
      <c r="K13" s="302">
        <f>+D13+H13</f>
        <v>217</v>
      </c>
      <c r="L13" s="303">
        <f>E13+I13</f>
        <v>217</v>
      </c>
      <c r="M13" s="300">
        <f>IF(L13&gt;K13, 1, 0)</f>
        <v>0</v>
      </c>
      <c r="N13" s="325">
        <f>(+H13-D13)</f>
        <v>11</v>
      </c>
      <c r="O13" s="347">
        <f>I13-E13</f>
        <v>-33</v>
      </c>
      <c r="P13" s="405">
        <f>IF(OR(AND(N13&gt;0,O13&gt;0),AND(N13&lt;0,O13&lt;0)),1,0)</f>
        <v>0</v>
      </c>
      <c r="Q13" s="289">
        <f>WEEKNUM(tblResultadosNBA[[#This Row],[Fecha]],2)</f>
        <v>43</v>
      </c>
      <c r="R13" s="379" t="str">
        <f>TEXT(tblResultadosNBA[[#This Row],[Fecha]],"mmm")</f>
        <v>oct</v>
      </c>
    </row>
    <row r="14" spans="1:26">
      <c r="A14" s="441">
        <v>45952</v>
      </c>
      <c r="B14" s="302" t="s">
        <v>421</v>
      </c>
      <c r="C14" s="177" t="str">
        <f>LEFT(B14,FIND("@",B14)-2)</f>
        <v>Sacramento Kings</v>
      </c>
      <c r="D14" s="291">
        <v>106</v>
      </c>
      <c r="E14" s="301">
        <v>116</v>
      </c>
      <c r="F14" s="300">
        <f>IF(E14&gt;D14, 1, 0)</f>
        <v>1</v>
      </c>
      <c r="G14" s="302" t="str">
        <f>MID(B14,FIND("@",B14)+2,LEN(B14)-FIND("@",B14)-1)</f>
        <v>Phoenix Suns</v>
      </c>
      <c r="H14" s="290">
        <v>119</v>
      </c>
      <c r="I14" s="301">
        <v>120</v>
      </c>
      <c r="J14" s="327">
        <f>IF(I14&gt;H14, 1, 0)</f>
        <v>1</v>
      </c>
      <c r="K14" s="302">
        <f>+D14+H14</f>
        <v>225</v>
      </c>
      <c r="L14" s="303">
        <f>E14+I14</f>
        <v>236</v>
      </c>
      <c r="M14" s="300">
        <f>IF(L14&gt;K14, 1, 0)</f>
        <v>1</v>
      </c>
      <c r="N14" s="325">
        <f>(+H14-D14)</f>
        <v>13</v>
      </c>
      <c r="O14" s="347">
        <f>I14-E14</f>
        <v>4</v>
      </c>
      <c r="P14" s="405">
        <f>IF(OR(AND(N14&gt;0,O14&gt;0),AND(N14&lt;0,O14&lt;0)),1,0)</f>
        <v>1</v>
      </c>
      <c r="Q14" s="289">
        <f>WEEKNUM(tblResultadosNBA[[#This Row],[Fecha]],2)</f>
        <v>43</v>
      </c>
      <c r="R14" s="379" t="str">
        <f>TEXT(tblResultadosNBA[[#This Row],[Fecha]],"mmm")</f>
        <v>oct</v>
      </c>
    </row>
    <row r="15" spans="1:26">
      <c r="A15" s="429">
        <v>45952</v>
      </c>
      <c r="B15" s="331" t="s">
        <v>422</v>
      </c>
      <c r="C15" s="286" t="str">
        <f>LEFT(B15,FIND("@",B15)-2)</f>
        <v>Minnesota Timberwolves</v>
      </c>
      <c r="D15" s="296">
        <v>104</v>
      </c>
      <c r="E15" s="311">
        <v>118</v>
      </c>
      <c r="F15" s="310">
        <f>IF(E15&gt;D15, 1, 0)</f>
        <v>1</v>
      </c>
      <c r="G15" s="286" t="str">
        <f>MID(B15,FIND("@",B15)+2,LEN(B15)-FIND("@",B15)-1)</f>
        <v>Portland Trail Blazers</v>
      </c>
      <c r="H15" s="297">
        <v>115</v>
      </c>
      <c r="I15" s="317">
        <v>114</v>
      </c>
      <c r="J15" s="332">
        <f>IF(I15&gt;H15, 1, 0)</f>
        <v>0</v>
      </c>
      <c r="K15" s="331">
        <f>+D15+H15</f>
        <v>219</v>
      </c>
      <c r="L15" s="431">
        <f>E15+I15</f>
        <v>232</v>
      </c>
      <c r="M15" s="430">
        <f>IF(L15&gt;K15, 1, 0)</f>
        <v>1</v>
      </c>
      <c r="N15" s="432">
        <f>(+H15-D15)</f>
        <v>11</v>
      </c>
      <c r="O15" s="353">
        <f>I15-E15</f>
        <v>-4</v>
      </c>
      <c r="P15" s="406">
        <f>IF(OR(AND(N15&gt;0,O15&gt;0),AND(N15&lt;0,O15&lt;0)),1,0)</f>
        <v>0</v>
      </c>
      <c r="Q15" s="433">
        <f>WEEKNUM(tblResultadosNBA[[#This Row],[Fecha]],2)</f>
        <v>43</v>
      </c>
      <c r="R15" s="401" t="str">
        <f>TEXT(tblResultadosNBA[[#This Row],[Fecha]],"mmm")</f>
        <v>oct</v>
      </c>
    </row>
    <row r="16" spans="1:26">
      <c r="A16" s="439">
        <v>45953</v>
      </c>
      <c r="B16" s="423" t="s">
        <v>423</v>
      </c>
      <c r="C16" s="361" t="str">
        <f>LEFT(B16,FIND("@",B16)-2)</f>
        <v>Oklahoma City Thunder</v>
      </c>
      <c r="D16" s="351">
        <v>118</v>
      </c>
      <c r="E16" s="319">
        <v>141</v>
      </c>
      <c r="F16" s="314">
        <f>IF(E16&gt;D16, 1, 0)</f>
        <v>1</v>
      </c>
      <c r="G16" s="361" t="str">
        <f>MID(B16,FIND("@",B16)+2,LEN(B16)-FIND("@",B16)-1)</f>
        <v>Indiana Pacers</v>
      </c>
      <c r="H16" s="443">
        <v>93</v>
      </c>
      <c r="I16" s="319">
        <v>135</v>
      </c>
      <c r="J16" s="333">
        <f>IF(I16&gt;H16, 1, 0)</f>
        <v>1</v>
      </c>
      <c r="K16" s="423">
        <f>+D16+H16</f>
        <v>211</v>
      </c>
      <c r="L16" s="319">
        <f>E16+I16</f>
        <v>276</v>
      </c>
      <c r="M16" s="314">
        <f>IF(L16&gt;K16, 1, 0)</f>
        <v>1</v>
      </c>
      <c r="N16" s="444">
        <f>(+H16-D16)</f>
        <v>-25</v>
      </c>
      <c r="O16" s="352">
        <f>I16-E16</f>
        <v>-6</v>
      </c>
      <c r="P16" s="407">
        <f>IF(OR(AND(N16&gt;0,O16&gt;0),AND(N16&lt;0,O16&lt;0)),1,0)</f>
        <v>1</v>
      </c>
      <c r="Q16" s="289">
        <f>WEEKNUM(tblResultadosNBA[[#This Row],[Fecha]],2)</f>
        <v>43</v>
      </c>
      <c r="R16" t="str">
        <f>TEXT(tblResultadosNBA[[#This Row],[Fecha]],"mmm")</f>
        <v>oct</v>
      </c>
    </row>
    <row r="17" spans="1:18">
      <c r="A17" s="445">
        <v>45953</v>
      </c>
      <c r="B17" s="331" t="s">
        <v>424</v>
      </c>
      <c r="C17" s="286" t="str">
        <f>LEFT(B17,FIND("@",B17)-2)</f>
        <v>Denver Nuggets</v>
      </c>
      <c r="D17" s="296">
        <v>118</v>
      </c>
      <c r="E17" s="311">
        <v>131</v>
      </c>
      <c r="F17" s="310">
        <f>IF(E17&gt;D17, 1, 0)</f>
        <v>1</v>
      </c>
      <c r="G17" s="286" t="str">
        <f>MID(B17,FIND("@",B17)+2,LEN(B17)-FIND("@",B17)-1)</f>
        <v>Golden State Warriors</v>
      </c>
      <c r="H17" s="297">
        <v>121</v>
      </c>
      <c r="I17" s="317">
        <v>137</v>
      </c>
      <c r="J17" s="332">
        <f>IF(I17&gt;H17, 1, 0)</f>
        <v>1</v>
      </c>
      <c r="K17" s="331">
        <f>+D17+H17</f>
        <v>239</v>
      </c>
      <c r="L17" s="317">
        <f>E17+I17</f>
        <v>268</v>
      </c>
      <c r="M17" s="310">
        <f>IF(L17&gt;K17, 1, 0)</f>
        <v>1</v>
      </c>
      <c r="N17" s="326">
        <f>(+H17-D17)</f>
        <v>3</v>
      </c>
      <c r="O17" s="348">
        <f>I17-E17</f>
        <v>6</v>
      </c>
      <c r="P17" s="406">
        <f>IF(OR(AND(N17&gt;0,O17&gt;0),AND(N17&lt;0,O17&lt;0)),1,0)</f>
        <v>1</v>
      </c>
      <c r="Q17" s="433">
        <f>WEEKNUM(tblResultadosNBA[[#This Row],[Fecha]],2)</f>
        <v>43</v>
      </c>
      <c r="R17" s="433" t="str">
        <f>TEXT(tblResultadosNBA[[#This Row],[Fecha]],"mmm")</f>
        <v>oct</v>
      </c>
    </row>
    <row r="18" spans="1:18">
      <c r="A18" s="439">
        <v>45954</v>
      </c>
      <c r="B18" s="302" t="s">
        <v>425</v>
      </c>
      <c r="C18" s="177" t="str">
        <f>LEFT(B18,FIND("@",B18)-2)</f>
        <v>Milwaukee Bucks</v>
      </c>
      <c r="D18" s="177">
        <v>116</v>
      </c>
      <c r="E18" s="303">
        <v>122</v>
      </c>
      <c r="F18" s="327">
        <f>IF(E18&gt;D18, 1, 0)</f>
        <v>1</v>
      </c>
      <c r="G18" s="302" t="str">
        <f>MID(B18,FIND("@",B18)+2,LEN(B18)-FIND("@",B18)-1)</f>
        <v>Toronto Raptors</v>
      </c>
      <c r="H18" s="177">
        <v>111</v>
      </c>
      <c r="I18" s="319">
        <v>116</v>
      </c>
      <c r="J18" s="327">
        <f>IF(I18&gt;H18, 1, 0)</f>
        <v>1</v>
      </c>
      <c r="K18" s="302">
        <f>+D18+H18</f>
        <v>227</v>
      </c>
      <c r="L18" s="303">
        <f>E18+I18</f>
        <v>238</v>
      </c>
      <c r="M18" s="327">
        <f>IF(L18&gt;K18, 1, 0)</f>
        <v>1</v>
      </c>
      <c r="N18" s="325">
        <f>(+H18-D18)</f>
        <v>-5</v>
      </c>
      <c r="O18" s="347">
        <f>I18-E18</f>
        <v>-6</v>
      </c>
      <c r="P18" s="407">
        <f>IF(OR(AND(N18&gt;0,O18&gt;0),AND(N18&lt;0,O18&lt;0)),1,0)</f>
        <v>1</v>
      </c>
      <c r="Q18" s="289">
        <f>WEEKNUM(tblResultadosNBA[[#This Row],[Fecha]],2)</f>
        <v>43</v>
      </c>
      <c r="R18" t="str">
        <f>TEXT(tblResultadosNBA[[#This Row],[Fecha]],"mmm")</f>
        <v>oct</v>
      </c>
    </row>
    <row r="19" spans="1:18">
      <c r="A19" s="419">
        <v>45954</v>
      </c>
      <c r="B19" s="302" t="s">
        <v>426</v>
      </c>
      <c r="C19" s="177" t="str">
        <f>LEFT(B19,FIND("@",B19)-2)</f>
        <v>Atlanta Hawks</v>
      </c>
      <c r="D19" s="177">
        <v>105</v>
      </c>
      <c r="E19" s="303">
        <v>111</v>
      </c>
      <c r="F19" s="327">
        <f>IF(E19&gt;D19, 1, 0)</f>
        <v>1</v>
      </c>
      <c r="G19" s="302" t="str">
        <f>MID(B19,FIND("@",B19)+2,LEN(B19)-FIND("@",B19)-1)</f>
        <v>Orlando Magic</v>
      </c>
      <c r="H19" s="177">
        <v>116</v>
      </c>
      <c r="I19" s="303">
        <v>107</v>
      </c>
      <c r="J19" s="327">
        <f>IF(I19&gt;H19, 1, 0)</f>
        <v>0</v>
      </c>
      <c r="K19" s="302">
        <f>+D19+H19</f>
        <v>221</v>
      </c>
      <c r="L19" s="303">
        <f>E19+I19</f>
        <v>218</v>
      </c>
      <c r="M19" s="327">
        <f>IF(L19&gt;K19, 1, 0)</f>
        <v>0</v>
      </c>
      <c r="N19" s="325">
        <f>(+H19-D19)</f>
        <v>11</v>
      </c>
      <c r="O19" s="347">
        <f>I19-E19</f>
        <v>-4</v>
      </c>
      <c r="P19" s="405">
        <f>IF(OR(AND(N19&gt;0,O19&gt;0),AND(N19&lt;0,O19&lt;0)),1,0)</f>
        <v>0</v>
      </c>
      <c r="Q19" s="289">
        <f>WEEKNUM(tblResultadosNBA[[#This Row],[Fecha]],2)</f>
        <v>43</v>
      </c>
      <c r="R19" t="str">
        <f>TEXT(tblResultadosNBA[[#This Row],[Fecha]],"mmm")</f>
        <v>oct</v>
      </c>
    </row>
    <row r="20" spans="1:18">
      <c r="A20" s="419">
        <v>45954</v>
      </c>
      <c r="B20" s="302" t="s">
        <v>427</v>
      </c>
      <c r="C20" s="177" t="str">
        <f>LEFT(B20,FIND("@",B20)-2)</f>
        <v>Cleveland Cavaliers</v>
      </c>
      <c r="D20" s="177">
        <v>107</v>
      </c>
      <c r="E20" s="303">
        <v>131</v>
      </c>
      <c r="F20" s="327">
        <f>IF(E20&gt;D20, 1, 0)</f>
        <v>1</v>
      </c>
      <c r="G20" s="302" t="str">
        <f>MID(B20,FIND("@",B20)+2,LEN(B20)-FIND("@",B20)-1)</f>
        <v>Brooklyn Nets</v>
      </c>
      <c r="H20" s="177">
        <v>117</v>
      </c>
      <c r="I20" s="303">
        <v>124</v>
      </c>
      <c r="J20" s="327">
        <f>IF(I20&gt;H20, 1, 0)</f>
        <v>1</v>
      </c>
      <c r="K20" s="302">
        <f>+D20+H20</f>
        <v>224</v>
      </c>
      <c r="L20" s="303">
        <f>E20+I20</f>
        <v>255</v>
      </c>
      <c r="M20" s="327">
        <f>IF(L20&gt;K20, 1, 0)</f>
        <v>1</v>
      </c>
      <c r="N20" s="325">
        <f>(+H20-D20)</f>
        <v>10</v>
      </c>
      <c r="O20" s="347">
        <f>I20-E20</f>
        <v>-7</v>
      </c>
      <c r="P20" s="405">
        <f>IF(OR(AND(N20&gt;0,O20&gt;0),AND(N20&lt;0,O20&lt;0)),1,0)</f>
        <v>0</v>
      </c>
      <c r="Q20" s="289">
        <f>WEEKNUM(tblResultadosNBA[[#This Row],[Fecha]],2)</f>
        <v>43</v>
      </c>
      <c r="R20" t="str">
        <f>TEXT(tblResultadosNBA[[#This Row],[Fecha]],"mmm")</f>
        <v>oct</v>
      </c>
    </row>
    <row r="21" spans="1:18">
      <c r="A21" s="419">
        <v>45954</v>
      </c>
      <c r="B21" s="302" t="s">
        <v>428</v>
      </c>
      <c r="C21" s="177" t="str">
        <f>LEFT(B21,FIND("@",B21)-2)</f>
        <v>Boston Celtics</v>
      </c>
      <c r="D21" s="177">
        <v>106</v>
      </c>
      <c r="E21" s="303">
        <v>95</v>
      </c>
      <c r="F21" s="327">
        <f>IF(E21&gt;D21, 1, 0)</f>
        <v>0</v>
      </c>
      <c r="G21" s="302" t="str">
        <f>MID(B21,FIND("@",B21)+2,LEN(B21)-FIND("@",B21)-1)</f>
        <v>New York Knicks</v>
      </c>
      <c r="H21" s="177">
        <v>109</v>
      </c>
      <c r="I21" s="303">
        <v>105</v>
      </c>
      <c r="J21" s="327">
        <f>IF(I21&gt;H21, 1, 0)</f>
        <v>0</v>
      </c>
      <c r="K21" s="302">
        <f>+D21+H21</f>
        <v>215</v>
      </c>
      <c r="L21" s="303">
        <f>E21+I21</f>
        <v>200</v>
      </c>
      <c r="M21" s="327">
        <f>IF(L21&gt;K21, 1, 0)</f>
        <v>0</v>
      </c>
      <c r="N21" s="325">
        <f>(+H21-D21)</f>
        <v>3</v>
      </c>
      <c r="O21" s="347">
        <f>I21-E21</f>
        <v>10</v>
      </c>
      <c r="P21" s="405">
        <f>IF(OR(AND(N21&gt;0,O21&gt;0),AND(N21&lt;0,O21&lt;0)),1,0)</f>
        <v>1</v>
      </c>
      <c r="Q21" s="289">
        <f>WEEKNUM(tblResultadosNBA[[#This Row],[Fecha]],2)</f>
        <v>43</v>
      </c>
      <c r="R21" t="str">
        <f>TEXT(tblResultadosNBA[[#This Row],[Fecha]],"mmm")</f>
        <v>oct</v>
      </c>
    </row>
    <row r="22" spans="1:18">
      <c r="A22" s="419">
        <v>45954</v>
      </c>
      <c r="B22" s="302" t="s">
        <v>429</v>
      </c>
      <c r="C22" s="177" t="str">
        <f>LEFT(B22,FIND("@",B22)-2)</f>
        <v>Detroit Pistons</v>
      </c>
      <c r="D22" s="177">
        <v>114</v>
      </c>
      <c r="E22" s="303">
        <v>115</v>
      </c>
      <c r="F22" s="327">
        <f>IF(E22&gt;D22, 1, 0)</f>
        <v>1</v>
      </c>
      <c r="G22" s="302" t="str">
        <f>MID(B22,FIND("@",B22)+2,LEN(B22)-FIND("@",B22)-1)</f>
        <v>Houston Rockets</v>
      </c>
      <c r="H22" s="177">
        <v>118</v>
      </c>
      <c r="I22" s="303">
        <v>111</v>
      </c>
      <c r="J22" s="327">
        <f>IF(I22&gt;H22, 1, 0)</f>
        <v>0</v>
      </c>
      <c r="K22" s="302">
        <f>+D22+H22</f>
        <v>232</v>
      </c>
      <c r="L22" s="303">
        <f>E22+I22</f>
        <v>226</v>
      </c>
      <c r="M22" s="327">
        <f>IF(L22&gt;K22, 1, 0)</f>
        <v>0</v>
      </c>
      <c r="N22" s="325">
        <f>(+H22-D22)</f>
        <v>4</v>
      </c>
      <c r="O22" s="347">
        <f>I22-E22</f>
        <v>-4</v>
      </c>
      <c r="P22" s="405">
        <f>IF(OR(AND(N22&gt;0,O22&gt;0),AND(N22&lt;0,O22&lt;0)),1,0)</f>
        <v>0</v>
      </c>
      <c r="Q22" s="289">
        <f>WEEKNUM(tblResultadosNBA[[#This Row],[Fecha]],2)</f>
        <v>43</v>
      </c>
      <c r="R22" t="str">
        <f>TEXT(tblResultadosNBA[[#This Row],[Fecha]],"mmm")</f>
        <v>oct</v>
      </c>
    </row>
    <row r="23" spans="1:18">
      <c r="A23" s="419">
        <v>45954</v>
      </c>
      <c r="B23" s="302" t="s">
        <v>430</v>
      </c>
      <c r="C23" s="177" t="str">
        <f>LEFT(B23,FIND("@",B23)-2)</f>
        <v>Miami Heat</v>
      </c>
      <c r="D23" s="177">
        <v>111</v>
      </c>
      <c r="E23" s="303">
        <v>146</v>
      </c>
      <c r="F23" s="327">
        <f>IF(E23&gt;D23, 1, 0)</f>
        <v>1</v>
      </c>
      <c r="G23" s="302" t="str">
        <f>MID(B23,FIND("@",B23)+2,LEN(B23)-FIND("@",B23)-1)</f>
        <v>Memphis Grizzlies</v>
      </c>
      <c r="H23" s="177">
        <v>120</v>
      </c>
      <c r="I23" s="303">
        <v>114</v>
      </c>
      <c r="J23" s="327">
        <f>IF(I23&gt;H23, 1, 0)</f>
        <v>0</v>
      </c>
      <c r="K23" s="302">
        <f>+D23+H23</f>
        <v>231</v>
      </c>
      <c r="L23" s="303">
        <f>E23+I23</f>
        <v>260</v>
      </c>
      <c r="M23" s="327">
        <f>IF(L23&gt;K23, 1, 0)</f>
        <v>1</v>
      </c>
      <c r="N23" s="325">
        <f>(+H23-D23)</f>
        <v>9</v>
      </c>
      <c r="O23" s="347">
        <f>I23-E23</f>
        <v>-32</v>
      </c>
      <c r="P23" s="405">
        <f>IF(OR(AND(N23&gt;0,O23&gt;0),AND(N23&lt;0,O23&lt;0)),1,0)</f>
        <v>0</v>
      </c>
      <c r="Q23" s="289">
        <f>WEEKNUM(tblResultadosNBA[[#This Row],[Fecha]],2)</f>
        <v>43</v>
      </c>
      <c r="R23" t="str">
        <f>TEXT(tblResultadosNBA[[#This Row],[Fecha]],"mmm")</f>
        <v>oct</v>
      </c>
    </row>
    <row r="24" spans="1:18">
      <c r="A24" s="419">
        <v>45954</v>
      </c>
      <c r="B24" s="302" t="s">
        <v>167</v>
      </c>
      <c r="C24" s="177" t="str">
        <f>LEFT(B24,FIND("@",B24)-2)</f>
        <v>San Antonio Spurs</v>
      </c>
      <c r="D24" s="177">
        <v>114</v>
      </c>
      <c r="E24" s="303">
        <v>120</v>
      </c>
      <c r="F24" s="327">
        <f>IF(E24&gt;D24, 1, 0)</f>
        <v>1</v>
      </c>
      <c r="G24" s="302" t="str">
        <f>MID(B24,FIND("@",B24)+2,LEN(B24)-FIND("@",B24)-1)</f>
        <v>New Orleans Pelicans</v>
      </c>
      <c r="H24" s="177">
        <v>108</v>
      </c>
      <c r="I24" s="303">
        <v>116</v>
      </c>
      <c r="J24" s="327">
        <f>IF(I24&gt;H24, 1, 0)</f>
        <v>1</v>
      </c>
      <c r="K24" s="302">
        <f>+D24+H24</f>
        <v>222</v>
      </c>
      <c r="L24" s="303">
        <f>E24+I24</f>
        <v>236</v>
      </c>
      <c r="M24" s="327">
        <f>IF(L24&gt;K24, 1, 0)</f>
        <v>1</v>
      </c>
      <c r="N24" s="325">
        <f>(+H24-D24)</f>
        <v>-6</v>
      </c>
      <c r="O24" s="347">
        <f>I24-E24</f>
        <v>-4</v>
      </c>
      <c r="P24" s="405">
        <f>IF(OR(AND(N24&gt;0,O24&gt;0),AND(N24&lt;0,O24&lt;0)),1,0)</f>
        <v>1</v>
      </c>
      <c r="Q24" s="289">
        <f>WEEKNUM(tblResultadosNBA[[#This Row],[Fecha]],2)</f>
        <v>43</v>
      </c>
      <c r="R24" t="str">
        <f>TEXT(tblResultadosNBA[[#This Row],[Fecha]],"mmm")</f>
        <v>oct</v>
      </c>
    </row>
    <row r="25" spans="1:18">
      <c r="A25" s="419">
        <v>45954</v>
      </c>
      <c r="B25" s="302" t="s">
        <v>431</v>
      </c>
      <c r="C25" s="177" t="str">
        <f>LEFT(B25,FIND("@",B25)-2)</f>
        <v>Washington Wizards</v>
      </c>
      <c r="D25" s="177">
        <v>109</v>
      </c>
      <c r="E25" s="303">
        <v>117</v>
      </c>
      <c r="F25" s="327">
        <f>IF(E25&gt;D25, 1, 0)</f>
        <v>1</v>
      </c>
      <c r="G25" s="302" t="str">
        <f>MID(B25,FIND("@",B25)+2,LEN(B25)-FIND("@",B25)-1)</f>
        <v>Dallas Mavericks</v>
      </c>
      <c r="H25" s="177">
        <v>105</v>
      </c>
      <c r="I25" s="303">
        <v>107</v>
      </c>
      <c r="J25" s="327">
        <f>IF(I25&gt;H25, 1, 0)</f>
        <v>1</v>
      </c>
      <c r="K25" s="302">
        <f>+D25+H25</f>
        <v>214</v>
      </c>
      <c r="L25" s="303">
        <f>E25+I25</f>
        <v>224</v>
      </c>
      <c r="M25" s="327">
        <f>IF(L25&gt;K25, 1, 0)</f>
        <v>1</v>
      </c>
      <c r="N25" s="325">
        <f>(+H25-D25)</f>
        <v>-4</v>
      </c>
      <c r="O25" s="347">
        <f>I25-E25</f>
        <v>-10</v>
      </c>
      <c r="P25" s="405">
        <f>IF(OR(AND(N25&gt;0,O25&gt;0),AND(N25&lt;0,O25&lt;0)),1,0)</f>
        <v>1</v>
      </c>
      <c r="Q25" s="289">
        <f>WEEKNUM(tblResultadosNBA[[#This Row],[Fecha]],2)</f>
        <v>43</v>
      </c>
      <c r="R25" t="str">
        <f>TEXT(tblResultadosNBA[[#This Row],[Fecha]],"mmm")</f>
        <v>oct</v>
      </c>
    </row>
    <row r="26" spans="1:18">
      <c r="A26" s="419">
        <v>45954</v>
      </c>
      <c r="B26" s="302" t="s">
        <v>432</v>
      </c>
      <c r="C26" s="177" t="str">
        <f>LEFT(B26,FIND("@",B26)-2)</f>
        <v>Minnesota Timberwolves</v>
      </c>
      <c r="D26" s="177">
        <v>115</v>
      </c>
      <c r="E26" s="303">
        <v>110</v>
      </c>
      <c r="F26" s="327">
        <f>IF(E26&gt;D26, 1, 0)</f>
        <v>0</v>
      </c>
      <c r="G26" s="302" t="str">
        <f>MID(B26,FIND("@",B26)+2,LEN(B26)-FIND("@",B26)-1)</f>
        <v>Los Angeles Lakers</v>
      </c>
      <c r="H26" s="177">
        <v>119</v>
      </c>
      <c r="I26" s="303">
        <v>128</v>
      </c>
      <c r="J26" s="327">
        <f>IF(I26&gt;H26, 1, 0)</f>
        <v>1</v>
      </c>
      <c r="K26" s="302">
        <f>+D26+H26</f>
        <v>234</v>
      </c>
      <c r="L26" s="303">
        <f>E26+I26</f>
        <v>238</v>
      </c>
      <c r="M26" s="327">
        <f>IF(L26&gt;K26, 1, 0)</f>
        <v>1</v>
      </c>
      <c r="N26" s="325">
        <f>(+H26-D26)</f>
        <v>4</v>
      </c>
      <c r="O26" s="347">
        <f>I26-E26</f>
        <v>18</v>
      </c>
      <c r="P26" s="405">
        <f>IF(OR(AND(N26&gt;0,O26&gt;0),AND(N26&lt;0,O26&lt;0)),1,0)</f>
        <v>1</v>
      </c>
      <c r="Q26" s="289">
        <f>WEEKNUM(tblResultadosNBA[[#This Row],[Fecha]],2)</f>
        <v>43</v>
      </c>
      <c r="R26" t="str">
        <f>TEXT(tblResultadosNBA[[#This Row],[Fecha]],"mmm")</f>
        <v>oct</v>
      </c>
    </row>
    <row r="27" spans="1:18">
      <c r="A27" s="419">
        <v>45954</v>
      </c>
      <c r="B27" s="302" t="s">
        <v>433</v>
      </c>
      <c r="C27" s="177" t="str">
        <f>LEFT(B27,FIND("@",B27)-2)</f>
        <v>Golden State Warriors</v>
      </c>
      <c r="D27" s="177">
        <v>108</v>
      </c>
      <c r="E27" s="303">
        <v>119</v>
      </c>
      <c r="F27" s="327">
        <f>IF(E27&gt;D27, 1, 0)</f>
        <v>1</v>
      </c>
      <c r="G27" s="302" t="str">
        <f>MID(B27,FIND("@",B27)+2,LEN(B27)-FIND("@",B27)-1)</f>
        <v>Portland Trail Blazers</v>
      </c>
      <c r="H27" s="177">
        <v>121</v>
      </c>
      <c r="I27" s="303">
        <v>129</v>
      </c>
      <c r="J27" s="327">
        <f>IF(I27&gt;H27, 1, 0)</f>
        <v>1</v>
      </c>
      <c r="K27" s="302">
        <f>+D27+H27</f>
        <v>229</v>
      </c>
      <c r="L27" s="303">
        <f>E27+I27</f>
        <v>248</v>
      </c>
      <c r="M27" s="327">
        <f>IF(L27&gt;K27, 1, 0)</f>
        <v>1</v>
      </c>
      <c r="N27" s="325">
        <f>(+H27-D27)</f>
        <v>13</v>
      </c>
      <c r="O27" s="347">
        <f>I27-E27</f>
        <v>10</v>
      </c>
      <c r="P27" s="405">
        <f>IF(OR(AND(N27&gt;0,O27&gt;0),AND(N27&lt;0,O27&lt;0)),1,0)</f>
        <v>1</v>
      </c>
      <c r="Q27" s="289">
        <f>WEEKNUM(tblResultadosNBA[[#This Row],[Fecha]],2)</f>
        <v>43</v>
      </c>
      <c r="R27" t="str">
        <f>TEXT(tblResultadosNBA[[#This Row],[Fecha]],"mmm")</f>
        <v>oct</v>
      </c>
    </row>
    <row r="28" spans="1:18">
      <c r="A28" s="419">
        <v>45954</v>
      </c>
      <c r="B28" s="302" t="s">
        <v>434</v>
      </c>
      <c r="C28" s="177" t="str">
        <f>LEFT(B28,FIND("@",B28)-2)</f>
        <v>Utah Jazz</v>
      </c>
      <c r="D28" s="177">
        <v>109</v>
      </c>
      <c r="E28" s="303">
        <v>104</v>
      </c>
      <c r="F28" s="327">
        <f>IF(E28&gt;D28, 1, 0)</f>
        <v>0</v>
      </c>
      <c r="G28" s="302" t="str">
        <f>MID(B28,FIND("@",B28)+2,LEN(B28)-FIND("@",B28)-1)</f>
        <v>Sacramento Kings</v>
      </c>
      <c r="H28" s="177">
        <v>104</v>
      </c>
      <c r="I28" s="303">
        <v>105</v>
      </c>
      <c r="J28" s="327">
        <f>IF(I28&gt;H28, 1, 0)</f>
        <v>1</v>
      </c>
      <c r="K28" s="302">
        <f>+D28+H28</f>
        <v>213</v>
      </c>
      <c r="L28" s="303">
        <f>E28+I28</f>
        <v>209</v>
      </c>
      <c r="M28" s="327">
        <f>IF(L28&gt;K28, 1, 0)</f>
        <v>0</v>
      </c>
      <c r="N28" s="325">
        <f>(+H28-D28)</f>
        <v>-5</v>
      </c>
      <c r="O28" s="347">
        <f>I28-E28</f>
        <v>1</v>
      </c>
      <c r="P28" s="405">
        <f>IF(OR(AND(N28&gt;0,O28&gt;0),AND(N28&lt;0,O28&lt;0)),1,0)</f>
        <v>0</v>
      </c>
      <c r="Q28" s="289">
        <f>WEEKNUM(tblResultadosNBA[[#This Row],[Fecha]],2)</f>
        <v>43</v>
      </c>
      <c r="R28" t="str">
        <f>TEXT(tblResultadosNBA[[#This Row],[Fecha]],"mmm")</f>
        <v>oct</v>
      </c>
    </row>
    <row r="29" spans="1:18">
      <c r="A29" s="445">
        <v>45954</v>
      </c>
      <c r="B29" s="331" t="s">
        <v>435</v>
      </c>
      <c r="C29" s="286" t="str">
        <f>LEFT(B29,FIND("@",B29)-2)</f>
        <v>Phoenix Suns</v>
      </c>
      <c r="D29" s="286">
        <v>111</v>
      </c>
      <c r="E29" s="317">
        <v>102</v>
      </c>
      <c r="F29" s="332">
        <f>IF(E29&gt;D29, 1, 0)</f>
        <v>0</v>
      </c>
      <c r="G29" s="286" t="str">
        <f>MID(B29,FIND("@",B29)+2,LEN(B29)-FIND("@",B29)-1)</f>
        <v>LA Clippers'</v>
      </c>
      <c r="H29" s="286">
        <v>105</v>
      </c>
      <c r="I29" s="317">
        <v>129</v>
      </c>
      <c r="J29" s="332">
        <f>IF(I29&gt;H29, 1, 0)</f>
        <v>1</v>
      </c>
      <c r="K29" s="331">
        <f>+D29+H29</f>
        <v>216</v>
      </c>
      <c r="L29" s="317">
        <f>E29+I29</f>
        <v>231</v>
      </c>
      <c r="M29" s="332">
        <f>IF(L29&gt;K29, 1, 0)</f>
        <v>1</v>
      </c>
      <c r="N29" s="326">
        <f>(+H29-D29)</f>
        <v>-6</v>
      </c>
      <c r="O29" s="348">
        <f>I29-E29</f>
        <v>27</v>
      </c>
      <c r="P29" s="406">
        <f>IF(OR(AND(N29&gt;0,O29&gt;0),AND(N29&lt;0,O29&lt;0)),1,0)</f>
        <v>0</v>
      </c>
      <c r="Q29" s="433">
        <f>WEEKNUM(tblResultadosNBA[[#This Row],[Fecha]],2)</f>
        <v>43</v>
      </c>
      <c r="R29" s="433" t="str">
        <f>TEXT(tblResultadosNBA[[#This Row],[Fecha]],"mmm")</f>
        <v>oct</v>
      </c>
    </row>
    <row r="30" spans="1:18">
      <c r="A30" s="439">
        <v>45955</v>
      </c>
      <c r="B30" s="302" t="s">
        <v>130</v>
      </c>
      <c r="C30" s="177" t="str">
        <f>LEFT(B30,FIND("@",B30)-2)</f>
        <v>Chicago Bulls</v>
      </c>
      <c r="D30" s="177">
        <v>106</v>
      </c>
      <c r="E30" s="303">
        <v>110</v>
      </c>
      <c r="F30" s="327">
        <f>IF(E30&gt;D30, 1, 0)</f>
        <v>1</v>
      </c>
      <c r="G30" s="302" t="str">
        <f>MID(B30,FIND("@",B30)+2,LEN(B30)-FIND("@",B30)-1)</f>
        <v>Orlando Magic</v>
      </c>
      <c r="H30" s="177">
        <v>119</v>
      </c>
      <c r="I30" s="319">
        <v>98</v>
      </c>
      <c r="J30" s="327">
        <f>IF(I30&gt;H30, 1, 0)</f>
        <v>0</v>
      </c>
      <c r="K30" s="302">
        <f>+D30+H30</f>
        <v>225</v>
      </c>
      <c r="L30" s="303">
        <f>E30+I30</f>
        <v>208</v>
      </c>
      <c r="M30" s="327">
        <f>IF(L30&gt;K30, 1, 0)</f>
        <v>0</v>
      </c>
      <c r="N30" s="325">
        <f>(+H30-D30)</f>
        <v>13</v>
      </c>
      <c r="O30" s="347">
        <f>I30-E30</f>
        <v>-12</v>
      </c>
      <c r="P30" s="407">
        <f>IF(OR(AND(N30&gt;0,O30&gt;0),AND(N30&lt;0,O30&lt;0)),1,0)</f>
        <v>0</v>
      </c>
      <c r="Q30" s="289">
        <f>WEEKNUM(tblResultadosNBA[[#This Row],[Fecha]],2)</f>
        <v>43</v>
      </c>
      <c r="R30" t="str">
        <f>TEXT(tblResultadosNBA[[#This Row],[Fecha]],"mmm")</f>
        <v>oct</v>
      </c>
    </row>
    <row r="31" spans="1:18">
      <c r="A31" s="419">
        <v>45955</v>
      </c>
      <c r="B31" s="302" t="s">
        <v>436</v>
      </c>
      <c r="C31" s="177" t="str">
        <f>LEFT(B31,FIND("@",B31)-2)</f>
        <v>Oklahoma City Thunder</v>
      </c>
      <c r="D31" s="177">
        <v>110</v>
      </c>
      <c r="E31" s="303">
        <v>117</v>
      </c>
      <c r="F31" s="327">
        <f>IF(E31&gt;D31, 1, 0)</f>
        <v>1</v>
      </c>
      <c r="G31" s="302" t="str">
        <f>MID(B31,FIND("@",B31)+2,LEN(B31)-FIND("@",B31)-1)</f>
        <v>Atlanta Hawks</v>
      </c>
      <c r="H31" s="177">
        <v>119</v>
      </c>
      <c r="I31" s="303">
        <v>100</v>
      </c>
      <c r="J31" s="327">
        <f>IF(I31&gt;H31, 1, 0)</f>
        <v>0</v>
      </c>
      <c r="K31" s="302">
        <f>+D31+H31</f>
        <v>229</v>
      </c>
      <c r="L31" s="303">
        <f>E31+I31</f>
        <v>217</v>
      </c>
      <c r="M31" s="327">
        <f>IF(L31&gt;K31, 1, 0)</f>
        <v>0</v>
      </c>
      <c r="N31" s="325">
        <f>(+H31-D31)</f>
        <v>9</v>
      </c>
      <c r="O31" s="347">
        <f>I31-E31</f>
        <v>-17</v>
      </c>
      <c r="P31" s="405">
        <f>IF(OR(AND(N31&gt;0,O31&gt;0),AND(N31&lt;0,O31&lt;0)),1,0)</f>
        <v>0</v>
      </c>
      <c r="Q31" s="289">
        <f>WEEKNUM(tblResultadosNBA[[#This Row],[Fecha]],2)</f>
        <v>43</v>
      </c>
      <c r="R31" t="str">
        <f>TEXT(tblResultadosNBA[[#This Row],[Fecha]],"mmm")</f>
        <v>oct</v>
      </c>
    </row>
    <row r="32" spans="1:18">
      <c r="A32" s="419">
        <v>45955</v>
      </c>
      <c r="B32" s="302" t="s">
        <v>437</v>
      </c>
      <c r="C32" s="177" t="str">
        <f>LEFT(B32,FIND("@",B32)-2)</f>
        <v>Charlotte Hornets</v>
      </c>
      <c r="D32" s="177">
        <v>116</v>
      </c>
      <c r="E32" s="303">
        <v>121</v>
      </c>
      <c r="F32" s="327">
        <f>IF(E32&gt;D32, 1, 0)</f>
        <v>1</v>
      </c>
      <c r="G32" s="302" t="str">
        <f>MID(B32,FIND("@",B32)+2,LEN(B32)-FIND("@",B32)-1)</f>
        <v>Philadelphia 76ers</v>
      </c>
      <c r="H32" s="177">
        <v>121</v>
      </c>
      <c r="I32" s="303">
        <v>125</v>
      </c>
      <c r="J32" s="327">
        <f>IF(I32&gt;H32, 1, 0)</f>
        <v>1</v>
      </c>
      <c r="K32" s="302">
        <f>+D32+H32</f>
        <v>237</v>
      </c>
      <c r="L32" s="303">
        <f>E32+I32</f>
        <v>246</v>
      </c>
      <c r="M32" s="327">
        <f>IF(L32&gt;K32, 1, 0)</f>
        <v>1</v>
      </c>
      <c r="N32" s="325">
        <f>(+H32-D32)</f>
        <v>5</v>
      </c>
      <c r="O32" s="347">
        <f>I32-E32</f>
        <v>4</v>
      </c>
      <c r="P32" s="405">
        <f>IF(OR(AND(N32&gt;0,O32&gt;0),AND(N32&lt;0,O32&lt;0)),1,0)</f>
        <v>1</v>
      </c>
      <c r="Q32" s="289">
        <f>WEEKNUM(tblResultadosNBA[[#This Row],[Fecha]],2)</f>
        <v>43</v>
      </c>
      <c r="R32" t="str">
        <f>TEXT(tblResultadosNBA[[#This Row],[Fecha]],"mmm")</f>
        <v>oct</v>
      </c>
    </row>
    <row r="33" spans="1:18">
      <c r="A33" s="419">
        <v>45955</v>
      </c>
      <c r="B33" s="302" t="s">
        <v>438</v>
      </c>
      <c r="C33" s="177" t="str">
        <f>LEFT(B33,FIND("@",B33)-2)</f>
        <v>Indiana Pacers</v>
      </c>
      <c r="D33" s="177">
        <v>120</v>
      </c>
      <c r="E33" s="303">
        <v>103</v>
      </c>
      <c r="F33" s="327">
        <f>IF(E33&gt;D33, 1, 0)</f>
        <v>0</v>
      </c>
      <c r="G33" s="302" t="str">
        <f>MID(B33,FIND("@",B33)+2,LEN(B33)-FIND("@",B33)-1)</f>
        <v>Memphis Grizzlies</v>
      </c>
      <c r="H33" s="177">
        <v>110</v>
      </c>
      <c r="I33" s="303">
        <v>128</v>
      </c>
      <c r="J33" s="327">
        <f>IF(I33&gt;H33, 1, 0)</f>
        <v>1</v>
      </c>
      <c r="K33" s="302">
        <f>+D33+H33</f>
        <v>230</v>
      </c>
      <c r="L33" s="303">
        <f>E33+I33</f>
        <v>231</v>
      </c>
      <c r="M33" s="327">
        <f>IF(L33&gt;K33, 1, 0)</f>
        <v>1</v>
      </c>
      <c r="N33" s="325">
        <f>(+H33-D33)</f>
        <v>-10</v>
      </c>
      <c r="O33" s="347">
        <f>I33-E33</f>
        <v>25</v>
      </c>
      <c r="P33" s="405">
        <f>IF(OR(AND(N33&gt;0,O33&gt;0),AND(N33&lt;0,O33&lt;0)),1,0)</f>
        <v>0</v>
      </c>
      <c r="Q33" s="289">
        <f>WEEKNUM(tblResultadosNBA[[#This Row],[Fecha]],2)</f>
        <v>43</v>
      </c>
      <c r="R33" t="str">
        <f>TEXT(tblResultadosNBA[[#This Row],[Fecha]],"mmm")</f>
        <v>oct</v>
      </c>
    </row>
    <row r="34" spans="1:18">
      <c r="A34" s="445">
        <v>45955</v>
      </c>
      <c r="B34" s="328" t="s">
        <v>439</v>
      </c>
      <c r="C34" s="299" t="str">
        <f>LEFT(B34,FIND("@",B34)-2)</f>
        <v>Phoenix Suns</v>
      </c>
      <c r="D34" s="299">
        <v>111</v>
      </c>
      <c r="E34" s="318">
        <v>111</v>
      </c>
      <c r="F34" s="334">
        <f>IF(E34&gt;D34, 1, 0)</f>
        <v>0</v>
      </c>
      <c r="G34" s="299" t="str">
        <f>MID(B34,FIND("@",B34)+2,LEN(B34)-FIND("@",B34)-1)</f>
        <v>Denver Nuggets</v>
      </c>
      <c r="H34" s="299">
        <v>120</v>
      </c>
      <c r="I34" s="318">
        <v>133</v>
      </c>
      <c r="J34" s="334">
        <f>IF(I34&gt;H34, 1, 0)</f>
        <v>1</v>
      </c>
      <c r="K34" s="328">
        <f>+D34+H34</f>
        <v>231</v>
      </c>
      <c r="L34" s="318">
        <f>E34+I34</f>
        <v>244</v>
      </c>
      <c r="M34" s="334">
        <f>IF(L34&gt;K34, 1, 0)</f>
        <v>1</v>
      </c>
      <c r="N34" s="335">
        <f>(+H34-D34)</f>
        <v>9</v>
      </c>
      <c r="O34" s="345">
        <f>I34-E34</f>
        <v>22</v>
      </c>
      <c r="P34" s="406">
        <f>IF(OR(AND(N34&gt;0,O34&gt;0),AND(N34&lt;0,O34&lt;0)),1,0)</f>
        <v>1</v>
      </c>
      <c r="Q34" s="433">
        <f>WEEKNUM(tblResultadosNBA[[#This Row],[Fecha]],2)</f>
        <v>43</v>
      </c>
      <c r="R34" s="433" t="str">
        <f>TEXT(tblResultadosNBA[[#This Row],[Fecha]],"mmm")</f>
        <v>oct</v>
      </c>
    </row>
    <row r="35" spans="1:18">
      <c r="A35" s="439">
        <v>45956</v>
      </c>
      <c r="B35" s="330" t="s">
        <v>440</v>
      </c>
      <c r="C35" s="312" t="str">
        <f>LEFT(B35,FIND("@",B35)-2)</f>
        <v>Brooklyn Nets</v>
      </c>
      <c r="D35" s="312">
        <v>114</v>
      </c>
      <c r="E35" s="338">
        <v>107</v>
      </c>
      <c r="F35" s="339">
        <f>IF(E35&gt;D35, 1, 0)</f>
        <v>0</v>
      </c>
      <c r="G35" s="330" t="str">
        <f>MID(B35,FIND("@",B35)+2,LEN(B35)-FIND("@",B35)-1)</f>
        <v>San Antonio Spurs</v>
      </c>
      <c r="H35" s="312">
        <v>108</v>
      </c>
      <c r="I35" s="338">
        <v>118</v>
      </c>
      <c r="J35" s="339">
        <f>IF(I35&gt;H35, 1, 0)</f>
        <v>1</v>
      </c>
      <c r="K35" s="330">
        <f>+D35+H35</f>
        <v>222</v>
      </c>
      <c r="L35" s="338">
        <f>E35+I35</f>
        <v>225</v>
      </c>
      <c r="M35" s="339">
        <f>IF(L35&gt;K35, 1, 0)</f>
        <v>1</v>
      </c>
      <c r="N35" s="340">
        <f>(+H35-D35)</f>
        <v>-6</v>
      </c>
      <c r="O35" s="346">
        <f>I35-E35</f>
        <v>11</v>
      </c>
      <c r="P35" s="407">
        <f>IF(OR(AND(N35&gt;0,O35&gt;0),AND(N35&lt;0,O35&lt;0)),1,0)</f>
        <v>0</v>
      </c>
      <c r="Q35" s="289">
        <f>WEEKNUM(tblResultadosNBA[[#This Row],[Fecha]],2)</f>
        <v>43</v>
      </c>
      <c r="R35" t="str">
        <f>TEXT(tblResultadosNBA[[#This Row],[Fecha]],"mmm")</f>
        <v>oct</v>
      </c>
    </row>
    <row r="36" spans="1:18">
      <c r="A36" s="419">
        <v>45956</v>
      </c>
      <c r="B36" s="328" t="s">
        <v>283</v>
      </c>
      <c r="C36" s="299" t="str">
        <f>LEFT(B36,FIND("@",B36)-2)</f>
        <v>Boston Celtics</v>
      </c>
      <c r="D36" s="299">
        <v>108</v>
      </c>
      <c r="E36" s="318">
        <v>113</v>
      </c>
      <c r="F36" s="334">
        <f>IF(E36&gt;D36, 1, 0)</f>
        <v>1</v>
      </c>
      <c r="G36" s="328" t="str">
        <f>MID(B36,FIND("@",B36)+2,LEN(B36)-FIND("@",B36)-1)</f>
        <v>Detroit Pistons</v>
      </c>
      <c r="H36" s="299">
        <v>102</v>
      </c>
      <c r="I36" s="318">
        <v>119</v>
      </c>
      <c r="J36" s="334">
        <f>IF(I36&gt;H36, 1, 0)</f>
        <v>1</v>
      </c>
      <c r="K36" s="328">
        <f>+D36+H36</f>
        <v>210</v>
      </c>
      <c r="L36" s="318">
        <f>E36+I36</f>
        <v>232</v>
      </c>
      <c r="M36" s="334">
        <f>IF(L36&gt;K36, 1, 0)</f>
        <v>1</v>
      </c>
      <c r="N36" s="335">
        <f>(+H36-D36)</f>
        <v>-6</v>
      </c>
      <c r="O36" s="345">
        <f>I36-E36</f>
        <v>6</v>
      </c>
      <c r="P36" s="405">
        <f>IF(OR(AND(N36&gt;0,O36&gt;0),AND(N36&lt;0,O36&lt;0)),1,0)</f>
        <v>0</v>
      </c>
      <c r="Q36" s="289">
        <f>WEEKNUM(tblResultadosNBA[[#This Row],[Fecha]],2)</f>
        <v>43</v>
      </c>
      <c r="R36" t="str">
        <f>TEXT(tblResultadosNBA[[#This Row],[Fecha]],"mmm")</f>
        <v>oct</v>
      </c>
    </row>
    <row r="37" spans="1:18">
      <c r="A37" s="419">
        <v>45956</v>
      </c>
      <c r="B37" s="328" t="s">
        <v>70</v>
      </c>
      <c r="C37" s="299" t="str">
        <f>LEFT(B37,FIND("@",B37)-2)</f>
        <v>Milwaukee Bucks</v>
      </c>
      <c r="D37" s="299">
        <v>103</v>
      </c>
      <c r="E37" s="318">
        <v>113</v>
      </c>
      <c r="F37" s="334">
        <f>IF(E37&gt;D37, 1, 0)</f>
        <v>1</v>
      </c>
      <c r="G37" s="328" t="str">
        <f>MID(B37,FIND("@",B37)+2,LEN(B37)-FIND("@",B37)-1)</f>
        <v>Cleveland Cavaliers</v>
      </c>
      <c r="H37" s="299">
        <v>115</v>
      </c>
      <c r="I37" s="318">
        <v>118</v>
      </c>
      <c r="J37" s="334">
        <f>IF(I37&gt;H37, 1, 0)</f>
        <v>1</v>
      </c>
      <c r="K37" s="328">
        <f>+D37+H37</f>
        <v>218</v>
      </c>
      <c r="L37" s="318">
        <f>E37+I37</f>
        <v>231</v>
      </c>
      <c r="M37" s="334">
        <f>IF(L37&gt;K37, 1, 0)</f>
        <v>1</v>
      </c>
      <c r="N37" s="335">
        <f>(+H37-D37)</f>
        <v>12</v>
      </c>
      <c r="O37" s="345">
        <f>I37-E37</f>
        <v>5</v>
      </c>
      <c r="P37" s="405">
        <f>IF(OR(AND(N37&gt;0,O37&gt;0),AND(N37&lt;0,O37&lt;0)),1,0)</f>
        <v>1</v>
      </c>
      <c r="Q37" s="289">
        <f>WEEKNUM(tblResultadosNBA[[#This Row],[Fecha]],2)</f>
        <v>43</v>
      </c>
      <c r="R37" t="str">
        <f>TEXT(tblResultadosNBA[[#This Row],[Fecha]],"mmm")</f>
        <v>oct</v>
      </c>
    </row>
    <row r="38" spans="1:18">
      <c r="A38" s="419">
        <v>45956</v>
      </c>
      <c r="B38" s="328" t="s">
        <v>441</v>
      </c>
      <c r="C38" s="299" t="str">
        <f>LEFT(B38,FIND("@",B38)-2)</f>
        <v>New York Knicks</v>
      </c>
      <c r="D38" s="299">
        <v>119</v>
      </c>
      <c r="E38" s="318">
        <v>107</v>
      </c>
      <c r="F38" s="334">
        <f>IF(E38&gt;D38, 1, 0)</f>
        <v>0</v>
      </c>
      <c r="G38" s="328" t="str">
        <f>MID(B38,FIND("@",B38)+2,LEN(B38)-FIND("@",B38)-1)</f>
        <v>Miami Heat</v>
      </c>
      <c r="H38" s="299">
        <v>104</v>
      </c>
      <c r="I38" s="318">
        <v>115</v>
      </c>
      <c r="J38" s="334">
        <f>IF(I38&gt;H38, 1, 0)</f>
        <v>1</v>
      </c>
      <c r="K38" s="328">
        <f>+D38+H38</f>
        <v>223</v>
      </c>
      <c r="L38" s="318">
        <f>E38+I38</f>
        <v>222</v>
      </c>
      <c r="M38" s="334">
        <f>IF(L38&gt;K38, 1, 0)</f>
        <v>0</v>
      </c>
      <c r="N38" s="335">
        <f>(+H38-D38)</f>
        <v>-15</v>
      </c>
      <c r="O38" s="345">
        <f>I38-E38</f>
        <v>8</v>
      </c>
      <c r="P38" s="405">
        <f>IF(OR(AND(N38&gt;0,O38&gt;0),AND(N38&lt;0,O38&lt;0)),1,0)</f>
        <v>0</v>
      </c>
      <c r="Q38" s="289">
        <f>WEEKNUM(tblResultadosNBA[[#This Row],[Fecha]],2)</f>
        <v>43</v>
      </c>
      <c r="R38" t="str">
        <f>TEXT(tblResultadosNBA[[#This Row],[Fecha]],"mmm")</f>
        <v>oct</v>
      </c>
    </row>
    <row r="39" spans="1:18">
      <c r="A39" s="419">
        <v>45956</v>
      </c>
      <c r="B39" s="328" t="s">
        <v>442</v>
      </c>
      <c r="C39" s="299" t="str">
        <f>LEFT(B39,FIND("@",B39)-2)</f>
        <v>Charlotte Hornets</v>
      </c>
      <c r="D39" s="299">
        <v>106</v>
      </c>
      <c r="E39" s="318">
        <v>139</v>
      </c>
      <c r="F39" s="334">
        <f>IF(E39&gt;D39, 1, 0)</f>
        <v>1</v>
      </c>
      <c r="G39" s="328" t="str">
        <f>MID(B39,FIND("@",B39)+2,LEN(B39)-FIND("@",B39)-1)</f>
        <v>Washington Wizards</v>
      </c>
      <c r="H39" s="299">
        <v>110</v>
      </c>
      <c r="I39" s="318">
        <v>113</v>
      </c>
      <c r="J39" s="334">
        <f>IF(I39&gt;H39, 1, 0)</f>
        <v>1</v>
      </c>
      <c r="K39" s="328">
        <f>+D39+H39</f>
        <v>216</v>
      </c>
      <c r="L39" s="318">
        <f>E39+I39</f>
        <v>252</v>
      </c>
      <c r="M39" s="334">
        <f>IF(L39&gt;K39, 1, 0)</f>
        <v>1</v>
      </c>
      <c r="N39" s="335">
        <f>(+H39-D39)</f>
        <v>4</v>
      </c>
      <c r="O39" s="345">
        <f>I39-E39</f>
        <v>-26</v>
      </c>
      <c r="P39" s="405">
        <f>IF(OR(AND(N39&gt;0,O39&gt;0),AND(N39&lt;0,O39&lt;0)),1,0)</f>
        <v>0</v>
      </c>
      <c r="Q39" s="289">
        <f>WEEKNUM(tblResultadosNBA[[#This Row],[Fecha]],2)</f>
        <v>43</v>
      </c>
      <c r="R39" t="str">
        <f>TEXT(tblResultadosNBA[[#This Row],[Fecha]],"mmm")</f>
        <v>oct</v>
      </c>
    </row>
    <row r="40" spans="1:18">
      <c r="A40" s="419">
        <v>45956</v>
      </c>
      <c r="B40" s="328" t="s">
        <v>443</v>
      </c>
      <c r="C40" s="299" t="str">
        <f>LEFT(B40,FIND("@",B40)-2)</f>
        <v>Indiana Pacers</v>
      </c>
      <c r="D40" s="299">
        <v>112</v>
      </c>
      <c r="E40" s="318">
        <v>110</v>
      </c>
      <c r="F40" s="334">
        <f>IF(E40&gt;D40, 1, 0)</f>
        <v>0</v>
      </c>
      <c r="G40" s="328" t="str">
        <f>MID(B40,FIND("@",B40)+2,LEN(B40)-FIND("@",B40)-1)</f>
        <v>Minnesota Timberwolves</v>
      </c>
      <c r="H40" s="299">
        <v>110</v>
      </c>
      <c r="I40" s="318">
        <v>114</v>
      </c>
      <c r="J40" s="334">
        <f>IF(I40&gt;H40, 1, 0)</f>
        <v>1</v>
      </c>
      <c r="K40" s="328">
        <f>+D40+H40</f>
        <v>222</v>
      </c>
      <c r="L40" s="318">
        <f>E40+I40</f>
        <v>224</v>
      </c>
      <c r="M40" s="334">
        <f>IF(L40&gt;K40, 1, 0)</f>
        <v>1</v>
      </c>
      <c r="N40" s="335">
        <f>(+H40-D40)</f>
        <v>-2</v>
      </c>
      <c r="O40" s="345">
        <f>I40-E40</f>
        <v>4</v>
      </c>
      <c r="P40" s="405">
        <f>IF(OR(AND(N40&gt;0,O40&gt;0),AND(N40&lt;0,O40&lt;0)),1,0)</f>
        <v>0</v>
      </c>
      <c r="Q40" s="289">
        <f>WEEKNUM(tblResultadosNBA[[#This Row],[Fecha]],2)</f>
        <v>43</v>
      </c>
      <c r="R40" t="str">
        <f>TEXT(tblResultadosNBA[[#This Row],[Fecha]],"mmm")</f>
        <v>oct</v>
      </c>
    </row>
    <row r="41" spans="1:18">
      <c r="A41" s="419">
        <v>45956</v>
      </c>
      <c r="B41" s="328" t="s">
        <v>444</v>
      </c>
      <c r="C41" s="299" t="str">
        <f>LEFT(B41,FIND("@",B41)-2)</f>
        <v>Toronto Raptors</v>
      </c>
      <c r="D41" s="299">
        <v>98</v>
      </c>
      <c r="E41" s="318">
        <v>129</v>
      </c>
      <c r="F41" s="334">
        <f>IF(E41&gt;D41, 1, 0)</f>
        <v>1</v>
      </c>
      <c r="G41" s="328" t="str">
        <f>MID(B41,FIND("@",B41)+2,LEN(B41)-FIND("@",B41)-1)</f>
        <v>Dallas Mavericks</v>
      </c>
      <c r="H41" s="299">
        <v>108</v>
      </c>
      <c r="I41" s="318">
        <v>139</v>
      </c>
      <c r="J41" s="334">
        <f>IF(I41&gt;H41, 1, 0)</f>
        <v>1</v>
      </c>
      <c r="K41" s="328">
        <f>+D41+H41</f>
        <v>206</v>
      </c>
      <c r="L41" s="318">
        <f>E41+I41</f>
        <v>268</v>
      </c>
      <c r="M41" s="334">
        <f>IF(L41&gt;K41, 1, 0)</f>
        <v>1</v>
      </c>
      <c r="N41" s="335">
        <f>(+H41-D41)</f>
        <v>10</v>
      </c>
      <c r="O41" s="345">
        <f>I41-E41</f>
        <v>10</v>
      </c>
      <c r="P41" s="405">
        <f>IF(OR(AND(N41&gt;0,O41&gt;0),AND(N41&lt;0,O41&lt;0)),1,0)</f>
        <v>1</v>
      </c>
      <c r="Q41" s="289">
        <f>WEEKNUM(tblResultadosNBA[[#This Row],[Fecha]],2)</f>
        <v>43</v>
      </c>
      <c r="R41" t="str">
        <f>TEXT(tblResultadosNBA[[#This Row],[Fecha]],"mmm")</f>
        <v>oct</v>
      </c>
    </row>
    <row r="42" spans="1:18">
      <c r="A42" s="419">
        <v>45956</v>
      </c>
      <c r="B42" s="328" t="s">
        <v>445</v>
      </c>
      <c r="C42" s="299" t="str">
        <f>LEFT(B42,FIND("@",B42)-2)</f>
        <v>Portland Trail Blazers</v>
      </c>
      <c r="D42" s="299">
        <v>122</v>
      </c>
      <c r="E42" s="318">
        <v>107</v>
      </c>
      <c r="F42" s="334">
        <f>IF(E42&gt;D42, 1, 0)</f>
        <v>0</v>
      </c>
      <c r="G42" s="328" t="str">
        <f>MID(B42,FIND("@",B42)+2,LEN(B42)-FIND("@",B42)-1)</f>
        <v>LA Clippers</v>
      </c>
      <c r="H42" s="299">
        <v>112</v>
      </c>
      <c r="I42" s="318">
        <v>114</v>
      </c>
      <c r="J42" s="334">
        <f>IF(I42&gt;H42, 1, 0)</f>
        <v>1</v>
      </c>
      <c r="K42" s="328">
        <f>+D42+H42</f>
        <v>234</v>
      </c>
      <c r="L42" s="318">
        <f>E42+I42</f>
        <v>221</v>
      </c>
      <c r="M42" s="334">
        <f>IF(L42&gt;K42, 1, 0)</f>
        <v>0</v>
      </c>
      <c r="N42" s="335">
        <f>(+H42-D42)</f>
        <v>-10</v>
      </c>
      <c r="O42" s="345">
        <f>I42-E42</f>
        <v>7</v>
      </c>
      <c r="P42" s="405">
        <f>IF(OR(AND(N42&gt;0,O42&gt;0),AND(N42&lt;0,O42&lt;0)),1,0)</f>
        <v>0</v>
      </c>
      <c r="Q42" s="289">
        <f>WEEKNUM(tblResultadosNBA[[#This Row],[Fecha]],2)</f>
        <v>43</v>
      </c>
      <c r="R42" t="str">
        <f>TEXT(tblResultadosNBA[[#This Row],[Fecha]],"mmm")</f>
        <v>oct</v>
      </c>
    </row>
    <row r="43" spans="1:18">
      <c r="A43" s="445">
        <v>45956</v>
      </c>
      <c r="B43" s="331" t="s">
        <v>446</v>
      </c>
      <c r="C43" s="286" t="str">
        <f>LEFT(B43,FIND("@",B43)-2)</f>
        <v>Los Angeles Lakers</v>
      </c>
      <c r="D43" s="286">
        <v>100</v>
      </c>
      <c r="E43" s="317">
        <v>127</v>
      </c>
      <c r="F43" s="332">
        <f>IF(E43&gt;D43, 1, 0)</f>
        <v>1</v>
      </c>
      <c r="G43" s="331" t="str">
        <f>MID(B43,FIND("@",B43)+2,LEN(B43)-FIND("@",B43)-1)</f>
        <v>Sacramento Kings</v>
      </c>
      <c r="H43" s="286">
        <v>103</v>
      </c>
      <c r="I43" s="317">
        <v>120</v>
      </c>
      <c r="J43" s="332">
        <f>IF(I43&gt;H43, 1, 0)</f>
        <v>1</v>
      </c>
      <c r="K43" s="331">
        <f>+D43+H43</f>
        <v>203</v>
      </c>
      <c r="L43" s="317">
        <f>E43+I43</f>
        <v>247</v>
      </c>
      <c r="M43" s="332">
        <f>IF(L43&gt;K43, 1, 0)</f>
        <v>1</v>
      </c>
      <c r="N43" s="326">
        <f>(+H43-D43)</f>
        <v>3</v>
      </c>
      <c r="O43" s="348">
        <f>I43-E43</f>
        <v>-7</v>
      </c>
      <c r="P43" s="406">
        <f>IF(OR(AND(N43&gt;0,O43&gt;0),AND(N43&lt;0,O43&lt;0)),1,0)</f>
        <v>0</v>
      </c>
      <c r="Q43" s="433">
        <f>WEEKNUM(tblResultadosNBA[[#This Row],[Fecha]],2)</f>
        <v>43</v>
      </c>
      <c r="R43" s="433" t="str">
        <f>TEXT(tblResultadosNBA[[#This Row],[Fecha]],"mmm")</f>
        <v>oct</v>
      </c>
    </row>
    <row r="44" spans="1:18">
      <c r="A44" s="439">
        <v>45957</v>
      </c>
      <c r="B44" s="422" t="s">
        <v>447</v>
      </c>
      <c r="C44" s="341" t="str">
        <f>LEFT(B44,FIND("@",B44)-2)</f>
        <v>Cleveland Cavaliers</v>
      </c>
      <c r="D44" s="341">
        <v>101</v>
      </c>
      <c r="E44" s="342">
        <v>116</v>
      </c>
      <c r="F44" s="333">
        <f>IF(E44&gt;D44, 1, 0)</f>
        <v>1</v>
      </c>
      <c r="G44" s="341" t="str">
        <f>MID(B44,FIND("@",B44)+2,LEN(B44)-FIND("@",B44)-1)</f>
        <v>Detroit Pistons</v>
      </c>
      <c r="H44" s="341">
        <v>115</v>
      </c>
      <c r="I44" s="342">
        <v>95</v>
      </c>
      <c r="J44" s="333">
        <f>IF(I44&gt;H44, 1, 0)</f>
        <v>0</v>
      </c>
      <c r="K44" s="341">
        <f>+D44+H44</f>
        <v>216</v>
      </c>
      <c r="L44" s="342">
        <f>E44+I44</f>
        <v>211</v>
      </c>
      <c r="M44" s="333">
        <f>IF(L44&gt;K44, 1, 0)</f>
        <v>0</v>
      </c>
      <c r="N44" s="343">
        <f>(+H44-D44)</f>
        <v>14</v>
      </c>
      <c r="O44" s="349">
        <f>I44-E44</f>
        <v>-21</v>
      </c>
      <c r="P44" s="407">
        <f>IF(OR(AND(N44&gt;0,O44&gt;0),AND(N44&lt;0,O44&lt;0)),1,0)</f>
        <v>0</v>
      </c>
      <c r="Q44" s="289">
        <f>WEEKNUM(tblResultadosNBA[[#This Row],[Fecha]],2)</f>
        <v>44</v>
      </c>
      <c r="R44" t="str">
        <f>TEXT(tblResultadosNBA[[#This Row],[Fecha]],"mmm")</f>
        <v>oct</v>
      </c>
    </row>
    <row r="45" spans="1:18">
      <c r="A45" s="419">
        <v>45957</v>
      </c>
      <c r="B45" s="302" t="s">
        <v>103</v>
      </c>
      <c r="C45" s="177" t="str">
        <f>LEFT(B45,FIND("@",B45)-2)</f>
        <v>Orlando Magic</v>
      </c>
      <c r="D45" s="177">
        <v>100</v>
      </c>
      <c r="E45" s="336">
        <v>124</v>
      </c>
      <c r="F45" s="327">
        <f>IF(E45&gt;D45, 1, 0)</f>
        <v>1</v>
      </c>
      <c r="G45" s="177" t="str">
        <f>MID(B45,FIND("@",B45)+2,LEN(B45)-FIND("@",B45)-1)</f>
        <v>Philadelphia 76ers</v>
      </c>
      <c r="H45" s="177">
        <v>110</v>
      </c>
      <c r="I45" s="336">
        <v>136</v>
      </c>
      <c r="J45" s="327">
        <f>IF(I45&gt;H45, 1, 0)</f>
        <v>1</v>
      </c>
      <c r="K45" s="177">
        <f>+D45+H45</f>
        <v>210</v>
      </c>
      <c r="L45" s="336">
        <f>E45+I45</f>
        <v>260</v>
      </c>
      <c r="M45" s="327">
        <f>IF(L45&gt;K45, 1, 0)</f>
        <v>1</v>
      </c>
      <c r="N45" s="337">
        <f>(+H45-D45)</f>
        <v>10</v>
      </c>
      <c r="O45" s="350">
        <f>I45-E45</f>
        <v>12</v>
      </c>
      <c r="P45" s="405">
        <f>IF(OR(AND(N45&gt;0,O45&gt;0),AND(N45&lt;0,O45&lt;0)),1,0)</f>
        <v>1</v>
      </c>
      <c r="Q45" s="289">
        <f>WEEKNUM(tblResultadosNBA[[#This Row],[Fecha]],2)</f>
        <v>44</v>
      </c>
      <c r="R45" t="str">
        <f>TEXT(tblResultadosNBA[[#This Row],[Fecha]],"mmm")</f>
        <v>oct</v>
      </c>
    </row>
    <row r="46" spans="1:18">
      <c r="A46" s="419">
        <v>45957</v>
      </c>
      <c r="B46" s="302" t="s">
        <v>448</v>
      </c>
      <c r="C46" s="177" t="str">
        <f>LEFT(B46,FIND("@",B46)-2)</f>
        <v>Atlanta Hawks</v>
      </c>
      <c r="D46" s="177">
        <v>123</v>
      </c>
      <c r="E46" s="336">
        <v>123</v>
      </c>
      <c r="F46" s="327">
        <f>IF(E46&gt;D46, 1, 0)</f>
        <v>0</v>
      </c>
      <c r="G46" s="177" t="str">
        <f>MID(B46,FIND("@",B46)+2,LEN(B46)-FIND("@",B46)-1)</f>
        <v>Chicago Bulls</v>
      </c>
      <c r="H46" s="177">
        <v>118</v>
      </c>
      <c r="I46" s="336">
        <v>128</v>
      </c>
      <c r="J46" s="327">
        <f>IF(I46&gt;H46, 1, 0)</f>
        <v>1</v>
      </c>
      <c r="K46" s="177">
        <f>+D46+H46</f>
        <v>241</v>
      </c>
      <c r="L46" s="336">
        <f>E46+I46</f>
        <v>251</v>
      </c>
      <c r="M46" s="327">
        <f>IF(L46&gt;K46, 1, 0)</f>
        <v>1</v>
      </c>
      <c r="N46" s="337">
        <f>(+H46-D46)</f>
        <v>-5</v>
      </c>
      <c r="O46" s="350">
        <f>I46-E46</f>
        <v>5</v>
      </c>
      <c r="P46" s="405">
        <f>IF(OR(AND(N46&gt;0,O46&gt;0),AND(N46&lt;0,O46&lt;0)),1,0)</f>
        <v>0</v>
      </c>
      <c r="Q46" s="289">
        <f>WEEKNUM(tblResultadosNBA[[#This Row],[Fecha]],2)</f>
        <v>44</v>
      </c>
      <c r="R46" t="str">
        <f>TEXT(tblResultadosNBA[[#This Row],[Fecha]],"mmm")</f>
        <v>oct</v>
      </c>
    </row>
    <row r="47" spans="1:18">
      <c r="A47" s="419">
        <v>45957</v>
      </c>
      <c r="B47" s="302" t="s">
        <v>449</v>
      </c>
      <c r="C47" s="177" t="str">
        <f>LEFT(B47,FIND("@",B47)-2)</f>
        <v>Brooklyn Nets</v>
      </c>
      <c r="D47" s="177">
        <v>115</v>
      </c>
      <c r="E47" s="336">
        <v>109</v>
      </c>
      <c r="F47" s="327">
        <f>IF(E47&gt;D47, 1, 0)</f>
        <v>0</v>
      </c>
      <c r="G47" s="177" t="str">
        <f>MID(B47,FIND("@",B47)+2,LEN(B47)-FIND("@",B47)-1)</f>
        <v>Houston Rockets</v>
      </c>
      <c r="H47" s="177">
        <v>113</v>
      </c>
      <c r="I47" s="336">
        <v>137</v>
      </c>
      <c r="J47" s="327">
        <f>IF(I47&gt;H47, 1, 0)</f>
        <v>1</v>
      </c>
      <c r="K47" s="177">
        <f>+D47+H47</f>
        <v>228</v>
      </c>
      <c r="L47" s="336">
        <f>E47+I47</f>
        <v>246</v>
      </c>
      <c r="M47" s="327">
        <f>IF(L47&gt;K47, 1, 0)</f>
        <v>1</v>
      </c>
      <c r="N47" s="337">
        <f>(+H47-D47)</f>
        <v>-2</v>
      </c>
      <c r="O47" s="350">
        <f>I47-E47</f>
        <v>28</v>
      </c>
      <c r="P47" s="405">
        <f>IF(OR(AND(N47&gt;0,O47&gt;0),AND(N47&lt;0,O47&lt;0)),1,0)</f>
        <v>0</v>
      </c>
      <c r="Q47" s="289">
        <f>WEEKNUM(tblResultadosNBA[[#This Row],[Fecha]],2)</f>
        <v>44</v>
      </c>
      <c r="R47" t="str">
        <f>TEXT(tblResultadosNBA[[#This Row],[Fecha]],"mmm")</f>
        <v>oct</v>
      </c>
    </row>
    <row r="48" spans="1:18">
      <c r="A48" s="419">
        <v>45957</v>
      </c>
      <c r="B48" s="302" t="s">
        <v>450</v>
      </c>
      <c r="C48" s="177" t="str">
        <f>LEFT(B48,FIND("@",B48)-2)</f>
        <v>Boston Celtics</v>
      </c>
      <c r="D48" s="177">
        <v>109</v>
      </c>
      <c r="E48" s="336">
        <v>122</v>
      </c>
      <c r="F48" s="327">
        <f>IF(E48&gt;D48, 1, 0)</f>
        <v>1</v>
      </c>
      <c r="G48" s="177" t="str">
        <f>MID(B48,FIND("@",B48)+2,LEN(B48)-FIND("@",B48)-1)</f>
        <v>New Orleans Pelicans</v>
      </c>
      <c r="H48" s="177">
        <v>112</v>
      </c>
      <c r="I48" s="336">
        <v>90</v>
      </c>
      <c r="J48" s="327">
        <f>IF(I48&gt;H48, 1, 0)</f>
        <v>0</v>
      </c>
      <c r="K48" s="177">
        <f>+D48+H48</f>
        <v>221</v>
      </c>
      <c r="L48" s="336">
        <f>E48+I48</f>
        <v>212</v>
      </c>
      <c r="M48" s="327">
        <f>IF(L48&gt;K48, 1, 0)</f>
        <v>0</v>
      </c>
      <c r="N48" s="337">
        <f>(+H48-D48)</f>
        <v>3</v>
      </c>
      <c r="O48" s="350">
        <f>I48-E48</f>
        <v>-32</v>
      </c>
      <c r="P48" s="405">
        <f>IF(OR(AND(N48&gt;0,O48&gt;0),AND(N48&lt;0,O48&lt;0)),1,0)</f>
        <v>0</v>
      </c>
      <c r="Q48" s="289">
        <f>WEEKNUM(tblResultadosNBA[[#This Row],[Fecha]],2)</f>
        <v>44</v>
      </c>
      <c r="R48" t="str">
        <f>TEXT(tblResultadosNBA[[#This Row],[Fecha]],"mmm")</f>
        <v>oct</v>
      </c>
    </row>
    <row r="49" spans="1:18">
      <c r="A49" s="419">
        <v>45957</v>
      </c>
      <c r="B49" s="302" t="s">
        <v>451</v>
      </c>
      <c r="C49" s="177" t="str">
        <f>LEFT(B49,FIND("@",B49)-2)</f>
        <v>Toronto Raptors</v>
      </c>
      <c r="D49" s="177">
        <v>118</v>
      </c>
      <c r="E49" s="336">
        <v>103</v>
      </c>
      <c r="F49" s="327">
        <f>IF(E49&gt;D49, 1, 0)</f>
        <v>0</v>
      </c>
      <c r="G49" s="177" t="str">
        <f>MID(B49,FIND("@",B49)+2,LEN(B49)-FIND("@",B49)-1)</f>
        <v>San Antonio Spurs</v>
      </c>
      <c r="H49" s="177">
        <v>121</v>
      </c>
      <c r="I49" s="336">
        <v>121</v>
      </c>
      <c r="J49" s="327">
        <f>IF(I49&gt;H49, 1, 0)</f>
        <v>0</v>
      </c>
      <c r="K49" s="177">
        <f>+D49+H49</f>
        <v>239</v>
      </c>
      <c r="L49" s="336">
        <f>E49+I49</f>
        <v>224</v>
      </c>
      <c r="M49" s="327">
        <f>IF(L49&gt;K49, 1, 0)</f>
        <v>0</v>
      </c>
      <c r="N49" s="337">
        <f>(+H49-D49)</f>
        <v>3</v>
      </c>
      <c r="O49" s="350">
        <f>I49-E49</f>
        <v>18</v>
      </c>
      <c r="P49" s="405">
        <f>IF(OR(AND(N49&gt;0,O49&gt;0),AND(N49&lt;0,O49&lt;0)),1,0)</f>
        <v>1</v>
      </c>
      <c r="Q49" s="289">
        <f>WEEKNUM(tblResultadosNBA[[#This Row],[Fecha]],2)</f>
        <v>44</v>
      </c>
      <c r="R49" t="str">
        <f>TEXT(tblResultadosNBA[[#This Row],[Fecha]],"mmm")</f>
        <v>oct</v>
      </c>
    </row>
    <row r="50" spans="1:18">
      <c r="A50" s="419">
        <v>45957</v>
      </c>
      <c r="B50" s="302" t="s">
        <v>452</v>
      </c>
      <c r="C50" s="177" t="str">
        <f>LEFT(B50,FIND("@",B50)-2)</f>
        <v>Oklahoma City Thunder</v>
      </c>
      <c r="D50" s="177">
        <v>112</v>
      </c>
      <c r="E50" s="336">
        <v>101</v>
      </c>
      <c r="F50" s="327">
        <f>IF(E50&gt;D50, 1, 0)</f>
        <v>0</v>
      </c>
      <c r="G50" s="177" t="str">
        <f>MID(B50,FIND("@",B50)+2,LEN(B50)-FIND("@",B50)-1)</f>
        <v>Dallas Mavericks</v>
      </c>
      <c r="H50" s="177">
        <v>105</v>
      </c>
      <c r="I50" s="336">
        <v>94</v>
      </c>
      <c r="J50" s="327">
        <f>IF(I50&gt;H50, 1, 0)</f>
        <v>0</v>
      </c>
      <c r="K50" s="177">
        <f>+D50+H50</f>
        <v>217</v>
      </c>
      <c r="L50" s="336">
        <f>E50+I50</f>
        <v>195</v>
      </c>
      <c r="M50" s="327">
        <f>IF(L50&gt;K50, 1, 0)</f>
        <v>0</v>
      </c>
      <c r="N50" s="337">
        <f>(+H50-D50)</f>
        <v>-7</v>
      </c>
      <c r="O50" s="350">
        <f>I50-E50</f>
        <v>-7</v>
      </c>
      <c r="P50" s="405">
        <f>IF(OR(AND(N50&gt;0,O50&gt;0),AND(N50&lt;0,O50&lt;0)),1,0)</f>
        <v>1</v>
      </c>
      <c r="Q50" s="289">
        <f>WEEKNUM(tblResultadosNBA[[#This Row],[Fecha]],2)</f>
        <v>44</v>
      </c>
      <c r="R50" t="str">
        <f>TEXT(tblResultadosNBA[[#This Row],[Fecha]],"mmm")</f>
        <v>oct</v>
      </c>
    </row>
    <row r="51" spans="1:18">
      <c r="A51" s="419">
        <v>45957</v>
      </c>
      <c r="B51" s="302" t="s">
        <v>453</v>
      </c>
      <c r="C51" s="177" t="str">
        <f>LEFT(B51,FIND("@",B51)-2)</f>
        <v>Phoenix Suns</v>
      </c>
      <c r="D51" s="177">
        <v>111</v>
      </c>
      <c r="E51" s="336">
        <v>134</v>
      </c>
      <c r="F51" s="327">
        <f>IF(E51&gt;D51, 1, 0)</f>
        <v>1</v>
      </c>
      <c r="G51" s="177" t="str">
        <f>MID(B51,FIND("@",B51)+2,LEN(B51)-FIND("@",B51)-1)</f>
        <v>Utah Jazz</v>
      </c>
      <c r="H51" s="177">
        <v>108</v>
      </c>
      <c r="I51" s="336">
        <v>138</v>
      </c>
      <c r="J51" s="327">
        <f>IF(I51&gt;H51, 1, 0)</f>
        <v>1</v>
      </c>
      <c r="K51" s="177">
        <f>+D51+H51</f>
        <v>219</v>
      </c>
      <c r="L51" s="336">
        <f>E51+I51</f>
        <v>272</v>
      </c>
      <c r="M51" s="327">
        <f>IF(L51&gt;K51, 1, 0)</f>
        <v>1</v>
      </c>
      <c r="N51" s="337">
        <f>(+H51-D51)</f>
        <v>-3</v>
      </c>
      <c r="O51" s="350">
        <f>I51-E51</f>
        <v>4</v>
      </c>
      <c r="P51" s="405">
        <f>IF(OR(AND(N51&gt;0,O51&gt;0),AND(N51&lt;0,O51&lt;0)),1,0)</f>
        <v>0</v>
      </c>
      <c r="Q51" s="289">
        <f>WEEKNUM(tblResultadosNBA[[#This Row],[Fecha]],2)</f>
        <v>44</v>
      </c>
      <c r="R51" t="str">
        <f>TEXT(tblResultadosNBA[[#This Row],[Fecha]],"mmm")</f>
        <v>oct</v>
      </c>
    </row>
    <row r="52" spans="1:18">
      <c r="A52" s="419">
        <v>45957</v>
      </c>
      <c r="B52" s="302" t="s">
        <v>454</v>
      </c>
      <c r="C52" s="177" t="str">
        <f>LEFT(B52,FIND("@",B52)-2)</f>
        <v>Denver Nuggets</v>
      </c>
      <c r="D52" s="177">
        <v>117</v>
      </c>
      <c r="E52" s="336">
        <v>127</v>
      </c>
      <c r="F52" s="327">
        <f>IF(E52&gt;D52, 1, 0)</f>
        <v>1</v>
      </c>
      <c r="G52" s="177" t="str">
        <f>MID(B52,FIND("@",B52)+2,LEN(B52)-FIND("@",B52)-1)</f>
        <v>Minnesota Timberwolves</v>
      </c>
      <c r="H52" s="177">
        <v>105</v>
      </c>
      <c r="I52" s="336">
        <v>114</v>
      </c>
      <c r="J52" s="327">
        <f>IF(I52&gt;H52, 1, 0)</f>
        <v>1</v>
      </c>
      <c r="K52" s="177">
        <f>+D52+H52</f>
        <v>222</v>
      </c>
      <c r="L52" s="336">
        <f>E52+I52</f>
        <v>241</v>
      </c>
      <c r="M52" s="327">
        <f>IF(L52&gt;K52, 1, 0)</f>
        <v>1</v>
      </c>
      <c r="N52" s="337">
        <f>(+H52-D52)</f>
        <v>-12</v>
      </c>
      <c r="O52" s="350">
        <f>I52-E52</f>
        <v>-13</v>
      </c>
      <c r="P52" s="405">
        <f>IF(OR(AND(N52&gt;0,O52&gt;0),AND(N52&lt;0,O52&lt;0)),1,0)</f>
        <v>1</v>
      </c>
      <c r="Q52" s="289">
        <f>WEEKNUM(tblResultadosNBA[[#This Row],[Fecha]],2)</f>
        <v>44</v>
      </c>
      <c r="R52" t="str">
        <f>TEXT(tblResultadosNBA[[#This Row],[Fecha]],"mmm")</f>
        <v>oct</v>
      </c>
    </row>
    <row r="53" spans="1:18">
      <c r="A53" s="419">
        <v>45957</v>
      </c>
      <c r="B53" s="302" t="s">
        <v>356</v>
      </c>
      <c r="C53" s="177" t="str">
        <f>LEFT(B53,FIND("@",B53)-2)</f>
        <v>Memphis Grizzlies</v>
      </c>
      <c r="D53" s="177">
        <v>110</v>
      </c>
      <c r="E53" s="336">
        <v>118</v>
      </c>
      <c r="F53" s="327">
        <f>IF(E53&gt;D53, 1, 0)</f>
        <v>1</v>
      </c>
      <c r="G53" s="177" t="str">
        <f>MID(B53,FIND("@",B53)+2,LEN(B53)-FIND("@",B53)-1)</f>
        <v>Golden State Warriors</v>
      </c>
      <c r="H53" s="177">
        <v>113</v>
      </c>
      <c r="I53" s="336">
        <v>131</v>
      </c>
      <c r="J53" s="327">
        <f>IF(I53&gt;H53, 1, 0)</f>
        <v>1</v>
      </c>
      <c r="K53" s="177">
        <f>+D53+H53</f>
        <v>223</v>
      </c>
      <c r="L53" s="336">
        <f>E53+I53</f>
        <v>249</v>
      </c>
      <c r="M53" s="327">
        <f>IF(L53&gt;K53, 1, 0)</f>
        <v>1</v>
      </c>
      <c r="N53" s="337">
        <f>(+H53-D53)</f>
        <v>3</v>
      </c>
      <c r="O53" s="350">
        <f>I53-E53</f>
        <v>13</v>
      </c>
      <c r="P53" s="405">
        <f>IF(OR(AND(N53&gt;0,O53&gt;0),AND(N53&lt;0,O53&lt;0)),1,0)</f>
        <v>1</v>
      </c>
      <c r="Q53" s="289">
        <f>WEEKNUM(tblResultadosNBA[[#This Row],[Fecha]],2)</f>
        <v>44</v>
      </c>
      <c r="R53" t="str">
        <f>TEXT(tblResultadosNBA[[#This Row],[Fecha]],"mmm")</f>
        <v>oct</v>
      </c>
    </row>
    <row r="54" spans="1:18">
      <c r="A54" s="445">
        <v>45957</v>
      </c>
      <c r="B54" s="328" t="s">
        <v>455</v>
      </c>
      <c r="C54" s="299" t="str">
        <f>LEFT(B54,FIND("@",B54)-2)</f>
        <v>Portland Trail Blazers</v>
      </c>
      <c r="D54" s="299">
        <v>97</v>
      </c>
      <c r="E54" s="309">
        <v>122</v>
      </c>
      <c r="F54" s="334">
        <f>IF(E54&gt;D54, 1, 0)</f>
        <v>1</v>
      </c>
      <c r="G54" s="299" t="str">
        <f>MID(B54,FIND("@",B54)+2,LEN(B54)-FIND("@",B54)-1)</f>
        <v>Los Angeles Lakers</v>
      </c>
      <c r="H54" s="299">
        <v>120</v>
      </c>
      <c r="I54" s="309">
        <v>108</v>
      </c>
      <c r="J54" s="334">
        <f>IF(I54&gt;H54, 1, 0)</f>
        <v>0</v>
      </c>
      <c r="K54" s="299">
        <f>+D54+H54</f>
        <v>217</v>
      </c>
      <c r="L54" s="309">
        <f>E54+I54</f>
        <v>230</v>
      </c>
      <c r="M54" s="334">
        <f>IF(L54&gt;K54, 1, 0)</f>
        <v>1</v>
      </c>
      <c r="N54" s="321">
        <f>(+H54-D54)</f>
        <v>23</v>
      </c>
      <c r="O54" s="350">
        <f>I54-E54</f>
        <v>-14</v>
      </c>
      <c r="P54" s="408">
        <f>IF(OR(AND(N54&gt;0,O54&gt;0),AND(N54&lt;0,O54&lt;0)),1,0)</f>
        <v>0</v>
      </c>
      <c r="Q54" s="433">
        <f>WEEKNUM(tblResultadosNBA[[#This Row],[Fecha]],2)</f>
        <v>44</v>
      </c>
      <c r="R54" s="433" t="str">
        <f>TEXT(tblResultadosNBA[[#This Row],[Fecha]],"mmm")</f>
        <v>oct</v>
      </c>
    </row>
    <row r="55" spans="1:18">
      <c r="A55" s="439">
        <v>45958</v>
      </c>
      <c r="B55" s="330" t="s">
        <v>456</v>
      </c>
      <c r="C55" s="312" t="str">
        <f>LEFT(B55,FIND("@",B55)-2)</f>
        <v>Philadelphia 76ers</v>
      </c>
      <c r="D55" s="312">
        <v>108</v>
      </c>
      <c r="E55" s="338">
        <v>139</v>
      </c>
      <c r="F55" s="339">
        <f>IF(E55&gt;D55, 1, 0)</f>
        <v>1</v>
      </c>
      <c r="G55" s="312" t="str">
        <f>MID(B55,FIND("@",B55)+2,LEN(B55)-FIND("@",B55)-1)</f>
        <v>Washington Wizards</v>
      </c>
      <c r="H55" s="312">
        <v>118</v>
      </c>
      <c r="I55" s="338">
        <v>134</v>
      </c>
      <c r="J55" s="339">
        <f>IF(I55&gt;H55, 1, 0)</f>
        <v>1</v>
      </c>
      <c r="K55" s="312">
        <f>+D55+H55</f>
        <v>226</v>
      </c>
      <c r="L55" s="338">
        <f>E55+I55</f>
        <v>273</v>
      </c>
      <c r="M55" s="339">
        <f>IF(L55&gt;K55, 1, 0)</f>
        <v>1</v>
      </c>
      <c r="N55" s="320">
        <f>(+H55-D55)</f>
        <v>10</v>
      </c>
      <c r="O55" s="356">
        <f>I55-E55</f>
        <v>-5</v>
      </c>
      <c r="P55" s="409">
        <f>IF(OR(AND(N55&gt;0,O55&gt;0),AND(N55&lt;0,O55&lt;0)),1,0)</f>
        <v>0</v>
      </c>
      <c r="Q55" s="289">
        <f>WEEKNUM(tblResultadosNBA[[#This Row],[Fecha]],2)</f>
        <v>44</v>
      </c>
      <c r="R55" t="str">
        <f>TEXT(tblResultadosNBA[[#This Row],[Fecha]],"mmm")</f>
        <v>oct</v>
      </c>
    </row>
    <row r="56" spans="1:18">
      <c r="A56" s="419">
        <v>45958</v>
      </c>
      <c r="B56" s="302" t="s">
        <v>457</v>
      </c>
      <c r="C56" s="177" t="str">
        <f>LEFT(B56,FIND("@",B56)-2)</f>
        <v>Charlotte Hornets</v>
      </c>
      <c r="D56" s="177">
        <v>111</v>
      </c>
      <c r="E56" s="336">
        <v>117</v>
      </c>
      <c r="F56" s="327">
        <f>IF(E56&gt;D56, 1, 0)</f>
        <v>1</v>
      </c>
      <c r="G56" s="177" t="str">
        <f>MID(B56,FIND("@",B56)+2,LEN(B56)-FIND("@",B56)-1)</f>
        <v>Miami Heat</v>
      </c>
      <c r="H56" s="177">
        <v>114</v>
      </c>
      <c r="I56" s="336">
        <v>144</v>
      </c>
      <c r="J56" s="327">
        <f>IF(I56&gt;H56, 1, 0)</f>
        <v>1</v>
      </c>
      <c r="K56" s="177">
        <f>+D56+H56</f>
        <v>225</v>
      </c>
      <c r="L56" s="336">
        <f>E56+I56</f>
        <v>261</v>
      </c>
      <c r="M56" s="327">
        <f>IF(L56&gt;K56, 1, 0)</f>
        <v>1</v>
      </c>
      <c r="N56" s="337">
        <f>(+H56-D56)</f>
        <v>3</v>
      </c>
      <c r="O56" s="355">
        <f>I56-E56</f>
        <v>27</v>
      </c>
      <c r="P56" s="405">
        <f>IF(OR(AND(N56&gt;0,O56&gt;0),AND(N56&lt;0,O56&lt;0)),1,0)</f>
        <v>1</v>
      </c>
      <c r="Q56" s="289">
        <f>WEEKNUM(tblResultadosNBA[[#This Row],[Fecha]],2)</f>
        <v>44</v>
      </c>
      <c r="R56" t="str">
        <f>TEXT(tblResultadosNBA[[#This Row],[Fecha]],"mmm")</f>
        <v>oct</v>
      </c>
    </row>
    <row r="57" spans="1:18">
      <c r="A57" s="419">
        <v>45958</v>
      </c>
      <c r="B57" s="302" t="s">
        <v>458</v>
      </c>
      <c r="C57" s="177" t="str">
        <f>LEFT(B57,FIND("@",B57)-2)</f>
        <v>New York Knicks</v>
      </c>
      <c r="D57" s="177">
        <v>120</v>
      </c>
      <c r="E57" s="336">
        <v>111</v>
      </c>
      <c r="F57" s="327">
        <f>IF(E57&gt;D57, 1, 0)</f>
        <v>0</v>
      </c>
      <c r="G57" s="177" t="str">
        <f>MID(B57,FIND("@",B57)+2,LEN(B57)-FIND("@",B57)-1)</f>
        <v>Milwaukee Bucks</v>
      </c>
      <c r="H57" s="177">
        <v>110</v>
      </c>
      <c r="I57" s="336">
        <v>121</v>
      </c>
      <c r="J57" s="327">
        <f>IF(I57&gt;H57, 1, 0)</f>
        <v>1</v>
      </c>
      <c r="K57" s="177">
        <f>+D57+H57</f>
        <v>230</v>
      </c>
      <c r="L57" s="336">
        <f>E57+I57</f>
        <v>232</v>
      </c>
      <c r="M57" s="327">
        <f>IF(L57&gt;K57, 1, 0)</f>
        <v>1</v>
      </c>
      <c r="N57" s="337">
        <f>(+H57-D57)</f>
        <v>-10</v>
      </c>
      <c r="O57" s="355">
        <f>I57-E57</f>
        <v>10</v>
      </c>
      <c r="P57" s="405">
        <f>IF(OR(AND(N57&gt;0,O57&gt;0),AND(N57&lt;0,O57&lt;0)),1,0)</f>
        <v>0</v>
      </c>
      <c r="Q57" s="289">
        <f>WEEKNUM(tblResultadosNBA[[#This Row],[Fecha]],2)</f>
        <v>44</v>
      </c>
      <c r="R57" t="str">
        <f>TEXT(tblResultadosNBA[[#This Row],[Fecha]],"mmm")</f>
        <v>oct</v>
      </c>
    </row>
    <row r="58" spans="1:18">
      <c r="A58" s="419">
        <v>45958</v>
      </c>
      <c r="B58" s="302" t="s">
        <v>81</v>
      </c>
      <c r="C58" s="177" t="str">
        <f>LEFT(B58,FIND("@",B58)-2)</f>
        <v>Sacramento Kings</v>
      </c>
      <c r="D58" s="177">
        <v>104</v>
      </c>
      <c r="E58" s="336">
        <v>101</v>
      </c>
      <c r="F58" s="327">
        <f>IF(E58&gt;D58, 1, 0)</f>
        <v>0</v>
      </c>
      <c r="G58" s="177" t="str">
        <f>MID(B58,FIND("@",B58)+2,LEN(B58)-FIND("@",B58)-1)</f>
        <v>Oklahoma City Thunder</v>
      </c>
      <c r="H58" s="177">
        <v>110</v>
      </c>
      <c r="I58" s="336">
        <v>107</v>
      </c>
      <c r="J58" s="327">
        <f>IF(I58&gt;H58, 1, 0)</f>
        <v>0</v>
      </c>
      <c r="K58" s="177">
        <f>+D58+H58</f>
        <v>214</v>
      </c>
      <c r="L58" s="336">
        <f>E58+I58</f>
        <v>208</v>
      </c>
      <c r="M58" s="327">
        <f>IF(L58&gt;K58, 1, 0)</f>
        <v>0</v>
      </c>
      <c r="N58" s="337">
        <f>(+H58-D58)</f>
        <v>6</v>
      </c>
      <c r="O58" s="355">
        <f>I58-E58</f>
        <v>6</v>
      </c>
      <c r="P58" s="405">
        <f>IF(OR(AND(N58&gt;0,O58&gt;0),AND(N58&lt;0,O58&lt;0)),1,0)</f>
        <v>1</v>
      </c>
      <c r="Q58" s="289">
        <f>WEEKNUM(tblResultadosNBA[[#This Row],[Fecha]],2)</f>
        <v>44</v>
      </c>
      <c r="R58" t="str">
        <f>TEXT(tblResultadosNBA[[#This Row],[Fecha]],"mmm")</f>
        <v>oct</v>
      </c>
    </row>
    <row r="59" spans="1:18">
      <c r="A59" s="445">
        <v>45958</v>
      </c>
      <c r="B59" s="328" t="s">
        <v>459</v>
      </c>
      <c r="C59" s="299" t="str">
        <f>LEFT(B59,FIND("@",B59)-2)</f>
        <v>LA Clippers</v>
      </c>
      <c r="D59" s="299">
        <v>113</v>
      </c>
      <c r="E59" s="309">
        <v>79</v>
      </c>
      <c r="F59" s="334">
        <f>IF(E59&gt;D59, 1, 0)</f>
        <v>0</v>
      </c>
      <c r="G59" s="299" t="str">
        <f>MID(B59,FIND("@",B59)+2,LEN(B59)-FIND("@",B59)-1)</f>
        <v>Golden State Warriors</v>
      </c>
      <c r="H59" s="299">
        <v>117</v>
      </c>
      <c r="I59" s="309">
        <v>98</v>
      </c>
      <c r="J59" s="334">
        <f>IF(I59&gt;H59, 1, 0)</f>
        <v>0</v>
      </c>
      <c r="K59" s="299">
        <f>+D59+H59</f>
        <v>230</v>
      </c>
      <c r="L59" s="309">
        <f>E59+I59</f>
        <v>177</v>
      </c>
      <c r="M59" s="334">
        <f>IF(L59&gt;K59, 1, 0)</f>
        <v>0</v>
      </c>
      <c r="N59" s="321">
        <f>(+H59-D59)</f>
        <v>4</v>
      </c>
      <c r="O59" s="360">
        <f>I59-E59</f>
        <v>19</v>
      </c>
      <c r="P59" s="408">
        <f>IF(OR(AND(N59&gt;0,O59&gt;0),AND(N59&lt;0,O59&lt;0)),1,0)</f>
        <v>1</v>
      </c>
      <c r="Q59" s="433">
        <f>WEEKNUM(tblResultadosNBA[[#This Row],[Fecha]],2)</f>
        <v>44</v>
      </c>
      <c r="R59" s="433" t="str">
        <f>TEXT(tblResultadosNBA[[#This Row],[Fecha]],"mmm")</f>
        <v>oct</v>
      </c>
    </row>
    <row r="60" spans="1:18">
      <c r="A60" s="439">
        <v>45959</v>
      </c>
      <c r="B60" s="329" t="s">
        <v>460</v>
      </c>
      <c r="C60" s="244" t="str">
        <f>LEFT(B60,FIND("@",B60)-2)</f>
        <v>Houston Rockets</v>
      </c>
      <c r="D60" s="244">
        <v>108</v>
      </c>
      <c r="E60" s="292">
        <v>139</v>
      </c>
      <c r="F60" s="358">
        <f>IF(E60&gt;D60, 1, 0)</f>
        <v>1</v>
      </c>
      <c r="G60" s="244" t="str">
        <f>MID(B60,FIND("@",B60)+2,LEN(B60)-FIND("@",B60)-1)</f>
        <v>Toronto Raptors</v>
      </c>
      <c r="H60" s="244">
        <v>110</v>
      </c>
      <c r="I60" s="292">
        <v>121</v>
      </c>
      <c r="J60" s="358">
        <f>IF(I60&gt;H60, 1, 0)</f>
        <v>1</v>
      </c>
      <c r="K60" s="244">
        <f>+D60+H60</f>
        <v>218</v>
      </c>
      <c r="L60" s="292">
        <f>E60+I60</f>
        <v>260</v>
      </c>
      <c r="M60" s="358">
        <f>IF(L60&gt;K60, 1, 0)</f>
        <v>1</v>
      </c>
      <c r="N60" s="320">
        <f>(+H60-D60)</f>
        <v>2</v>
      </c>
      <c r="O60" s="359">
        <f>I60-E60</f>
        <v>-18</v>
      </c>
      <c r="P60" s="410">
        <f>IF(OR(AND(N60&gt;0,O60&gt;0),AND(N60&lt;0,O60&lt;0)),1,0)</f>
        <v>0</v>
      </c>
      <c r="Q60" s="289">
        <f>WEEKNUM(tblResultadosNBA[[#This Row],[Fecha]],2)</f>
        <v>44</v>
      </c>
      <c r="R60" t="str">
        <f>TEXT(tblResultadosNBA[[#This Row],[Fecha]],"mmm")</f>
        <v>oct</v>
      </c>
    </row>
    <row r="61" spans="1:18">
      <c r="A61" s="419">
        <v>45959</v>
      </c>
      <c r="B61" s="302" t="s">
        <v>461</v>
      </c>
      <c r="C61" s="177" t="str">
        <f>LEFT(B61,FIND("@",B61)-2)</f>
        <v>Cleveland Cavaliers</v>
      </c>
      <c r="D61" s="177">
        <v>111</v>
      </c>
      <c r="E61" s="336">
        <v>105</v>
      </c>
      <c r="F61" s="327">
        <f>IF(E61&gt;D61, 1, 0)</f>
        <v>0</v>
      </c>
      <c r="G61" s="177" t="str">
        <f>MID(B61,FIND("@",B61)+2,LEN(B61)-FIND("@",B61)-1)</f>
        <v>Boston Celtics</v>
      </c>
      <c r="H61" s="177">
        <v>108</v>
      </c>
      <c r="I61" s="336">
        <v>125</v>
      </c>
      <c r="J61" s="327">
        <f>IF(I61&gt;H61, 1, 0)</f>
        <v>1</v>
      </c>
      <c r="K61" s="177">
        <f>+D61+H61</f>
        <v>219</v>
      </c>
      <c r="L61" s="336">
        <f>E61+I61</f>
        <v>230</v>
      </c>
      <c r="M61" s="327">
        <f>IF(L61&gt;K61, 1, 0)</f>
        <v>1</v>
      </c>
      <c r="N61" s="337">
        <f>(+H61-D61)</f>
        <v>-3</v>
      </c>
      <c r="O61" s="355">
        <f>I61-E61</f>
        <v>20</v>
      </c>
      <c r="P61" s="405">
        <f>IF(OR(AND(N61&gt;0,O61&gt;0),AND(N61&lt;0,O61&lt;0)),1,0)</f>
        <v>0</v>
      </c>
      <c r="Q61" s="289">
        <f>WEEKNUM(tblResultadosNBA[[#This Row],[Fecha]],2)</f>
        <v>44</v>
      </c>
      <c r="R61" t="str">
        <f>TEXT(tblResultadosNBA[[#This Row],[Fecha]],"mmm")</f>
        <v>oct</v>
      </c>
    </row>
    <row r="62" spans="1:18">
      <c r="A62" s="419">
        <v>45959</v>
      </c>
      <c r="B62" s="302" t="s">
        <v>113</v>
      </c>
      <c r="C62" s="177" t="str">
        <f>LEFT(B62,FIND("@",B62)-2)</f>
        <v>Orlando Magic</v>
      </c>
      <c r="D62" s="177">
        <v>112</v>
      </c>
      <c r="E62" s="336">
        <v>116</v>
      </c>
      <c r="F62" s="327">
        <f>IF(E62&gt;D62, 1, 0)</f>
        <v>1</v>
      </c>
      <c r="G62" s="177" t="str">
        <f>MID(B62,FIND("@",B62)+2,LEN(B62)-FIND("@",B62)-1)</f>
        <v>Detroit Pistons</v>
      </c>
      <c r="H62" s="177">
        <v>109</v>
      </c>
      <c r="I62" s="336">
        <v>135</v>
      </c>
      <c r="J62" s="327">
        <f>IF(I62&gt;H62, 1, 0)</f>
        <v>1</v>
      </c>
      <c r="K62" s="177">
        <f>+D62+H62</f>
        <v>221</v>
      </c>
      <c r="L62" s="336">
        <f>E62+I62</f>
        <v>251</v>
      </c>
      <c r="M62" s="327">
        <f>IF(L62&gt;K62, 1, 0)</f>
        <v>1</v>
      </c>
      <c r="N62" s="337">
        <f>(+H62-D62)</f>
        <v>-3</v>
      </c>
      <c r="O62" s="355">
        <f>I62-E62</f>
        <v>19</v>
      </c>
      <c r="P62" s="405">
        <f>IF(OR(AND(N62&gt;0,O62&gt;0),AND(N62&lt;0,O62&lt;0)),1,0)</f>
        <v>0</v>
      </c>
      <c r="Q62" s="289">
        <f>WEEKNUM(tblResultadosNBA[[#This Row],[Fecha]],2)</f>
        <v>44</v>
      </c>
      <c r="R62" t="str">
        <f>TEXT(tblResultadosNBA[[#This Row],[Fecha]],"mmm")</f>
        <v>oct</v>
      </c>
    </row>
    <row r="63" spans="1:18">
      <c r="A63" s="419">
        <v>45959</v>
      </c>
      <c r="B63" s="302" t="s">
        <v>462</v>
      </c>
      <c r="C63" s="177" t="str">
        <f>LEFT(B63,FIND("@",B63)-2)</f>
        <v>Atlanta Hawks</v>
      </c>
      <c r="D63" s="177">
        <v>114</v>
      </c>
      <c r="E63" s="336">
        <v>117</v>
      </c>
      <c r="F63" s="327">
        <f>IF(E63&gt;D63, 1, 0)</f>
        <v>1</v>
      </c>
      <c r="G63" s="177" t="str">
        <f>MID(B63,FIND("@",B63)+2,LEN(B63)-FIND("@",B63)-1)</f>
        <v>Brooklyn Nets</v>
      </c>
      <c r="H63" s="177">
        <v>119</v>
      </c>
      <c r="I63" s="336">
        <v>112</v>
      </c>
      <c r="J63" s="327">
        <f>IF(I63&gt;H63, 1, 0)</f>
        <v>0</v>
      </c>
      <c r="K63" s="177">
        <f>+D63+H63</f>
        <v>233</v>
      </c>
      <c r="L63" s="336">
        <f>E63+I63</f>
        <v>229</v>
      </c>
      <c r="M63" s="327">
        <f>IF(L63&gt;K63, 1, 0)</f>
        <v>0</v>
      </c>
      <c r="N63" s="337">
        <f>(+H63-D63)</f>
        <v>5</v>
      </c>
      <c r="O63" s="355">
        <f>I63-E63</f>
        <v>-5</v>
      </c>
      <c r="P63" s="405">
        <f>IF(OR(AND(N63&gt;0,O63&gt;0),AND(N63&lt;0,O63&lt;0)),1,0)</f>
        <v>0</v>
      </c>
      <c r="Q63" s="289">
        <f>WEEKNUM(tblResultadosNBA[[#This Row],[Fecha]],2)</f>
        <v>44</v>
      </c>
      <c r="R63" t="str">
        <f>TEXT(tblResultadosNBA[[#This Row],[Fecha]],"mmm")</f>
        <v>oct</v>
      </c>
    </row>
    <row r="64" spans="1:18">
      <c r="A64" s="419">
        <v>45959</v>
      </c>
      <c r="B64" s="302" t="s">
        <v>463</v>
      </c>
      <c r="C64" s="177" t="str">
        <f>LEFT(B64,FIND("@",B64)-2)</f>
        <v>Sacramento Kings</v>
      </c>
      <c r="D64" s="177">
        <v>125</v>
      </c>
      <c r="E64" s="336">
        <v>113</v>
      </c>
      <c r="F64" s="327">
        <f>IF(E64&gt;D64, 1, 0)</f>
        <v>0</v>
      </c>
      <c r="G64" s="177" t="str">
        <f>MID(B64,FIND("@",B64)+2,LEN(B64)-FIND("@",B64)-1)</f>
        <v>Chicago Bulls</v>
      </c>
      <c r="H64" s="177">
        <v>121</v>
      </c>
      <c r="I64" s="336">
        <v>126</v>
      </c>
      <c r="J64" s="327">
        <f>IF(I64&gt;H64, 1, 0)</f>
        <v>1</v>
      </c>
      <c r="K64" s="177">
        <f>+D64+H64</f>
        <v>246</v>
      </c>
      <c r="L64" s="336">
        <f>E64+I64</f>
        <v>239</v>
      </c>
      <c r="M64" s="327">
        <f>IF(L64&gt;K64, 1, 0)</f>
        <v>0</v>
      </c>
      <c r="N64" s="337">
        <f>(+H64-D64)</f>
        <v>-4</v>
      </c>
      <c r="O64" s="355">
        <f>I64-E64</f>
        <v>13</v>
      </c>
      <c r="P64" s="405">
        <f>IF(OR(AND(N64&gt;0,O64&gt;0),AND(N64&lt;0,O64&lt;0)),1,0)</f>
        <v>0</v>
      </c>
      <c r="Q64" s="289">
        <f>WEEKNUM(tblResultadosNBA[[#This Row],[Fecha]],2)</f>
        <v>44</v>
      </c>
      <c r="R64" t="str">
        <f>TEXT(tblResultadosNBA[[#This Row],[Fecha]],"mmm")</f>
        <v>oct</v>
      </c>
    </row>
    <row r="65" spans="1:18">
      <c r="A65" s="419">
        <v>45959</v>
      </c>
      <c r="B65" s="302" t="s">
        <v>464</v>
      </c>
      <c r="C65" s="177" t="str">
        <f>LEFT(B65,FIND("@",B65)-2)</f>
        <v>Indiana Pacers</v>
      </c>
      <c r="D65" s="177">
        <v>114</v>
      </c>
      <c r="E65" s="336">
        <v>105</v>
      </c>
      <c r="F65" s="327">
        <f>IF(E65&gt;D65, 1, 0)</f>
        <v>0</v>
      </c>
      <c r="G65" s="177" t="str">
        <f>MID(B65,FIND("@",B65)+2,LEN(B65)-FIND("@",B65)-1)</f>
        <v>Dallas Mavericks</v>
      </c>
      <c r="H65" s="177">
        <v>118</v>
      </c>
      <c r="I65" s="336">
        <v>107</v>
      </c>
      <c r="J65" s="327">
        <f>IF(I65&gt;H65, 1, 0)</f>
        <v>0</v>
      </c>
      <c r="K65" s="177">
        <f>+D65+H65</f>
        <v>232</v>
      </c>
      <c r="L65" s="336">
        <f>E65+I65</f>
        <v>212</v>
      </c>
      <c r="M65" s="327">
        <f>IF(L65&gt;K65, 1, 0)</f>
        <v>0</v>
      </c>
      <c r="N65" s="337">
        <f>(+H65-D65)</f>
        <v>4</v>
      </c>
      <c r="O65" s="355">
        <f>I65-E65</f>
        <v>2</v>
      </c>
      <c r="P65" s="405">
        <f>IF(OR(AND(N65&gt;0,O65&gt;0),AND(N65&lt;0,O65&lt;0)),1,0)</f>
        <v>1</v>
      </c>
      <c r="Q65" s="289">
        <f>WEEKNUM(tblResultadosNBA[[#This Row],[Fecha]],2)</f>
        <v>44</v>
      </c>
      <c r="R65" t="str">
        <f>TEXT(tblResultadosNBA[[#This Row],[Fecha]],"mmm")</f>
        <v>oct</v>
      </c>
    </row>
    <row r="66" spans="1:18">
      <c r="A66" s="419">
        <v>45959</v>
      </c>
      <c r="B66" s="302" t="s">
        <v>465</v>
      </c>
      <c r="C66" s="177" t="str">
        <f>LEFT(B66,FIND("@",B66)-2)</f>
        <v>New Orleans Pelicans</v>
      </c>
      <c r="D66" s="177">
        <v>108</v>
      </c>
      <c r="E66" s="336">
        <v>88</v>
      </c>
      <c r="F66" s="327">
        <f>IF(E66&gt;D66, 1, 0)</f>
        <v>0</v>
      </c>
      <c r="G66" s="177" t="str">
        <f>MID(B66,FIND("@",B66)+2,LEN(B66)-FIND("@",B66)-1)</f>
        <v>Denver Nuggets</v>
      </c>
      <c r="H66" s="177">
        <v>111</v>
      </c>
      <c r="I66" s="336">
        <v>122</v>
      </c>
      <c r="J66" s="327">
        <f>IF(I66&gt;H66, 1, 0)</f>
        <v>1</v>
      </c>
      <c r="K66" s="177">
        <f>+D66+H66</f>
        <v>219</v>
      </c>
      <c r="L66" s="336">
        <f>E66+I66</f>
        <v>210</v>
      </c>
      <c r="M66" s="327">
        <f>IF(L66&gt;K66, 1, 0)</f>
        <v>0</v>
      </c>
      <c r="N66" s="337">
        <f>(+H66-D66)</f>
        <v>3</v>
      </c>
      <c r="O66" s="355">
        <f>I66-E66</f>
        <v>34</v>
      </c>
      <c r="P66" s="405">
        <f>IF(OR(AND(N66&gt;0,O66&gt;0),AND(N66&lt;0,O66&lt;0)),1,0)</f>
        <v>1</v>
      </c>
      <c r="Q66" s="289">
        <f>WEEKNUM(tblResultadosNBA[[#This Row],[Fecha]],2)</f>
        <v>44</v>
      </c>
      <c r="R66" t="str">
        <f>TEXT(tblResultadosNBA[[#This Row],[Fecha]],"mmm")</f>
        <v>oct</v>
      </c>
    </row>
    <row r="67" spans="1:18">
      <c r="A67" s="419">
        <v>45959</v>
      </c>
      <c r="B67" s="302" t="s">
        <v>466</v>
      </c>
      <c r="C67" s="177" t="str">
        <f>LEFT(B67,FIND("@",B67)-2)</f>
        <v>Portland Trail Blazers</v>
      </c>
      <c r="D67" s="177">
        <v>113</v>
      </c>
      <c r="E67" s="336">
        <v>136</v>
      </c>
      <c r="F67" s="327">
        <f>IF(E67&gt;D67, 1, 0)</f>
        <v>1</v>
      </c>
      <c r="G67" s="177" t="str">
        <f>MID(B67,FIND("@",B67)+2,LEN(B67)-FIND("@",B67)-1)</f>
        <v>Utah Jazz</v>
      </c>
      <c r="H67" s="177">
        <v>121</v>
      </c>
      <c r="I67" s="336">
        <v>134</v>
      </c>
      <c r="J67" s="327">
        <f>IF(I67&gt;H67, 1, 0)</f>
        <v>1</v>
      </c>
      <c r="K67" s="177">
        <f>+D67+H67</f>
        <v>234</v>
      </c>
      <c r="L67" s="336">
        <f>E67+I67</f>
        <v>270</v>
      </c>
      <c r="M67" s="327">
        <f>IF(L67&gt;K67, 1, 0)</f>
        <v>1</v>
      </c>
      <c r="N67" s="337">
        <f>(+H67-D67)</f>
        <v>8</v>
      </c>
      <c r="O67" s="355">
        <f>I67-E67</f>
        <v>-2</v>
      </c>
      <c r="P67" s="405">
        <f>IF(OR(AND(N67&gt;0,O67&gt;0),AND(N67&lt;0,O67&lt;0)),1,0)</f>
        <v>0</v>
      </c>
      <c r="Q67" s="289">
        <f>WEEKNUM(tblResultadosNBA[[#This Row],[Fecha]],2)</f>
        <v>44</v>
      </c>
      <c r="R67" t="str">
        <f>TEXT(tblResultadosNBA[[#This Row],[Fecha]],"mmm")</f>
        <v>oct</v>
      </c>
    </row>
    <row r="68" spans="1:18">
      <c r="A68" s="419">
        <v>45959</v>
      </c>
      <c r="B68" s="302" t="s">
        <v>467</v>
      </c>
      <c r="C68" s="177" t="str">
        <f>LEFT(B68,FIND("@",B68)-2)</f>
        <v>Los Angeles Lakers</v>
      </c>
      <c r="D68" s="177">
        <v>116</v>
      </c>
      <c r="E68" s="336">
        <v>116</v>
      </c>
      <c r="F68" s="327">
        <f>IF(E68&gt;D68, 1, 0)</f>
        <v>0</v>
      </c>
      <c r="G68" s="177" t="str">
        <f>MID(B68,FIND("@",B68)+2,LEN(B68)-FIND("@",B68)-1)</f>
        <v>Minnesota Timberwolves</v>
      </c>
      <c r="H68" s="177">
        <v>119</v>
      </c>
      <c r="I68" s="336">
        <v>115</v>
      </c>
      <c r="J68" s="327">
        <f>IF(I68&gt;H68, 1, 0)</f>
        <v>0</v>
      </c>
      <c r="K68" s="177">
        <f>+D68+H68</f>
        <v>235</v>
      </c>
      <c r="L68" s="336">
        <f>E68+I68</f>
        <v>231</v>
      </c>
      <c r="M68" s="327">
        <f>IF(L68&gt;K68, 1, 0)</f>
        <v>0</v>
      </c>
      <c r="N68" s="337">
        <f>(+H68-D68)</f>
        <v>3</v>
      </c>
      <c r="O68" s="355">
        <f>I68-E68</f>
        <v>-1</v>
      </c>
      <c r="P68" s="405">
        <f>IF(OR(AND(N68&gt;0,O68&gt;0),AND(N68&lt;0,O68&lt;0)),1,0)</f>
        <v>0</v>
      </c>
      <c r="Q68" s="289">
        <f>WEEKNUM(tblResultadosNBA[[#This Row],[Fecha]],2)</f>
        <v>44</v>
      </c>
      <c r="R68" t="str">
        <f>TEXT(tblResultadosNBA[[#This Row],[Fecha]],"mmm")</f>
        <v>oct</v>
      </c>
    </row>
    <row r="69" spans="1:18">
      <c r="A69" s="445">
        <v>45959</v>
      </c>
      <c r="B69" s="328" t="s">
        <v>468</v>
      </c>
      <c r="C69" s="299" t="str">
        <f>LEFT(B69,FIND("@",B69)-2)</f>
        <v>Memphis Grizzlies</v>
      </c>
      <c r="D69" s="299">
        <v>115</v>
      </c>
      <c r="E69" s="309">
        <v>114</v>
      </c>
      <c r="F69" s="334">
        <f>IF(E69&gt;D69, 1, 0)</f>
        <v>0</v>
      </c>
      <c r="G69" s="299" t="str">
        <f>MID(B69,FIND("@",B69)+2,LEN(B69)-FIND("@",B69)-1)</f>
        <v>Phoenix Suns</v>
      </c>
      <c r="H69" s="299">
        <v>112</v>
      </c>
      <c r="I69" s="309">
        <v>113</v>
      </c>
      <c r="J69" s="334">
        <f>IF(I69&gt;H69, 1, 0)</f>
        <v>1</v>
      </c>
      <c r="K69" s="299">
        <f>+D69+H69</f>
        <v>227</v>
      </c>
      <c r="L69" s="309">
        <f>E69+I69</f>
        <v>227</v>
      </c>
      <c r="M69" s="334">
        <f>IF(L69&gt;K69, 1, 0)</f>
        <v>0</v>
      </c>
      <c r="N69" s="321">
        <f>(+H69-D69)</f>
        <v>-3</v>
      </c>
      <c r="O69" s="360">
        <f>I69-E69</f>
        <v>-1</v>
      </c>
      <c r="P69" s="408">
        <f>IF(OR(AND(N69&gt;0,O69&gt;0),AND(N69&lt;0,O69&lt;0)),1,0)</f>
        <v>1</v>
      </c>
      <c r="Q69" s="433">
        <f>WEEKNUM(tblResultadosNBA[[#This Row],[Fecha]],2)</f>
        <v>44</v>
      </c>
      <c r="R69" s="433" t="str">
        <f>TEXT(tblResultadosNBA[[#This Row],[Fecha]],"mmm")</f>
        <v>oct</v>
      </c>
    </row>
    <row r="70" spans="1:18">
      <c r="A70" s="439">
        <v>45960</v>
      </c>
      <c r="B70" s="329" t="s">
        <v>469</v>
      </c>
      <c r="C70" s="244" t="str">
        <f>LEFT(B70,FIND("@",B70)-2)</f>
        <v>Orlando Magic</v>
      </c>
      <c r="D70" s="244">
        <v>112</v>
      </c>
      <c r="E70" s="292">
        <v>123</v>
      </c>
      <c r="F70" s="358">
        <f>IF(E70&gt;D70, 1, 0)</f>
        <v>1</v>
      </c>
      <c r="G70" s="244" t="str">
        <f>MID(B70,FIND("@",B70)+2,LEN(B70)-FIND("@",B70)-1)</f>
        <v>Charlotte Hornets</v>
      </c>
      <c r="H70" s="244">
        <v>103</v>
      </c>
      <c r="I70" s="292">
        <v>107</v>
      </c>
      <c r="J70" s="358">
        <f>IF(I70&gt;H70, 1, 0)</f>
        <v>1</v>
      </c>
      <c r="K70" s="244">
        <f>+D70+H70</f>
        <v>215</v>
      </c>
      <c r="L70" s="292">
        <f>E70+I70</f>
        <v>230</v>
      </c>
      <c r="M70" s="358">
        <f>IF(L70&gt;K70, 1, 0)</f>
        <v>1</v>
      </c>
      <c r="N70" s="320">
        <f>(+H70-D70)</f>
        <v>-9</v>
      </c>
      <c r="O70" s="359">
        <f>I70-E70</f>
        <v>-16</v>
      </c>
      <c r="P70" s="410">
        <f>IF(OR(AND(N70&gt;0,O70&gt;0),AND(N70&lt;0,O70&lt;0)),1,0)</f>
        <v>1</v>
      </c>
      <c r="Q70" s="289">
        <f>WEEKNUM(tblResultadosNBA[[#This Row],[Fecha]],2)</f>
        <v>44</v>
      </c>
      <c r="R70" t="str">
        <f>TEXT(tblResultadosNBA[[#This Row],[Fecha]],"mmm")</f>
        <v>oct</v>
      </c>
    </row>
    <row r="71" spans="1:18">
      <c r="A71" s="419">
        <v>45960</v>
      </c>
      <c r="B71" s="302" t="s">
        <v>470</v>
      </c>
      <c r="C71" s="177" t="str">
        <f>LEFT(B71,FIND("@",B71)-2)</f>
        <v>Golden State Warriors</v>
      </c>
      <c r="D71" s="177">
        <v>108</v>
      </c>
      <c r="E71" s="336">
        <v>110</v>
      </c>
      <c r="F71" s="327">
        <f>IF(E71&gt;D71, 1, 0)</f>
        <v>1</v>
      </c>
      <c r="G71" s="177" t="str">
        <f>MID(B71,FIND("@",B71)+2,LEN(B71)-FIND("@",B71)-1)</f>
        <v>Milwaukee Bucks</v>
      </c>
      <c r="H71" s="177">
        <v>114</v>
      </c>
      <c r="I71" s="336">
        <v>120</v>
      </c>
      <c r="J71" s="327">
        <f>IF(I71&gt;H71, 1, 0)</f>
        <v>1</v>
      </c>
      <c r="K71" s="177">
        <f>+D71+H71</f>
        <v>222</v>
      </c>
      <c r="L71" s="336">
        <f>E71+I71</f>
        <v>230</v>
      </c>
      <c r="M71" s="327">
        <f>IF(L71&gt;K71, 1, 0)</f>
        <v>1</v>
      </c>
      <c r="N71" s="337">
        <f>(+H71-D71)</f>
        <v>6</v>
      </c>
      <c r="O71" s="355">
        <f>I71-E71</f>
        <v>10</v>
      </c>
      <c r="P71" s="405">
        <f>IF(OR(AND(N71&gt;0,O71&gt;0),AND(N71&lt;0,O71&lt;0)),1,0)</f>
        <v>1</v>
      </c>
      <c r="Q71" s="289">
        <f>WEEKNUM(tblResultadosNBA[[#This Row],[Fecha]],2)</f>
        <v>44</v>
      </c>
      <c r="R71" t="str">
        <f>TEXT(tblResultadosNBA[[#This Row],[Fecha]],"mmm")</f>
        <v>oct</v>
      </c>
    </row>
    <row r="72" spans="1:18">
      <c r="A72" s="419">
        <v>45960</v>
      </c>
      <c r="B72" s="302" t="s">
        <v>471</v>
      </c>
      <c r="C72" s="177" t="str">
        <f>LEFT(B72,FIND("@",B72)-2)</f>
        <v>Washington Wizards</v>
      </c>
      <c r="D72" s="177">
        <v>115</v>
      </c>
      <c r="E72" s="336">
        <v>108</v>
      </c>
      <c r="F72" s="327">
        <f>IF(E72&gt;D72, 1, 0)</f>
        <v>0</v>
      </c>
      <c r="G72" s="177" t="str">
        <f>MID(B72,FIND("@",B72)+2,LEN(B72)-FIND("@",B72)-1)</f>
        <v>Oklahoma City Thunder</v>
      </c>
      <c r="H72" s="177">
        <v>121</v>
      </c>
      <c r="I72" s="336">
        <v>127</v>
      </c>
      <c r="J72" s="327">
        <f>IF(I72&gt;H72, 1, 0)</f>
        <v>1</v>
      </c>
      <c r="K72" s="177">
        <f>+D72+H72</f>
        <v>236</v>
      </c>
      <c r="L72" s="336">
        <f>E72+I72</f>
        <v>235</v>
      </c>
      <c r="M72" s="327">
        <f>IF(L72&gt;K72, 1, 0)</f>
        <v>0</v>
      </c>
      <c r="N72" s="337">
        <f>(+H72-D72)</f>
        <v>6</v>
      </c>
      <c r="O72" s="355">
        <f>I72-E72</f>
        <v>19</v>
      </c>
      <c r="P72" s="405">
        <f>IF(OR(AND(N72&gt;0,O72&gt;0),AND(N72&lt;0,O72&lt;0)),1,0)</f>
        <v>1</v>
      </c>
      <c r="Q72" s="289">
        <f>WEEKNUM(tblResultadosNBA[[#This Row],[Fecha]],2)</f>
        <v>44</v>
      </c>
      <c r="R72" t="str">
        <f>TEXT(tblResultadosNBA[[#This Row],[Fecha]],"mmm")</f>
        <v>oct</v>
      </c>
    </row>
    <row r="73" spans="1:18">
      <c r="A73" s="445">
        <v>45960</v>
      </c>
      <c r="B73" s="328" t="s">
        <v>472</v>
      </c>
      <c r="C73" s="299" t="str">
        <f>LEFT(B73,FIND("@",B73)-2)</f>
        <v>Miami Heat</v>
      </c>
      <c r="D73" s="299">
        <v>112</v>
      </c>
      <c r="E73" s="309">
        <v>101</v>
      </c>
      <c r="F73" s="334">
        <f>IF(E73&gt;D73, 1, 0)</f>
        <v>0</v>
      </c>
      <c r="G73" s="299" t="str">
        <f>MID(B73,FIND("@",B73)+2,LEN(B73)-FIND("@",B73)-1)</f>
        <v>San Antonio Spurs</v>
      </c>
      <c r="H73" s="299">
        <v>108</v>
      </c>
      <c r="I73" s="309">
        <v>107</v>
      </c>
      <c r="J73" s="334">
        <f>IF(I73&gt;H73, 1, 0)</f>
        <v>0</v>
      </c>
      <c r="K73" s="299">
        <f>+D73+H73</f>
        <v>220</v>
      </c>
      <c r="L73" s="309">
        <f>E73+I73</f>
        <v>208</v>
      </c>
      <c r="M73" s="334">
        <f>IF(L73&gt;K73, 1, 0)</f>
        <v>0</v>
      </c>
      <c r="N73" s="321">
        <f>(+H73-D73)</f>
        <v>-4</v>
      </c>
      <c r="O73" s="360">
        <f>I73-E73</f>
        <v>6</v>
      </c>
      <c r="P73" s="408">
        <f>IF(OR(AND(N73&gt;0,O73&gt;0),AND(N73&lt;0,O73&lt;0)),1,0)</f>
        <v>0</v>
      </c>
      <c r="Q73" s="433">
        <f>WEEKNUM(tblResultadosNBA[[#This Row],[Fecha]],2)</f>
        <v>44</v>
      </c>
      <c r="R73" s="433" t="str">
        <f>TEXT(tblResultadosNBA[[#This Row],[Fecha]],"mmm")</f>
        <v>oct</v>
      </c>
    </row>
    <row r="74" spans="1:18">
      <c r="A74" s="439">
        <v>45961</v>
      </c>
      <c r="B74" s="329" t="s">
        <v>473</v>
      </c>
      <c r="C74" s="244" t="str">
        <f>LEFT(B74,FIND("@",B74)-2)</f>
        <v>Atlanta Hawks</v>
      </c>
      <c r="D74" s="244">
        <v>112</v>
      </c>
      <c r="E74" s="292">
        <v>128</v>
      </c>
      <c r="F74" s="358">
        <f>IF(E74&gt;D74, 1, 0)</f>
        <v>1</v>
      </c>
      <c r="G74" s="244" t="str">
        <f>MID(B74,FIND("@",B74)+2,LEN(B74)-FIND("@",B74)-1)</f>
        <v>Indiana Pacers</v>
      </c>
      <c r="H74" s="244">
        <v>115</v>
      </c>
      <c r="I74" s="292">
        <v>108</v>
      </c>
      <c r="J74" s="358">
        <f>IF(I74&gt;H74, 1, 0)</f>
        <v>0</v>
      </c>
      <c r="K74" s="244">
        <f>+D74+H74</f>
        <v>227</v>
      </c>
      <c r="L74" s="292">
        <f>E74+I74</f>
        <v>236</v>
      </c>
      <c r="M74" s="358">
        <f>IF(L74&gt;K74, 1, 0)</f>
        <v>1</v>
      </c>
      <c r="N74" s="320">
        <f>(+H74-D74)</f>
        <v>3</v>
      </c>
      <c r="O74" s="359">
        <f>I74-E74</f>
        <v>-20</v>
      </c>
      <c r="P74" s="410">
        <f>IF(OR(AND(N74&gt;0,O74&gt;0),AND(N74&lt;0,O74&lt;0)),1,0)</f>
        <v>0</v>
      </c>
      <c r="Q74" s="289">
        <f>WEEKNUM(tblResultadosNBA[[#This Row],[Fecha]],2)</f>
        <v>44</v>
      </c>
      <c r="R74" t="str">
        <f>TEXT(tblResultadosNBA[[#This Row],[Fecha]],"mmm")</f>
        <v>oct</v>
      </c>
    </row>
    <row r="75" spans="1:18">
      <c r="A75" s="419">
        <v>45961</v>
      </c>
      <c r="B75" s="302" t="s">
        <v>474</v>
      </c>
      <c r="C75" s="177" t="str">
        <f>LEFT(B75,FIND("@",B75)-2)</f>
        <v>Boston Celtics</v>
      </c>
      <c r="D75" s="177">
        <v>105</v>
      </c>
      <c r="E75" s="336">
        <v>109</v>
      </c>
      <c r="F75" s="327">
        <f>IF(E75&gt;D75, 1, 0)</f>
        <v>1</v>
      </c>
      <c r="G75" s="177" t="str">
        <f>MID(B75,FIND("@",B75)+2,LEN(B75)-FIND("@",B75)-1)</f>
        <v>Philadelphia 76ers</v>
      </c>
      <c r="H75" s="177">
        <v>118</v>
      </c>
      <c r="I75" s="336">
        <v>108</v>
      </c>
      <c r="J75" s="327">
        <f>IF(I75&gt;H75, 1, 0)</f>
        <v>0</v>
      </c>
      <c r="K75" s="177">
        <f>+D75+H75</f>
        <v>223</v>
      </c>
      <c r="L75" s="336">
        <f>E75+I75</f>
        <v>217</v>
      </c>
      <c r="M75" s="327">
        <f>IF(L75&gt;K75, 1, 0)</f>
        <v>0</v>
      </c>
      <c r="N75" s="337">
        <f>(+H75-D75)</f>
        <v>13</v>
      </c>
      <c r="O75" s="355">
        <f>I75-E75</f>
        <v>-1</v>
      </c>
      <c r="P75" s="405">
        <f>IF(OR(AND(N75&gt;0,O75&gt;0),AND(N75&lt;0,O75&lt;0)),1,0)</f>
        <v>0</v>
      </c>
      <c r="Q75" s="289">
        <f>WEEKNUM(tblResultadosNBA[[#This Row],[Fecha]],2)</f>
        <v>44</v>
      </c>
      <c r="R75" t="str">
        <f>TEXT(tblResultadosNBA[[#This Row],[Fecha]],"mmm")</f>
        <v>oct</v>
      </c>
    </row>
    <row r="76" spans="1:18">
      <c r="A76" s="419">
        <v>45961</v>
      </c>
      <c r="B76" s="302" t="s">
        <v>48</v>
      </c>
      <c r="C76" s="177" t="str">
        <f>LEFT(B76,FIND("@",B76)-2)</f>
        <v>Toronto Raptors</v>
      </c>
      <c r="D76" s="177">
        <v>115</v>
      </c>
      <c r="E76" s="336">
        <v>112</v>
      </c>
      <c r="F76" s="327">
        <f>IF(E76&gt;D76, 1, 0)</f>
        <v>0</v>
      </c>
      <c r="G76" s="177" t="str">
        <f>MID(B76,FIND("@",B76)+2,LEN(B76)-FIND("@",B76)-1)</f>
        <v>Cleveland Cavaliers</v>
      </c>
      <c r="H76" s="177">
        <v>117</v>
      </c>
      <c r="I76" s="336">
        <v>101</v>
      </c>
      <c r="J76" s="327">
        <f>IF(I76&gt;H76, 1, 0)</f>
        <v>0</v>
      </c>
      <c r="K76" s="177">
        <f>+D76+H76</f>
        <v>232</v>
      </c>
      <c r="L76" s="336">
        <f>E76+I76</f>
        <v>213</v>
      </c>
      <c r="M76" s="327">
        <f>IF(L76&gt;K76, 1, 0)</f>
        <v>0</v>
      </c>
      <c r="N76" s="337">
        <f>(+H76-D76)</f>
        <v>2</v>
      </c>
      <c r="O76" s="355">
        <f>I76-E76</f>
        <v>-11</v>
      </c>
      <c r="P76" s="405">
        <f>IF(OR(AND(N76&gt;0,O76&gt;0),AND(N76&lt;0,O76&lt;0)),1,0)</f>
        <v>0</v>
      </c>
      <c r="Q76" s="289">
        <f>WEEKNUM(tblResultadosNBA[[#This Row],[Fecha]],2)</f>
        <v>44</v>
      </c>
      <c r="R76" t="str">
        <f>TEXT(tblResultadosNBA[[#This Row],[Fecha]],"mmm")</f>
        <v>oct</v>
      </c>
    </row>
    <row r="77" spans="1:18">
      <c r="A77" s="419">
        <v>45961</v>
      </c>
      <c r="B77" s="302" t="s">
        <v>475</v>
      </c>
      <c r="C77" s="177" t="str">
        <f>LEFT(B77,FIND("@",B77)-2)</f>
        <v>New York Knicks</v>
      </c>
      <c r="D77" s="177">
        <v>117</v>
      </c>
      <c r="E77" s="336">
        <v>125</v>
      </c>
      <c r="F77" s="327">
        <f>IF(E77&gt;D77, 1, 0)</f>
        <v>1</v>
      </c>
      <c r="G77" s="177" t="str">
        <f>MID(B77,FIND("@",B77)+2,LEN(B77)-FIND("@",B77)-1)</f>
        <v>Chicago Bulls</v>
      </c>
      <c r="H77" s="177">
        <v>114</v>
      </c>
      <c r="I77" s="336">
        <v>135</v>
      </c>
      <c r="J77" s="327">
        <f>IF(I77&gt;H77, 1, 0)</f>
        <v>1</v>
      </c>
      <c r="K77" s="177">
        <f>+D77+H77</f>
        <v>231</v>
      </c>
      <c r="L77" s="336">
        <f>E77+I77</f>
        <v>260</v>
      </c>
      <c r="M77" s="327">
        <f>IF(L77&gt;K77, 1, 0)</f>
        <v>1</v>
      </c>
      <c r="N77" s="337">
        <f>(+H77-D77)</f>
        <v>-3</v>
      </c>
      <c r="O77" s="355">
        <f>I77-E77</f>
        <v>10</v>
      </c>
      <c r="P77" s="405">
        <f>IF(OR(AND(N77&gt;0,O77&gt;0),AND(N77&lt;0,O77&lt;0)),1,0)</f>
        <v>0</v>
      </c>
      <c r="Q77" s="289">
        <f>WEEKNUM(tblResultadosNBA[[#This Row],[Fecha]],2)</f>
        <v>44</v>
      </c>
      <c r="R77" t="str">
        <f>TEXT(tblResultadosNBA[[#This Row],[Fecha]],"mmm")</f>
        <v>oct</v>
      </c>
    </row>
    <row r="78" spans="1:18">
      <c r="A78" s="419">
        <v>45961</v>
      </c>
      <c r="B78" s="302" t="s">
        <v>476</v>
      </c>
      <c r="C78" s="177" t="str">
        <f>LEFT(B78,FIND("@",B78)-2)</f>
        <v>Los Angeles Lakers</v>
      </c>
      <c r="D78" s="177">
        <v>112</v>
      </c>
      <c r="E78" s="336">
        <v>117</v>
      </c>
      <c r="F78" s="327">
        <f>IF(E78&gt;D78, 1, 0)</f>
        <v>1</v>
      </c>
      <c r="G78" s="177" t="str">
        <f>MID(B78,FIND("@",B78)+2,LEN(B78)-FIND("@",B78)-1)</f>
        <v>Memphis Grizzlies</v>
      </c>
      <c r="H78" s="177">
        <v>121</v>
      </c>
      <c r="I78" s="336">
        <v>112</v>
      </c>
      <c r="J78" s="327">
        <f>IF(I78&gt;H78, 1, 0)</f>
        <v>0</v>
      </c>
      <c r="K78" s="177">
        <f>+D78+H78</f>
        <v>233</v>
      </c>
      <c r="L78" s="336">
        <f>E78+I78</f>
        <v>229</v>
      </c>
      <c r="M78" s="327">
        <f>IF(L78&gt;K78, 1, 0)</f>
        <v>0</v>
      </c>
      <c r="N78" s="337">
        <f>(+H78-D78)</f>
        <v>9</v>
      </c>
      <c r="O78" s="355">
        <f>I78-E78</f>
        <v>-5</v>
      </c>
      <c r="P78" s="405">
        <f>IF(OR(AND(N78&gt;0,O78&gt;0),AND(N78&lt;0,O78&lt;0)),1,0)</f>
        <v>0</v>
      </c>
      <c r="Q78" s="289">
        <f>WEEKNUM(tblResultadosNBA[[#This Row],[Fecha]],2)</f>
        <v>44</v>
      </c>
      <c r="R78" t="str">
        <f>TEXT(tblResultadosNBA[[#This Row],[Fecha]],"mmm")</f>
        <v>oct</v>
      </c>
    </row>
    <row r="79" spans="1:18">
      <c r="A79" s="419">
        <v>45961</v>
      </c>
      <c r="B79" s="302" t="s">
        <v>477</v>
      </c>
      <c r="C79" s="177" t="str">
        <f>LEFT(B79,FIND("@",B79)-2)</f>
        <v>Utah Jazz</v>
      </c>
      <c r="D79" s="177">
        <v>115</v>
      </c>
      <c r="E79" s="336">
        <v>96</v>
      </c>
      <c r="F79" s="327">
        <f>IF(E79&gt;D79, 1, 0)</f>
        <v>0</v>
      </c>
      <c r="G79" s="177" t="str">
        <f>MID(B79,FIND("@",B79)+2,LEN(B79)-FIND("@",B79)-1)</f>
        <v>Phoenix Suns</v>
      </c>
      <c r="H79" s="177">
        <v>111</v>
      </c>
      <c r="I79" s="336">
        <v>118</v>
      </c>
      <c r="J79" s="327">
        <f>IF(I79&gt;H79, 1, 0)</f>
        <v>1</v>
      </c>
      <c r="K79" s="177">
        <f>+D79+H79</f>
        <v>226</v>
      </c>
      <c r="L79" s="336">
        <f>E79+I79</f>
        <v>214</v>
      </c>
      <c r="M79" s="327">
        <f>IF(L79&gt;K79, 1, 0)</f>
        <v>0</v>
      </c>
      <c r="N79" s="337">
        <f>(+H79-D79)</f>
        <v>-4</v>
      </c>
      <c r="O79" s="355">
        <f>I79-E79</f>
        <v>22</v>
      </c>
      <c r="P79" s="405">
        <f>IF(OR(AND(N79&gt;0,O79&gt;0),AND(N79&lt;0,O79&lt;0)),1,0)</f>
        <v>0</v>
      </c>
      <c r="Q79" s="289">
        <f>WEEKNUM(tblResultadosNBA[[#This Row],[Fecha]],2)</f>
        <v>44</v>
      </c>
      <c r="R79" t="str">
        <f>TEXT(tblResultadosNBA[[#This Row],[Fecha]],"mmm")</f>
        <v>oct</v>
      </c>
    </row>
    <row r="80" spans="1:18">
      <c r="A80" s="419">
        <v>45961</v>
      </c>
      <c r="B80" s="302" t="s">
        <v>478</v>
      </c>
      <c r="C80" s="177" t="str">
        <f>LEFT(B80,FIND("@",B80)-2)</f>
        <v>Denver Nuggets</v>
      </c>
      <c r="D80" s="177">
        <v>110</v>
      </c>
      <c r="E80" s="336">
        <v>107</v>
      </c>
      <c r="F80" s="327">
        <f>IF(E80&gt;D80, 1, 0)</f>
        <v>0</v>
      </c>
      <c r="G80" s="177" t="str">
        <f>MID(B80,FIND("@",B80)+2,LEN(B80)-FIND("@",B80)-1)</f>
        <v>Portland Trail Blazers</v>
      </c>
      <c r="H80" s="177">
        <v>117</v>
      </c>
      <c r="I80" s="336">
        <v>109</v>
      </c>
      <c r="J80" s="327">
        <f>IF(I80&gt;H80, 1, 0)</f>
        <v>0</v>
      </c>
      <c r="K80" s="177">
        <f>+D80+H80</f>
        <v>227</v>
      </c>
      <c r="L80" s="336">
        <f>E80+I80</f>
        <v>216</v>
      </c>
      <c r="M80" s="327">
        <f>IF(L80&gt;K80, 1, 0)</f>
        <v>0</v>
      </c>
      <c r="N80" s="337">
        <f>(+H80-D80)</f>
        <v>7</v>
      </c>
      <c r="O80" s="355">
        <f>I80-E80</f>
        <v>2</v>
      </c>
      <c r="P80" s="405">
        <f>IF(OR(AND(N80&gt;0,O80&gt;0),AND(N80&lt;0,O80&lt;0)),1,0)</f>
        <v>1</v>
      </c>
      <c r="Q80" s="289">
        <f>WEEKNUM(tblResultadosNBA[[#This Row],[Fecha]],2)</f>
        <v>44</v>
      </c>
      <c r="R80" t="str">
        <f>TEXT(tblResultadosNBA[[#This Row],[Fecha]],"mmm")</f>
        <v>oct</v>
      </c>
    </row>
    <row r="81" spans="1:18">
      <c r="A81" s="445">
        <v>45961</v>
      </c>
      <c r="B81" s="328" t="s">
        <v>479</v>
      </c>
      <c r="C81" s="299" t="str">
        <f>LEFT(B81,FIND("@",B81)-2)</f>
        <v>New Orleans Pelicans</v>
      </c>
      <c r="D81" s="299">
        <v>108</v>
      </c>
      <c r="E81" s="309">
        <v>124</v>
      </c>
      <c r="F81" s="334">
        <f>IF(E81&gt;D81, 1, 0)</f>
        <v>1</v>
      </c>
      <c r="G81" s="299" t="str">
        <f>MID(B81,FIND("@",B81)+2,LEN(B81)-FIND("@",B81)-1)</f>
        <v>LA Clippers</v>
      </c>
      <c r="H81" s="299">
        <v>115</v>
      </c>
      <c r="I81" s="309">
        <v>126</v>
      </c>
      <c r="J81" s="334">
        <f>IF(I81&gt;H81, 1, 0)</f>
        <v>1</v>
      </c>
      <c r="K81" s="299">
        <f>+D81+H81</f>
        <v>223</v>
      </c>
      <c r="L81" s="309">
        <f>E81+I81</f>
        <v>250</v>
      </c>
      <c r="M81" s="334">
        <f>IF(L81&gt;K81, 1, 0)</f>
        <v>1</v>
      </c>
      <c r="N81" s="321">
        <f>(+H81-D81)</f>
        <v>7</v>
      </c>
      <c r="O81" s="360">
        <f>I81-E81</f>
        <v>2</v>
      </c>
      <c r="P81" s="408">
        <f>IF(OR(AND(N81&gt;0,O81&gt;0),AND(N81&lt;0,O81&lt;0)),1,0)</f>
        <v>1</v>
      </c>
      <c r="Q81" s="433">
        <f>WEEKNUM(tblResultadosNBA[[#This Row],[Fecha]],2)</f>
        <v>44</v>
      </c>
      <c r="R81" s="433" t="str">
        <f>TEXT(tblResultadosNBA[[#This Row],[Fecha]],"mmm")</f>
        <v>oct</v>
      </c>
    </row>
    <row r="82" spans="1:18">
      <c r="A82" s="439">
        <v>45962</v>
      </c>
      <c r="B82" s="329" t="s">
        <v>480</v>
      </c>
      <c r="C82" s="244" t="str">
        <f>LEFT(B82,FIND("@",B82)-2)</f>
        <v>Sacramento Kings</v>
      </c>
      <c r="D82" s="244">
        <v>112</v>
      </c>
      <c r="E82" s="292">
        <v>135</v>
      </c>
      <c r="F82" s="358">
        <f>IF(E82&gt;D82, 1, 0)</f>
        <v>1</v>
      </c>
      <c r="G82" s="244" t="str">
        <f>MID(B82,FIND("@",B82)+2,LEN(B82)-FIND("@",B82)-1)</f>
        <v>Milwaukee Bucks</v>
      </c>
      <c r="H82" s="244">
        <v>125</v>
      </c>
      <c r="I82" s="292">
        <v>133</v>
      </c>
      <c r="J82" s="358">
        <f>IF(I82&gt;H82, 1, 0)</f>
        <v>1</v>
      </c>
      <c r="K82" s="244">
        <f>+D82+H82</f>
        <v>237</v>
      </c>
      <c r="L82" s="292">
        <f>E82+I82</f>
        <v>268</v>
      </c>
      <c r="M82" s="358">
        <f>IF(L82&gt;K82, 1, 0)</f>
        <v>1</v>
      </c>
      <c r="N82" s="320">
        <f>(+H82-D82)</f>
        <v>13</v>
      </c>
      <c r="O82" s="359">
        <f>I82-E82</f>
        <v>-2</v>
      </c>
      <c r="P82" s="410">
        <f>IF(OR(AND(N82&gt;0,O82&gt;0),AND(N82&lt;0,O82&lt;0)),1,0)</f>
        <v>0</v>
      </c>
      <c r="Q82" s="289">
        <f>WEEKNUM(tblResultadosNBA[[#This Row],[Fecha]],2)</f>
        <v>44</v>
      </c>
      <c r="R82" t="str">
        <f>TEXT(tblResultadosNBA[[#This Row],[Fecha]],"mmm")</f>
        <v>nov</v>
      </c>
    </row>
    <row r="83" spans="1:18">
      <c r="A83" s="419">
        <v>45962</v>
      </c>
      <c r="B83" s="302" t="s">
        <v>481</v>
      </c>
      <c r="C83" s="177" t="str">
        <f>LEFT(B83,FIND("@",B83)-2)</f>
        <v>Minnesota Timberwolves</v>
      </c>
      <c r="D83" s="177">
        <v>114</v>
      </c>
      <c r="E83" s="336">
        <v>122</v>
      </c>
      <c r="F83" s="327">
        <f>IF(E83&gt;D83, 1, 0)</f>
        <v>1</v>
      </c>
      <c r="G83" s="177" t="str">
        <f>MID(B83,FIND("@",B83)+2,LEN(B83)-FIND("@",B83)-1)</f>
        <v>Charlotte Hornets</v>
      </c>
      <c r="H83" s="177">
        <v>115</v>
      </c>
      <c r="I83" s="336">
        <v>105</v>
      </c>
      <c r="J83" s="327">
        <f>IF(I83&gt;H83, 1, 0)</f>
        <v>0</v>
      </c>
      <c r="K83" s="177">
        <f>+D83+H83</f>
        <v>229</v>
      </c>
      <c r="L83" s="336">
        <f>E83+I83</f>
        <v>227</v>
      </c>
      <c r="M83" s="327">
        <f>IF(L83&gt;K83, 1, 0)</f>
        <v>0</v>
      </c>
      <c r="N83" s="337">
        <f>(+H83-D83)</f>
        <v>1</v>
      </c>
      <c r="O83" s="355">
        <f>I83-E83</f>
        <v>-17</v>
      </c>
      <c r="P83" s="405">
        <f>IF(OR(AND(N83&gt;0,O83&gt;0),AND(N83&lt;0,O83&lt;0)),1,0)</f>
        <v>0</v>
      </c>
      <c r="Q83" s="289">
        <f>WEEKNUM(tblResultadosNBA[[#This Row],[Fecha]],2)</f>
        <v>44</v>
      </c>
      <c r="R83" t="str">
        <f>TEXT(tblResultadosNBA[[#This Row],[Fecha]],"mmm")</f>
        <v>nov</v>
      </c>
    </row>
    <row r="84" spans="1:18">
      <c r="A84" s="419">
        <v>45962</v>
      </c>
      <c r="B84" s="302" t="s">
        <v>482</v>
      </c>
      <c r="C84" s="177" t="str">
        <f>LEFT(B84,FIND("@",B84)-2)</f>
        <v>Golden State Warriors</v>
      </c>
      <c r="D84" s="177">
        <v>116</v>
      </c>
      <c r="E84" s="336">
        <v>109</v>
      </c>
      <c r="F84" s="327">
        <f>IF(E84&gt;D84, 1, 0)</f>
        <v>0</v>
      </c>
      <c r="G84" s="177" t="str">
        <f>MID(B84,FIND("@",B84)+2,LEN(B84)-FIND("@",B84)-1)</f>
        <v>Indiana Pacers</v>
      </c>
      <c r="H84" s="177">
        <v>118</v>
      </c>
      <c r="I84" s="336">
        <v>114</v>
      </c>
      <c r="J84" s="327">
        <f>IF(I84&gt;H84, 1, 0)</f>
        <v>0</v>
      </c>
      <c r="K84" s="177">
        <f>+D84+H84</f>
        <v>234</v>
      </c>
      <c r="L84" s="336">
        <f>E84+I84</f>
        <v>223</v>
      </c>
      <c r="M84" s="327">
        <f>IF(L84&gt;K84, 1, 0)</f>
        <v>0</v>
      </c>
      <c r="N84" s="337">
        <f>(+H84-D84)</f>
        <v>2</v>
      </c>
      <c r="O84" s="355">
        <f>I84-E84</f>
        <v>5</v>
      </c>
      <c r="P84" s="405">
        <f>IF(OR(AND(N84&gt;0,O84&gt;0),AND(N84&lt;0,O84&lt;0)),1,0)</f>
        <v>1</v>
      </c>
      <c r="Q84" s="289">
        <f>WEEKNUM(tblResultadosNBA[[#This Row],[Fecha]],2)</f>
        <v>44</v>
      </c>
      <c r="R84" t="str">
        <f>TEXT(tblResultadosNBA[[#This Row],[Fecha]],"mmm")</f>
        <v>nov</v>
      </c>
    </row>
    <row r="85" spans="1:18">
      <c r="A85" s="419">
        <v>45962</v>
      </c>
      <c r="B85" s="302" t="s">
        <v>273</v>
      </c>
      <c r="C85" s="177" t="str">
        <f>LEFT(B85,FIND("@",B85)-2)</f>
        <v>Orlando Magic</v>
      </c>
      <c r="D85" s="177">
        <v>107</v>
      </c>
      <c r="E85" s="336">
        <v>125</v>
      </c>
      <c r="F85" s="327">
        <f>IF(E85&gt;D85, 1, 0)</f>
        <v>1</v>
      </c>
      <c r="G85" s="177" t="str">
        <f>MID(B85,FIND("@",B85)+2,LEN(B85)-FIND("@",B85)-1)</f>
        <v>Washington Wizards</v>
      </c>
      <c r="H85" s="177">
        <v>114</v>
      </c>
      <c r="I85" s="336">
        <v>94</v>
      </c>
      <c r="J85" s="327">
        <f>IF(I85&gt;H85, 1, 0)</f>
        <v>0</v>
      </c>
      <c r="K85" s="177">
        <f>+D85+H85</f>
        <v>221</v>
      </c>
      <c r="L85" s="336">
        <f>E85+I85</f>
        <v>219</v>
      </c>
      <c r="M85" s="327">
        <f>IF(L85&gt;K85, 1, 0)</f>
        <v>0</v>
      </c>
      <c r="N85" s="337">
        <f>(+H85-D85)</f>
        <v>7</v>
      </c>
      <c r="O85" s="355">
        <f>I85-E85</f>
        <v>-31</v>
      </c>
      <c r="P85" s="405">
        <f>IF(OR(AND(N85&gt;0,O85&gt;0),AND(N85&lt;0,O85&lt;0)),1,0)</f>
        <v>0</v>
      </c>
      <c r="Q85" s="289">
        <f>WEEKNUM(tblResultadosNBA[[#This Row],[Fecha]],2)</f>
        <v>44</v>
      </c>
      <c r="R85" t="str">
        <f>TEXT(tblResultadosNBA[[#This Row],[Fecha]],"mmm")</f>
        <v>nov</v>
      </c>
    </row>
    <row r="86" spans="1:18">
      <c r="A86" s="419">
        <v>45962</v>
      </c>
      <c r="B86" s="302" t="s">
        <v>483</v>
      </c>
      <c r="C86" s="177" t="str">
        <f>LEFT(B86,FIND("@",B86)-2)</f>
        <v>Houston Rockets</v>
      </c>
      <c r="D86" s="177">
        <v>105</v>
      </c>
      <c r="E86" s="336">
        <v>128</v>
      </c>
      <c r="F86" s="327">
        <f>IF(E86&gt;D86, 1, 0)</f>
        <v>1</v>
      </c>
      <c r="G86" s="177" t="str">
        <f>MID(B86,FIND("@",B86)+2,LEN(B86)-FIND("@",B86)-1)</f>
        <v>Boston Celtics</v>
      </c>
      <c r="H86" s="177">
        <v>114</v>
      </c>
      <c r="I86" s="336">
        <v>101</v>
      </c>
      <c r="J86" s="327">
        <f>IF(I86&gt;H86, 1, 0)</f>
        <v>0</v>
      </c>
      <c r="K86" s="177">
        <f>+D86+H86</f>
        <v>219</v>
      </c>
      <c r="L86" s="336">
        <f>E86+I86</f>
        <v>229</v>
      </c>
      <c r="M86" s="327">
        <f>IF(L86&gt;K86, 1, 0)</f>
        <v>1</v>
      </c>
      <c r="N86" s="337">
        <f>(+H86-D86)</f>
        <v>9</v>
      </c>
      <c r="O86" s="355">
        <f>I86-E86</f>
        <v>-27</v>
      </c>
      <c r="P86" s="405">
        <f>IF(OR(AND(N86&gt;0,O86&gt;0),AND(N86&lt;0,O86&lt;0)),1,0)</f>
        <v>0</v>
      </c>
      <c r="Q86" s="289">
        <f>WEEKNUM(tblResultadosNBA[[#This Row],[Fecha]],2)</f>
        <v>44</v>
      </c>
      <c r="R86" t="str">
        <f>TEXT(tblResultadosNBA[[#This Row],[Fecha]],"mmm")</f>
        <v>nov</v>
      </c>
    </row>
    <row r="87" spans="1:18">
      <c r="A87" s="445">
        <v>45962</v>
      </c>
      <c r="B87" s="328" t="s">
        <v>484</v>
      </c>
      <c r="C87" s="299" t="str">
        <f>LEFT(B87,FIND("@",B87)-2)</f>
        <v>Dallas Mavericks</v>
      </c>
      <c r="D87" s="299">
        <v>104</v>
      </c>
      <c r="E87" s="309">
        <v>110</v>
      </c>
      <c r="F87" s="334">
        <f>IF(E87&gt;D87, 1, 0)</f>
        <v>1</v>
      </c>
      <c r="G87" s="299" t="str">
        <f>MID(B87,FIND("@",B87)+2,LEN(B87)-FIND("@",B87)-1)</f>
        <v>Detroit Pistons</v>
      </c>
      <c r="H87" s="299">
        <v>117</v>
      </c>
      <c r="I87" s="309">
        <v>122</v>
      </c>
      <c r="J87" s="334">
        <f>IF(I87&gt;H87, 1, 0)</f>
        <v>1</v>
      </c>
      <c r="K87" s="299">
        <f>+D87+H87</f>
        <v>221</v>
      </c>
      <c r="L87" s="309">
        <f>E87+I87</f>
        <v>232</v>
      </c>
      <c r="M87" s="334">
        <f>IF(L87&gt;K87, 1, 0)</f>
        <v>1</v>
      </c>
      <c r="N87" s="321">
        <f>(+H87-D87)</f>
        <v>13</v>
      </c>
      <c r="O87" s="360">
        <f>I87-E87</f>
        <v>12</v>
      </c>
      <c r="P87" s="408">
        <f>IF(OR(AND(N87&gt;0,O87&gt;0),AND(N87&lt;0,O87&lt;0)),1,0)</f>
        <v>1</v>
      </c>
      <c r="Q87" s="433">
        <f>WEEKNUM(tblResultadosNBA[[#This Row],[Fecha]],2)</f>
        <v>44</v>
      </c>
      <c r="R87" s="433" t="str">
        <f>TEXT(tblResultadosNBA[[#This Row],[Fecha]],"mmm")</f>
        <v>nov</v>
      </c>
    </row>
    <row r="88" spans="1:18">
      <c r="A88" s="439">
        <v>45963</v>
      </c>
      <c r="B88" s="329" t="s">
        <v>305</v>
      </c>
      <c r="C88" s="244" t="str">
        <f>LEFT(B88,FIND("@",B88)-2)</f>
        <v>New Orleans Pelicans</v>
      </c>
      <c r="D88" s="244">
        <v>121</v>
      </c>
      <c r="E88" s="292">
        <v>106</v>
      </c>
      <c r="F88" s="358">
        <f>IF(E88&gt;D88, 1, 0)</f>
        <v>0</v>
      </c>
      <c r="G88" s="244" t="str">
        <f>MID(B88,FIND("@",B88)+2,LEN(B88)-FIND("@",B88)-1)</f>
        <v>Oklahoma City Thunder</v>
      </c>
      <c r="H88" s="244">
        <v>118</v>
      </c>
      <c r="I88" s="292">
        <v>137</v>
      </c>
      <c r="J88" s="358">
        <f>IF(I88&gt;H88, 1, 0)</f>
        <v>1</v>
      </c>
      <c r="K88" s="244">
        <f>+D88+H88</f>
        <v>239</v>
      </c>
      <c r="L88" s="292">
        <f>E88+I88</f>
        <v>243</v>
      </c>
      <c r="M88" s="358">
        <f>IF(L88&gt;K88, 1, 0)</f>
        <v>1</v>
      </c>
      <c r="N88" s="320">
        <f>(+H88-D88)</f>
        <v>-3</v>
      </c>
      <c r="O88" s="359">
        <f>I88-E88</f>
        <v>31</v>
      </c>
      <c r="P88" s="410">
        <f>IF(OR(AND(N88&gt;0,O88&gt;0),AND(N88&lt;0,O88&lt;0)),1,0)</f>
        <v>0</v>
      </c>
      <c r="Q88" s="289">
        <f>WEEKNUM(tblResultadosNBA[[#This Row],[Fecha]],2)</f>
        <v>44</v>
      </c>
      <c r="R88" t="str">
        <f>TEXT(tblResultadosNBA[[#This Row],[Fecha]],"mmm")</f>
        <v>nov</v>
      </c>
    </row>
    <row r="89" spans="1:18">
      <c r="A89" s="419">
        <v>45963</v>
      </c>
      <c r="B89" s="302" t="s">
        <v>112</v>
      </c>
      <c r="C89" s="177" t="str">
        <f>LEFT(B89,FIND("@",B89)-2)</f>
        <v>Philadelphia 76ers</v>
      </c>
      <c r="D89" s="177">
        <v>113</v>
      </c>
      <c r="E89" s="336">
        <v>129</v>
      </c>
      <c r="F89" s="327">
        <f>IF(E89&gt;D89, 1, 0)</f>
        <v>1</v>
      </c>
      <c r="G89" s="177" t="str">
        <f>MID(B89,FIND("@",B89)+2,LEN(B89)-FIND("@",B89)-1)</f>
        <v>Brooklyn Nets</v>
      </c>
      <c r="H89" s="177">
        <v>108</v>
      </c>
      <c r="I89" s="336">
        <v>105</v>
      </c>
      <c r="J89" s="327">
        <f>IF(I89&gt;H89, 1, 0)</f>
        <v>0</v>
      </c>
      <c r="K89" s="177">
        <f>+D89+H89</f>
        <v>221</v>
      </c>
      <c r="L89" s="336">
        <f>E89+I89</f>
        <v>234</v>
      </c>
      <c r="M89" s="327">
        <f>IF(L89&gt;K89, 1, 0)</f>
        <v>1</v>
      </c>
      <c r="N89" s="337">
        <f>(+H89-D89)</f>
        <v>-5</v>
      </c>
      <c r="O89" s="355">
        <f>I89-E89</f>
        <v>-24</v>
      </c>
      <c r="P89" s="405">
        <f>IF(OR(AND(N89&gt;0,O89&gt;0),AND(N89&lt;0,O89&lt;0)),1,0)</f>
        <v>1</v>
      </c>
      <c r="Q89" s="289">
        <f>WEEKNUM(tblResultadosNBA[[#This Row],[Fecha]],2)</f>
        <v>44</v>
      </c>
      <c r="R89" t="str">
        <f>TEXT(tblResultadosNBA[[#This Row],[Fecha]],"mmm")</f>
        <v>nov</v>
      </c>
    </row>
    <row r="90" spans="1:18">
      <c r="A90" s="419">
        <v>45963</v>
      </c>
      <c r="B90" s="302" t="s">
        <v>485</v>
      </c>
      <c r="C90" s="177" t="str">
        <f>LEFT(B90,FIND("@",B90)-2)</f>
        <v>Utah Jazz</v>
      </c>
      <c r="D90" s="177">
        <v>104</v>
      </c>
      <c r="E90" s="336">
        <v>103</v>
      </c>
      <c r="F90" s="327">
        <f>IF(E90&gt;D90, 1, 0)</f>
        <v>0</v>
      </c>
      <c r="G90" s="177" t="str">
        <f>MID(B90,FIND("@",B90)+2,LEN(B90)-FIND("@",B90)-1)</f>
        <v>Charlotte Hornets</v>
      </c>
      <c r="H90" s="177">
        <v>107</v>
      </c>
      <c r="I90" s="336">
        <v>126</v>
      </c>
      <c r="J90" s="327">
        <f>IF(I90&gt;H90, 1, 0)</f>
        <v>1</v>
      </c>
      <c r="K90" s="177">
        <f>+D90+H90</f>
        <v>211</v>
      </c>
      <c r="L90" s="336">
        <f>E90+I90</f>
        <v>229</v>
      </c>
      <c r="M90" s="327">
        <f>IF(L90&gt;K90, 1, 0)</f>
        <v>1</v>
      </c>
      <c r="N90" s="337">
        <f>(+H90-D90)</f>
        <v>3</v>
      </c>
      <c r="O90" s="355">
        <f>I90-E90</f>
        <v>23</v>
      </c>
      <c r="P90" s="405">
        <f>IF(OR(AND(N90&gt;0,O90&gt;0),AND(N90&lt;0,O90&lt;0)),1,0)</f>
        <v>1</v>
      </c>
      <c r="Q90" s="289">
        <f>WEEKNUM(tblResultadosNBA[[#This Row],[Fecha]],2)</f>
        <v>44</v>
      </c>
      <c r="R90" t="str">
        <f>TEXT(tblResultadosNBA[[#This Row],[Fecha]],"mmm")</f>
        <v>nov</v>
      </c>
    </row>
    <row r="91" spans="1:18">
      <c r="A91" s="419">
        <v>45963</v>
      </c>
      <c r="B91" s="302" t="s">
        <v>486</v>
      </c>
      <c r="C91" s="177" t="str">
        <f>LEFT(B91,FIND("@",B91)-2)</f>
        <v>Atlanta Hawks</v>
      </c>
      <c r="D91" s="177">
        <v>117</v>
      </c>
      <c r="E91" s="336">
        <v>109</v>
      </c>
      <c r="F91" s="327">
        <f>IF(E91&gt;D91, 1, 0)</f>
        <v>0</v>
      </c>
      <c r="G91" s="177" t="str">
        <f>MID(B91,FIND("@",B91)+2,LEN(B91)-FIND("@",B91)-1)</f>
        <v>Cleveland Cavaliers</v>
      </c>
      <c r="H91" s="177">
        <v>127</v>
      </c>
      <c r="I91" s="336">
        <v>117</v>
      </c>
      <c r="J91" s="327">
        <f>IF(I91&gt;H91, 1, 0)</f>
        <v>0</v>
      </c>
      <c r="K91" s="177">
        <f>+D91+H91</f>
        <v>244</v>
      </c>
      <c r="L91" s="336">
        <f>E91+I91</f>
        <v>226</v>
      </c>
      <c r="M91" s="327">
        <f>IF(L91&gt;K91, 1, 0)</f>
        <v>0</v>
      </c>
      <c r="N91" s="337">
        <f>(+H91-D91)</f>
        <v>10</v>
      </c>
      <c r="O91" s="355">
        <f>I91-E91</f>
        <v>8</v>
      </c>
      <c r="P91" s="405">
        <f>IF(OR(AND(N91&gt;0,O91&gt;0),AND(N91&lt;0,O91&lt;0)),1,0)</f>
        <v>1</v>
      </c>
      <c r="Q91" s="289">
        <f>WEEKNUM(tblResultadosNBA[[#This Row],[Fecha]],2)</f>
        <v>44</v>
      </c>
      <c r="R91" t="str">
        <f>TEXT(tblResultadosNBA[[#This Row],[Fecha]],"mmm")</f>
        <v>nov</v>
      </c>
    </row>
    <row r="92" spans="1:18">
      <c r="A92" s="419">
        <v>45963</v>
      </c>
      <c r="B92" s="302" t="s">
        <v>487</v>
      </c>
      <c r="C92" s="177" t="str">
        <f>LEFT(B92,FIND("@",B92)-2)</f>
        <v>Memphis Grizzlies</v>
      </c>
      <c r="D92" s="177">
        <v>116</v>
      </c>
      <c r="E92" s="336">
        <v>104</v>
      </c>
      <c r="F92" s="327">
        <f>IF(E92&gt;D92, 1, 0)</f>
        <v>0</v>
      </c>
      <c r="G92" s="177" t="str">
        <f>MID(B92,FIND("@",B92)+2,LEN(B92)-FIND("@",B92)-1)</f>
        <v>Toronto Raptors</v>
      </c>
      <c r="H92" s="177">
        <v>111</v>
      </c>
      <c r="I92" s="336">
        <v>117</v>
      </c>
      <c r="J92" s="327">
        <f>IF(I92&gt;H92, 1, 0)</f>
        <v>1</v>
      </c>
      <c r="K92" s="177">
        <f>+D92+H92</f>
        <v>227</v>
      </c>
      <c r="L92" s="336">
        <f>E92+I92</f>
        <v>221</v>
      </c>
      <c r="M92" s="327">
        <f>IF(L92&gt;K92, 1, 0)</f>
        <v>0</v>
      </c>
      <c r="N92" s="337">
        <f>(+H92-D92)</f>
        <v>-5</v>
      </c>
      <c r="O92" s="355">
        <f>I92-E92</f>
        <v>13</v>
      </c>
      <c r="P92" s="405">
        <f>IF(OR(AND(N92&gt;0,O92&gt;0),AND(N92&lt;0,O92&lt;0)),1,0)</f>
        <v>0</v>
      </c>
      <c r="Q92" s="289">
        <f>WEEKNUM(tblResultadosNBA[[#This Row],[Fecha]],2)</f>
        <v>44</v>
      </c>
      <c r="R92" t="str">
        <f>TEXT(tblResultadosNBA[[#This Row],[Fecha]],"mmm")</f>
        <v>nov</v>
      </c>
    </row>
    <row r="93" spans="1:18">
      <c r="A93" s="419">
        <v>45963</v>
      </c>
      <c r="B93" s="302" t="s">
        <v>488</v>
      </c>
      <c r="C93" s="177" t="str">
        <f>LEFT(B93,FIND("@",B93)-2)</f>
        <v>Chicago Bulls</v>
      </c>
      <c r="D93" s="177">
        <v>112</v>
      </c>
      <c r="E93" s="336">
        <v>116</v>
      </c>
      <c r="F93" s="327">
        <f>IF(E93&gt;D93, 1, 0)</f>
        <v>1</v>
      </c>
      <c r="G93" s="177" t="str">
        <f>MID(B93,FIND("@",B93)+2,LEN(B93)-FIND("@",B93)-1)</f>
        <v>New York Knicks</v>
      </c>
      <c r="H93" s="177">
        <v>120</v>
      </c>
      <c r="I93" s="336">
        <v>128</v>
      </c>
      <c r="J93" s="327">
        <f>IF(I93&gt;H93, 1, 0)</f>
        <v>1</v>
      </c>
      <c r="K93" s="177">
        <f>+D93+H93</f>
        <v>232</v>
      </c>
      <c r="L93" s="336">
        <f>E93+I93</f>
        <v>244</v>
      </c>
      <c r="M93" s="327">
        <f>IF(L93&gt;K93, 1, 0)</f>
        <v>1</v>
      </c>
      <c r="N93" s="337">
        <f>(+H93-D93)</f>
        <v>8</v>
      </c>
      <c r="O93" s="355">
        <f>I93-E93</f>
        <v>12</v>
      </c>
      <c r="P93" s="405">
        <f>IF(OR(AND(N93&gt;0,O93&gt;0),AND(N93&lt;0,O93&lt;0)),1,0)</f>
        <v>1</v>
      </c>
      <c r="Q93" s="289">
        <f>WEEKNUM(tblResultadosNBA[[#This Row],[Fecha]],2)</f>
        <v>44</v>
      </c>
      <c r="R93" t="str">
        <f>TEXT(tblResultadosNBA[[#This Row],[Fecha]],"mmm")</f>
        <v>nov</v>
      </c>
    </row>
    <row r="94" spans="1:18">
      <c r="A94" s="419">
        <v>45963</v>
      </c>
      <c r="B94" s="302" t="s">
        <v>96</v>
      </c>
      <c r="C94" s="177" t="str">
        <f>LEFT(B94,FIND("@",B94)-2)</f>
        <v>San Antonio Spurs</v>
      </c>
      <c r="D94" s="177">
        <v>116</v>
      </c>
      <c r="E94" s="336">
        <v>118</v>
      </c>
      <c r="F94" s="327">
        <f>IF(E94&gt;D94, 1, 0)</f>
        <v>1</v>
      </c>
      <c r="G94" s="177" t="str">
        <f>MID(B94,FIND("@",B94)+2,LEN(B94)-FIND("@",B94)-1)</f>
        <v>Phoenix Suns</v>
      </c>
      <c r="H94" s="177">
        <v>107</v>
      </c>
      <c r="I94" s="336">
        <v>130</v>
      </c>
      <c r="J94" s="327">
        <f>IF(I94&gt;H94, 1, 0)</f>
        <v>1</v>
      </c>
      <c r="K94" s="177">
        <f>+D94+H94</f>
        <v>223</v>
      </c>
      <c r="L94" s="336">
        <f>E94+I94</f>
        <v>248</v>
      </c>
      <c r="M94" s="327">
        <f>IF(L94&gt;K94, 1, 0)</f>
        <v>1</v>
      </c>
      <c r="N94" s="337">
        <f>(+H94-D94)</f>
        <v>-9</v>
      </c>
      <c r="O94" s="355">
        <f>I94-E94</f>
        <v>12</v>
      </c>
      <c r="P94" s="405">
        <f>IF(OR(AND(N94&gt;0,O94&gt;0),AND(N94&lt;0,O94&lt;0)),1,0)</f>
        <v>0</v>
      </c>
      <c r="Q94" s="289">
        <f>WEEKNUM(tblResultadosNBA[[#This Row],[Fecha]],2)</f>
        <v>44</v>
      </c>
      <c r="R94" t="str">
        <f>TEXT(tblResultadosNBA[[#This Row],[Fecha]],"mmm")</f>
        <v>nov</v>
      </c>
    </row>
    <row r="95" spans="1:18">
      <c r="A95" s="445">
        <v>45963</v>
      </c>
      <c r="B95" s="328" t="s">
        <v>489</v>
      </c>
      <c r="C95" s="299" t="str">
        <f>LEFT(B95,FIND("@",B95)-2)</f>
        <v>Miami Heat</v>
      </c>
      <c r="D95" s="299">
        <v>103</v>
      </c>
      <c r="E95" s="309">
        <v>120</v>
      </c>
      <c r="F95" s="334">
        <f>IF(E95&gt;D95, 1, 0)</f>
        <v>1</v>
      </c>
      <c r="G95" s="299" t="str">
        <f>MID(B95,FIND("@",B95)+2,LEN(B95)-FIND("@",B95)-1)</f>
        <v>Los Angeles Lakers</v>
      </c>
      <c r="H95" s="299">
        <v>111</v>
      </c>
      <c r="I95" s="309">
        <v>130</v>
      </c>
      <c r="J95" s="334">
        <f>IF(I95&gt;H95, 1, 0)</f>
        <v>1</v>
      </c>
      <c r="K95" s="299">
        <f>+D95+H95</f>
        <v>214</v>
      </c>
      <c r="L95" s="309">
        <f>E95+I95</f>
        <v>250</v>
      </c>
      <c r="M95" s="334">
        <f>IF(L95&gt;K95, 1, 0)</f>
        <v>1</v>
      </c>
      <c r="N95" s="321">
        <f>(+H95-D95)</f>
        <v>8</v>
      </c>
      <c r="O95" s="360">
        <f>I95-E95</f>
        <v>10</v>
      </c>
      <c r="P95" s="408">
        <f>IF(OR(AND(N95&gt;0,O95&gt;0),AND(N95&lt;0,O95&lt;0)),1,0)</f>
        <v>1</v>
      </c>
      <c r="Q95" s="433">
        <f>WEEKNUM(tblResultadosNBA[[#This Row],[Fecha]],2)</f>
        <v>44</v>
      </c>
      <c r="R95" s="433" t="str">
        <f>TEXT(tblResultadosNBA[[#This Row],[Fecha]],"mmm")</f>
        <v>nov</v>
      </c>
    </row>
    <row r="96" spans="1:18">
      <c r="A96" s="439">
        <v>45964</v>
      </c>
      <c r="B96" s="329" t="s">
        <v>490</v>
      </c>
      <c r="C96" s="244" t="str">
        <f>LEFT(B96,FIND("@",B96)-2)</f>
        <v>Minnesota Timberwolves</v>
      </c>
      <c r="D96" s="244">
        <v>123</v>
      </c>
      <c r="E96" s="292">
        <v>125</v>
      </c>
      <c r="F96" s="358">
        <f>IF(E96&gt;D96, 1, 0)</f>
        <v>1</v>
      </c>
      <c r="G96" s="244" t="str">
        <f>MID(B96,FIND("@",B96)+2,LEN(B96)-FIND("@",B96)-1)</f>
        <v>Brooklyn Nets</v>
      </c>
      <c r="H96" s="244">
        <v>115</v>
      </c>
      <c r="I96" s="292">
        <v>109</v>
      </c>
      <c r="J96" s="358">
        <f>IF(I96&gt;H96, 1, 0)</f>
        <v>0</v>
      </c>
      <c r="K96" s="244">
        <f>+D96+H96</f>
        <v>238</v>
      </c>
      <c r="L96" s="292">
        <f>E96+I96</f>
        <v>234</v>
      </c>
      <c r="M96" s="358">
        <f>IF(L96&gt;K96, 1, 0)</f>
        <v>0</v>
      </c>
      <c r="N96" s="320">
        <f>(+H96-D96)</f>
        <v>-8</v>
      </c>
      <c r="O96" s="359">
        <f>I96-E96</f>
        <v>-16</v>
      </c>
      <c r="P96" s="410">
        <f>IF(OR(AND(N96&gt;0,O96&gt;0),AND(N96&lt;0,O96&lt;0)),1,0)</f>
        <v>1</v>
      </c>
      <c r="Q96" s="289">
        <f>WEEKNUM(tblResultadosNBA[[#This Row],[Fecha]],2)</f>
        <v>45</v>
      </c>
      <c r="R96" t="str">
        <f>TEXT(tblResultadosNBA[[#This Row],[Fecha]],"mmm")</f>
        <v>nov</v>
      </c>
    </row>
    <row r="97" spans="1:18">
      <c r="A97" s="419">
        <v>45964</v>
      </c>
      <c r="B97" s="302" t="s">
        <v>216</v>
      </c>
      <c r="C97" s="177" t="str">
        <f>LEFT(B97,FIND("@",B97)-2)</f>
        <v>Milwaukee Bucks</v>
      </c>
      <c r="D97" s="177">
        <v>116</v>
      </c>
      <c r="E97" s="336">
        <v>117</v>
      </c>
      <c r="F97" s="327">
        <f>IF(E97&gt;D97, 1, 0)</f>
        <v>1</v>
      </c>
      <c r="G97" s="177" t="str">
        <f>MID(B97,FIND("@",B97)+2,LEN(B97)-FIND("@",B97)-1)</f>
        <v>Indiana Pacers</v>
      </c>
      <c r="H97" s="177">
        <v>114</v>
      </c>
      <c r="I97" s="336">
        <v>115</v>
      </c>
      <c r="J97" s="327">
        <f>IF(I97&gt;H97, 1, 0)</f>
        <v>1</v>
      </c>
      <c r="K97" s="177">
        <f>+D97+H97</f>
        <v>230</v>
      </c>
      <c r="L97" s="336">
        <f>E97+I97</f>
        <v>232</v>
      </c>
      <c r="M97" s="327">
        <f>IF(L97&gt;K97, 1, 0)</f>
        <v>1</v>
      </c>
      <c r="N97" s="337">
        <f>(+H97-D97)</f>
        <v>-2</v>
      </c>
      <c r="O97" s="355">
        <f>I97-E97</f>
        <v>-2</v>
      </c>
      <c r="P97" s="405">
        <f>IF(OR(AND(N97&gt;0,O97&gt;0),AND(N97&lt;0,O97&lt;0)),1,0)</f>
        <v>1</v>
      </c>
      <c r="Q97" s="289">
        <f>WEEKNUM(tblResultadosNBA[[#This Row],[Fecha]],2)</f>
        <v>45</v>
      </c>
      <c r="R97" t="str">
        <f>TEXT(tblResultadosNBA[[#This Row],[Fecha]],"mmm")</f>
        <v>nov</v>
      </c>
    </row>
    <row r="98" spans="1:18">
      <c r="A98" s="419">
        <v>45964</v>
      </c>
      <c r="B98" s="302" t="s">
        <v>491</v>
      </c>
      <c r="C98" s="177" t="str">
        <f>LEFT(B98,FIND("@",B98)-2)</f>
        <v>Utah Jazz</v>
      </c>
      <c r="D98" s="177">
        <v>95</v>
      </c>
      <c r="E98" s="336">
        <v>105</v>
      </c>
      <c r="F98" s="327">
        <f>IF(E98&gt;D98, 1, 0)</f>
        <v>1</v>
      </c>
      <c r="G98" s="177" t="str">
        <f>MID(B98,FIND("@",B98)+2,LEN(B98)-FIND("@",B98)-1)</f>
        <v>Boston Celtics</v>
      </c>
      <c r="H98" s="177">
        <v>108</v>
      </c>
      <c r="I98" s="336">
        <v>103</v>
      </c>
      <c r="J98" s="327">
        <f>IF(I98&gt;H98, 1, 0)</f>
        <v>0</v>
      </c>
      <c r="K98" s="177">
        <f>+D98+H98</f>
        <v>203</v>
      </c>
      <c r="L98" s="336">
        <f>E98+I98</f>
        <v>208</v>
      </c>
      <c r="M98" s="327">
        <f>IF(L98&gt;K98, 1, 0)</f>
        <v>1</v>
      </c>
      <c r="N98" s="337">
        <f>(+H98-D98)</f>
        <v>13</v>
      </c>
      <c r="O98" s="355">
        <f>I98-E98</f>
        <v>-2</v>
      </c>
      <c r="P98" s="405">
        <f>IF(OR(AND(N98&gt;0,O98&gt;0),AND(N98&lt;0,O98&lt;0)),1,0)</f>
        <v>0</v>
      </c>
      <c r="Q98" s="289">
        <f>WEEKNUM(tblResultadosNBA[[#This Row],[Fecha]],2)</f>
        <v>45</v>
      </c>
      <c r="R98" t="str">
        <f>TEXT(tblResultadosNBA[[#This Row],[Fecha]],"mmm")</f>
        <v>nov</v>
      </c>
    </row>
    <row r="99" spans="1:18">
      <c r="A99" s="419">
        <v>45964</v>
      </c>
      <c r="B99" s="302" t="s">
        <v>492</v>
      </c>
      <c r="C99" s="177" t="str">
        <f>LEFT(B99,FIND("@",B99)-2)</f>
        <v>Washington Wizards</v>
      </c>
      <c r="D99" s="177">
        <v>115</v>
      </c>
      <c r="E99" s="336">
        <v>102</v>
      </c>
      <c r="F99" s="327">
        <f>IF(E99&gt;D99, 1, 0)</f>
        <v>0</v>
      </c>
      <c r="G99" s="177" t="str">
        <f>MID(B99,FIND("@",B99)+2,LEN(B99)-FIND("@",B99)-1)</f>
        <v>New York Knicks</v>
      </c>
      <c r="H99" s="177">
        <v>119</v>
      </c>
      <c r="I99" s="336">
        <v>119</v>
      </c>
      <c r="J99" s="327">
        <f>IF(I99&gt;H99, 1, 0)</f>
        <v>0</v>
      </c>
      <c r="K99" s="177">
        <f>+D99+H99</f>
        <v>234</v>
      </c>
      <c r="L99" s="336">
        <f>E99+I99</f>
        <v>221</v>
      </c>
      <c r="M99" s="327">
        <f>IF(L99&gt;K99, 1, 0)</f>
        <v>0</v>
      </c>
      <c r="N99" s="337">
        <f>(+H99-D99)</f>
        <v>4</v>
      </c>
      <c r="O99" s="355">
        <f>I99-E99</f>
        <v>17</v>
      </c>
      <c r="P99" s="405">
        <f>IF(OR(AND(N99&gt;0,O99&gt;0),AND(N99&lt;0,O99&lt;0)),1,0)</f>
        <v>1</v>
      </c>
      <c r="Q99" s="289">
        <f>WEEKNUM(tblResultadosNBA[[#This Row],[Fecha]],2)</f>
        <v>45</v>
      </c>
      <c r="R99" t="str">
        <f>TEXT(tblResultadosNBA[[#This Row],[Fecha]],"mmm")</f>
        <v>nov</v>
      </c>
    </row>
    <row r="100" spans="1:18">
      <c r="A100" s="419">
        <v>45964</v>
      </c>
      <c r="B100" s="302" t="s">
        <v>493</v>
      </c>
      <c r="C100" s="177" t="str">
        <f>LEFT(B100,FIND("@",B100)-2)</f>
        <v>Dallas Mavericks</v>
      </c>
      <c r="D100" s="177">
        <v>119</v>
      </c>
      <c r="E100" s="336">
        <v>102</v>
      </c>
      <c r="F100" s="327">
        <f>IF(E100&gt;D100, 1, 0)</f>
        <v>0</v>
      </c>
      <c r="G100" s="177" t="str">
        <f>MID(B100,FIND("@",B100)+2,LEN(B100)-FIND("@",B100)-1)</f>
        <v>Houston Rockets</v>
      </c>
      <c r="H100" s="177">
        <v>109</v>
      </c>
      <c r="I100" s="336">
        <v>110</v>
      </c>
      <c r="J100" s="327">
        <f>IF(I100&gt;H100, 1, 0)</f>
        <v>1</v>
      </c>
      <c r="K100" s="177">
        <f>+D100+H100</f>
        <v>228</v>
      </c>
      <c r="L100" s="336">
        <f>E100+I100</f>
        <v>212</v>
      </c>
      <c r="M100" s="327">
        <f>IF(L100&gt;K100, 1, 0)</f>
        <v>0</v>
      </c>
      <c r="N100" s="337">
        <f>(+H100-D100)</f>
        <v>-10</v>
      </c>
      <c r="O100" s="355">
        <f>I100-E100</f>
        <v>8</v>
      </c>
      <c r="P100" s="405">
        <f>IF(OR(AND(N100&gt;0,O100&gt;0),AND(N100&lt;0,O100&lt;0)),1,0)</f>
        <v>0</v>
      </c>
      <c r="Q100" s="289">
        <f>WEEKNUM(tblResultadosNBA[[#This Row],[Fecha]],2)</f>
        <v>45</v>
      </c>
      <c r="R100" t="str">
        <f>TEXT(tblResultadosNBA[[#This Row],[Fecha]],"mmm")</f>
        <v>nov</v>
      </c>
    </row>
    <row r="101" spans="1:18">
      <c r="A101" s="419">
        <v>45964</v>
      </c>
      <c r="B101" s="302" t="s">
        <v>494</v>
      </c>
      <c r="C101" s="177" t="str">
        <f>LEFT(B101,FIND("@",B101)-2)</f>
        <v>Detroit Pistons</v>
      </c>
      <c r="D101" s="177">
        <v>108</v>
      </c>
      <c r="E101" s="336">
        <v>114</v>
      </c>
      <c r="F101" s="327">
        <f>IF(E101&gt;D101, 1, 0)</f>
        <v>1</v>
      </c>
      <c r="G101" s="177" t="str">
        <f>MID(B101,FIND("@",B101)+2,LEN(B101)-FIND("@",B101)-1)</f>
        <v>Memphis Grizzlies</v>
      </c>
      <c r="H101" s="177">
        <v>120</v>
      </c>
      <c r="I101" s="336">
        <v>106</v>
      </c>
      <c r="J101" s="327">
        <f>IF(I101&gt;H101, 1, 0)</f>
        <v>0</v>
      </c>
      <c r="K101" s="177">
        <f>+D101+H101</f>
        <v>228</v>
      </c>
      <c r="L101" s="336">
        <f>E101+I101</f>
        <v>220</v>
      </c>
      <c r="M101" s="327">
        <f>IF(L101&gt;K101, 1, 0)</f>
        <v>0</v>
      </c>
      <c r="N101" s="337">
        <f>(+H101-D101)</f>
        <v>12</v>
      </c>
      <c r="O101" s="355">
        <f>I101-E101</f>
        <v>-8</v>
      </c>
      <c r="P101" s="405">
        <f>IF(OR(AND(N101&gt;0,O101&gt;0),AND(N101&lt;0,O101&lt;0)),1,0)</f>
        <v>0</v>
      </c>
      <c r="Q101" s="289">
        <f>WEEKNUM(tblResultadosNBA[[#This Row],[Fecha]],2)</f>
        <v>45</v>
      </c>
      <c r="R101" t="str">
        <f>TEXT(tblResultadosNBA[[#This Row],[Fecha]],"mmm")</f>
        <v>nov</v>
      </c>
    </row>
    <row r="102" spans="1:18">
      <c r="A102" s="419">
        <v>45964</v>
      </c>
      <c r="B102" s="302" t="s">
        <v>495</v>
      </c>
      <c r="C102" s="177" t="str">
        <f>LEFT(B102,FIND("@",B102)-2)</f>
        <v>Sacramento Kings</v>
      </c>
      <c r="D102" s="177">
        <v>115</v>
      </c>
      <c r="E102" s="336">
        <v>124</v>
      </c>
      <c r="F102" s="327">
        <f>IF(E102&gt;D102, 1, 0)</f>
        <v>1</v>
      </c>
      <c r="G102" s="177" t="str">
        <f>MID(B102,FIND("@",B102)+2,LEN(B102)-FIND("@",B102)-1)</f>
        <v>Denver Nuggets</v>
      </c>
      <c r="H102" s="177">
        <v>110</v>
      </c>
      <c r="I102" s="336">
        <v>130</v>
      </c>
      <c r="J102" s="327">
        <f>IF(I102&gt;H102, 1, 0)</f>
        <v>1</v>
      </c>
      <c r="K102" s="177">
        <f>+D102+H102</f>
        <v>225</v>
      </c>
      <c r="L102" s="336">
        <f>E102+I102</f>
        <v>254</v>
      </c>
      <c r="M102" s="327">
        <f>IF(L102&gt;K102, 1, 0)</f>
        <v>1</v>
      </c>
      <c r="N102" s="337">
        <f>(+H102-D102)</f>
        <v>-5</v>
      </c>
      <c r="O102" s="355">
        <f>I102-E102</f>
        <v>6</v>
      </c>
      <c r="P102" s="405">
        <f>IF(OR(AND(N102&gt;0,O102&gt;0),AND(N102&lt;0,O102&lt;0)),1,0)</f>
        <v>0</v>
      </c>
      <c r="Q102" s="289">
        <f>WEEKNUM(tblResultadosNBA[[#This Row],[Fecha]],2)</f>
        <v>45</v>
      </c>
      <c r="R102" t="str">
        <f>TEXT(tblResultadosNBA[[#This Row],[Fecha]],"mmm")</f>
        <v>nov</v>
      </c>
    </row>
    <row r="103" spans="1:18">
      <c r="A103" s="419">
        <v>45964</v>
      </c>
      <c r="B103" s="302" t="s">
        <v>496</v>
      </c>
      <c r="C103" s="177" t="str">
        <f>LEFT(B103,FIND("@",B103)-2)</f>
        <v>Los Angeles Lakers</v>
      </c>
      <c r="D103" s="177">
        <v>109</v>
      </c>
      <c r="E103" s="336">
        <v>123</v>
      </c>
      <c r="F103" s="327">
        <f>IF(E103&gt;D103, 1, 0)</f>
        <v>1</v>
      </c>
      <c r="G103" s="177" t="str">
        <f>MID(B103,FIND("@",B103)+2,LEN(B103)-FIND("@",B103)-1)</f>
        <v>Portland Trail Blazers</v>
      </c>
      <c r="H103" s="177">
        <v>114</v>
      </c>
      <c r="I103" s="336">
        <v>115</v>
      </c>
      <c r="J103" s="327">
        <f>IF(I103&gt;H103, 1, 0)</f>
        <v>1</v>
      </c>
      <c r="K103" s="177">
        <f>+D103+H103</f>
        <v>223</v>
      </c>
      <c r="L103" s="336">
        <f>E103+I103</f>
        <v>238</v>
      </c>
      <c r="M103" s="327">
        <f>IF(L103&gt;K103, 1, 0)</f>
        <v>1</v>
      </c>
      <c r="N103" s="337">
        <f>(+H103-D103)</f>
        <v>5</v>
      </c>
      <c r="O103" s="355">
        <f>I103-E103</f>
        <v>-8</v>
      </c>
      <c r="P103" s="405">
        <f>IF(OR(AND(N103&gt;0,O103&gt;0),AND(N103&lt;0,O103&lt;0)),1,0)</f>
        <v>0</v>
      </c>
      <c r="Q103" s="289">
        <f>WEEKNUM(tblResultadosNBA[[#This Row],[Fecha]],2)</f>
        <v>45</v>
      </c>
      <c r="R103" t="str">
        <f>TEXT(tblResultadosNBA[[#This Row],[Fecha]],"mmm")</f>
        <v>nov</v>
      </c>
    </row>
    <row r="104" spans="1:18">
      <c r="A104" s="445">
        <v>45964</v>
      </c>
      <c r="B104" s="328" t="s">
        <v>497</v>
      </c>
      <c r="C104" s="299" t="str">
        <f>LEFT(B104,FIND("@",B104)-2)</f>
        <v>Miami Heat</v>
      </c>
      <c r="D104" s="299">
        <v>114</v>
      </c>
      <c r="E104" s="309">
        <v>120</v>
      </c>
      <c r="F104" s="334">
        <f>IF(E104&gt;D104, 1, 0)</f>
        <v>1</v>
      </c>
      <c r="G104" s="299" t="str">
        <f>MID(B104,FIND("@",B104)+2,LEN(B104)-FIND("@",B104)-1)</f>
        <v>LA Clippers</v>
      </c>
      <c r="H104" s="299">
        <v>118</v>
      </c>
      <c r="I104" s="309">
        <v>119</v>
      </c>
      <c r="J104" s="334">
        <f>IF(I104&gt;H104, 1, 0)</f>
        <v>1</v>
      </c>
      <c r="K104" s="299">
        <f>+D104+H104</f>
        <v>232</v>
      </c>
      <c r="L104" s="309">
        <f>E104+I104</f>
        <v>239</v>
      </c>
      <c r="M104" s="334">
        <f>IF(L104&gt;K104, 1, 0)</f>
        <v>1</v>
      </c>
      <c r="N104" s="321">
        <f>(+H104-D104)</f>
        <v>4</v>
      </c>
      <c r="O104" s="360">
        <f>I104-E104</f>
        <v>-1</v>
      </c>
      <c r="P104" s="408">
        <f>IF(OR(AND(N104&gt;0,O104&gt;0),AND(N104&lt;0,O104&lt;0)),1,0)</f>
        <v>0</v>
      </c>
      <c r="Q104" s="433">
        <f>WEEKNUM(tblResultadosNBA[[#This Row],[Fecha]],2)</f>
        <v>45</v>
      </c>
      <c r="R104" s="433" t="str">
        <f>TEXT(tblResultadosNBA[[#This Row],[Fecha]],"mmm")</f>
        <v>nov</v>
      </c>
    </row>
    <row r="105" spans="1:18">
      <c r="A105" s="439">
        <v>45965</v>
      </c>
      <c r="B105" s="329" t="s">
        <v>425</v>
      </c>
      <c r="C105" s="244" t="str">
        <f>LEFT(B105,FIND("@",B105)-2)</f>
        <v>Milwaukee Bucks</v>
      </c>
      <c r="D105" s="244">
        <v>125</v>
      </c>
      <c r="E105" s="292">
        <v>100</v>
      </c>
      <c r="F105" s="358">
        <f>IF(E105&gt;D105, 1, 0)</f>
        <v>0</v>
      </c>
      <c r="G105" s="244" t="str">
        <f>MID(B105,FIND("@",B105)+2,LEN(B105)-FIND("@",B105)-1)</f>
        <v>Toronto Raptors</v>
      </c>
      <c r="H105" s="244">
        <v>118</v>
      </c>
      <c r="I105" s="292">
        <v>128</v>
      </c>
      <c r="J105" s="358">
        <f>IF(I105&gt;H105, 1, 0)</f>
        <v>1</v>
      </c>
      <c r="K105" s="244">
        <f>+D105+H105</f>
        <v>243</v>
      </c>
      <c r="L105" s="292">
        <f>E105+I105</f>
        <v>228</v>
      </c>
      <c r="M105" s="358">
        <f>IF(L105&gt;K105, 1, 0)</f>
        <v>0</v>
      </c>
      <c r="N105" s="320">
        <f>(+H105-D105)</f>
        <v>-7</v>
      </c>
      <c r="O105" s="359">
        <f>I105-E105</f>
        <v>28</v>
      </c>
      <c r="P105" s="410">
        <f>IF(OR(AND(N105&gt;0,O105&gt;0),AND(N105&lt;0,O105&lt;0)),1,0)</f>
        <v>0</v>
      </c>
      <c r="Q105" s="289">
        <f>WEEKNUM(tblResultadosNBA[[#This Row],[Fecha]],2)</f>
        <v>45</v>
      </c>
      <c r="R105" t="str">
        <f>TEXT(tblResultadosNBA[[#This Row],[Fecha]],"mmm")</f>
        <v>nov</v>
      </c>
    </row>
    <row r="106" spans="1:18">
      <c r="A106" s="419">
        <v>45965</v>
      </c>
      <c r="B106" s="302" t="s">
        <v>498</v>
      </c>
      <c r="C106" s="177" t="str">
        <f>LEFT(B106,FIND("@",B106)-2)</f>
        <v>Orlando Magic</v>
      </c>
      <c r="D106" s="177">
        <v>113</v>
      </c>
      <c r="E106" s="336">
        <v>112</v>
      </c>
      <c r="F106" s="327">
        <f>IF(E106&gt;D106, 1, 0)</f>
        <v>0</v>
      </c>
      <c r="G106" s="177" t="str">
        <f>MID(B106,FIND("@",B106)+2,LEN(B106)-FIND("@",B106)-1)</f>
        <v>Atlanta Hawks</v>
      </c>
      <c r="H106" s="177">
        <v>116</v>
      </c>
      <c r="I106" s="336">
        <v>127</v>
      </c>
      <c r="J106" s="327">
        <f>IF(I106&gt;H106, 1, 0)</f>
        <v>1</v>
      </c>
      <c r="K106" s="177">
        <f>+D106+H106</f>
        <v>229</v>
      </c>
      <c r="L106" s="336">
        <f>E106+I106</f>
        <v>239</v>
      </c>
      <c r="M106" s="327">
        <f>IF(L106&gt;K106, 1, 0)</f>
        <v>1</v>
      </c>
      <c r="N106" s="337">
        <f>(+H106-D106)</f>
        <v>3</v>
      </c>
      <c r="O106" s="355">
        <f>I106-E106</f>
        <v>15</v>
      </c>
      <c r="P106" s="405">
        <f>IF(OR(AND(N106&gt;0,O106&gt;0),AND(N106&lt;0,O106&lt;0)),1,0)</f>
        <v>1</v>
      </c>
      <c r="Q106" s="289">
        <f>WEEKNUM(tblResultadosNBA[[#This Row],[Fecha]],2)</f>
        <v>45</v>
      </c>
      <c r="R106" t="str">
        <f>TEXT(tblResultadosNBA[[#This Row],[Fecha]],"mmm")</f>
        <v>nov</v>
      </c>
    </row>
    <row r="107" spans="1:18">
      <c r="A107" s="419">
        <v>45965</v>
      </c>
      <c r="B107" s="302" t="s">
        <v>499</v>
      </c>
      <c r="C107" s="177" t="str">
        <f>LEFT(B107,FIND("@",B107)-2)</f>
        <v>Philadelphia 76ers</v>
      </c>
      <c r="D107" s="177">
        <v>112</v>
      </c>
      <c r="E107" s="336">
        <v>111</v>
      </c>
      <c r="F107" s="327">
        <f>IF(E107&gt;D107, 1, 0)</f>
        <v>0</v>
      </c>
      <c r="G107" s="177" t="str">
        <f>MID(B107,FIND("@",B107)+2,LEN(B107)-FIND("@",B107)-1)</f>
        <v>Chicago Bulls</v>
      </c>
      <c r="H107" s="177">
        <v>109</v>
      </c>
      <c r="I107" s="336">
        <v>113</v>
      </c>
      <c r="J107" s="327">
        <f>IF(I107&gt;H107, 1, 0)</f>
        <v>1</v>
      </c>
      <c r="K107" s="177">
        <f>+D107+H107</f>
        <v>221</v>
      </c>
      <c r="L107" s="336">
        <f>E107+I107</f>
        <v>224</v>
      </c>
      <c r="M107" s="327">
        <f>IF(L107&gt;K107, 1, 0)</f>
        <v>1</v>
      </c>
      <c r="N107" s="337">
        <f>(+H107-D107)</f>
        <v>-3</v>
      </c>
      <c r="O107" s="355">
        <f>I107-E107</f>
        <v>2</v>
      </c>
      <c r="P107" s="405">
        <f>IF(OR(AND(N107&gt;0,O107&gt;0),AND(N107&lt;0,O107&lt;0)),1,0)</f>
        <v>0</v>
      </c>
      <c r="Q107" s="289">
        <f>WEEKNUM(tblResultadosNBA[[#This Row],[Fecha]],2)</f>
        <v>45</v>
      </c>
      <c r="R107" t="str">
        <f>TEXT(tblResultadosNBA[[#This Row],[Fecha]],"mmm")</f>
        <v>nov</v>
      </c>
    </row>
    <row r="108" spans="1:18">
      <c r="A108" s="419">
        <v>45965</v>
      </c>
      <c r="B108" s="302" t="s">
        <v>500</v>
      </c>
      <c r="C108" s="177" t="str">
        <f>LEFT(B108,FIND("@",B108)-2)</f>
        <v>Charlotte Hornets</v>
      </c>
      <c r="D108" s="177">
        <v>113</v>
      </c>
      <c r="E108" s="336">
        <v>112</v>
      </c>
      <c r="F108" s="327">
        <f>IF(E108&gt;D108, 1, 0)</f>
        <v>0</v>
      </c>
      <c r="G108" s="177" t="str">
        <f>MID(B108,FIND("@",B108)+2,LEN(B108)-FIND("@",B108)-1)</f>
        <v>New Orleans Pelicans</v>
      </c>
      <c r="H108" s="177">
        <v>120</v>
      </c>
      <c r="I108" s="336">
        <v>116</v>
      </c>
      <c r="J108" s="327">
        <f>IF(I108&gt;H108, 1, 0)</f>
        <v>0</v>
      </c>
      <c r="K108" s="177">
        <f>+D108+H108</f>
        <v>233</v>
      </c>
      <c r="L108" s="336">
        <f>E108+I108</f>
        <v>228</v>
      </c>
      <c r="M108" s="327">
        <f>IF(L108&gt;K108, 1, 0)</f>
        <v>0</v>
      </c>
      <c r="N108" s="337">
        <f>(+H108-D108)</f>
        <v>7</v>
      </c>
      <c r="O108" s="355">
        <f>I108-E108</f>
        <v>4</v>
      </c>
      <c r="P108" s="405">
        <f>IF(OR(AND(N108&gt;0,O108&gt;0),AND(N108&lt;0,O108&lt;0)),1,0)</f>
        <v>1</v>
      </c>
      <c r="Q108" s="289">
        <f>WEEKNUM(tblResultadosNBA[[#This Row],[Fecha]],2)</f>
        <v>45</v>
      </c>
      <c r="R108" t="str">
        <f>TEXT(tblResultadosNBA[[#This Row],[Fecha]],"mmm")</f>
        <v>nov</v>
      </c>
    </row>
    <row r="109" spans="1:18">
      <c r="A109" s="419">
        <v>45965</v>
      </c>
      <c r="B109" s="302" t="s">
        <v>201</v>
      </c>
      <c r="C109" s="177" t="str">
        <f>LEFT(B109,FIND("@",B109)-2)</f>
        <v>Phoenix Suns</v>
      </c>
      <c r="D109" s="177">
        <v>116</v>
      </c>
      <c r="E109" s="336">
        <v>107</v>
      </c>
      <c r="F109" s="327">
        <f>IF(E109&gt;D109, 1, 0)</f>
        <v>0</v>
      </c>
      <c r="G109" s="177" t="str">
        <f>MID(B109,FIND("@",B109)+2,LEN(B109)-FIND("@",B109)-1)</f>
        <v>Golden State Warriors</v>
      </c>
      <c r="H109" s="177">
        <v>108</v>
      </c>
      <c r="I109" s="336">
        <v>118</v>
      </c>
      <c r="J109" s="327">
        <f>IF(I109&gt;H109, 1, 0)</f>
        <v>1</v>
      </c>
      <c r="K109" s="177">
        <f>+D109+H109</f>
        <v>224</v>
      </c>
      <c r="L109" s="336">
        <f>E109+I109</f>
        <v>225</v>
      </c>
      <c r="M109" s="327">
        <f>IF(L109&gt;K109, 1, 0)</f>
        <v>1</v>
      </c>
      <c r="N109" s="337">
        <f>(+H109-D109)</f>
        <v>-8</v>
      </c>
      <c r="O109" s="355">
        <f>I109-E109</f>
        <v>11</v>
      </c>
      <c r="P109" s="405">
        <f>IF(OR(AND(N109&gt;0,O109&gt;0),AND(N109&lt;0,O109&lt;0)),1,0)</f>
        <v>0</v>
      </c>
      <c r="Q109" s="289">
        <f>WEEKNUM(tblResultadosNBA[[#This Row],[Fecha]],2)</f>
        <v>45</v>
      </c>
      <c r="R109" t="str">
        <f>TEXT(tblResultadosNBA[[#This Row],[Fecha]],"mmm")</f>
        <v>nov</v>
      </c>
    </row>
    <row r="110" spans="1:18">
      <c r="A110" s="445">
        <v>45965</v>
      </c>
      <c r="B110" s="423" t="s">
        <v>501</v>
      </c>
      <c r="C110" s="299" t="str">
        <f>LEFT(B110,FIND("@",B110)-2)</f>
        <v>Oklahoma City Thunder</v>
      </c>
      <c r="D110" s="299">
        <v>108</v>
      </c>
      <c r="E110" s="309">
        <v>126</v>
      </c>
      <c r="F110" s="334">
        <f>IF(E110&gt;D110, 1, 0)</f>
        <v>1</v>
      </c>
      <c r="G110" s="299" t="str">
        <f>MID(B110,FIND("@",B110)+2,LEN(B110)-FIND("@",B110)-1)</f>
        <v>LA Clippers</v>
      </c>
      <c r="H110" s="299">
        <v>115</v>
      </c>
      <c r="I110" s="309">
        <v>107</v>
      </c>
      <c r="J110" s="334">
        <f>IF(I110&gt;H110, 1, 0)</f>
        <v>0</v>
      </c>
      <c r="K110" s="299">
        <f>+D110+H110</f>
        <v>223</v>
      </c>
      <c r="L110" s="309">
        <f>E110+I110</f>
        <v>233</v>
      </c>
      <c r="M110" s="334">
        <f>IF(L110&gt;K110, 1, 0)</f>
        <v>1</v>
      </c>
      <c r="N110" s="321">
        <f>(+H110-D110)</f>
        <v>7</v>
      </c>
      <c r="O110" s="360">
        <f>I110-E110</f>
        <v>-19</v>
      </c>
      <c r="P110" s="408">
        <f>IF(OR(AND(N110&gt;0,O110&gt;0),AND(N110&lt;0,O110&lt;0)),1,0)</f>
        <v>0</v>
      </c>
      <c r="Q110" s="433">
        <f>WEEKNUM(tblResultadosNBA[[#This Row],[Fecha]],2)</f>
        <v>45</v>
      </c>
      <c r="R110" s="433" t="str">
        <f>TEXT(tblResultadosNBA[[#This Row],[Fecha]],"mmm")</f>
        <v>nov</v>
      </c>
    </row>
    <row r="111" spans="1:18">
      <c r="A111" s="439">
        <v>45966</v>
      </c>
      <c r="B111" s="329" t="s">
        <v>502</v>
      </c>
      <c r="C111" s="244" t="str">
        <f>LEFT(B111,FIND("@",B111)-2)</f>
        <v>Philadelphia 76ers</v>
      </c>
      <c r="D111" s="244">
        <v>124</v>
      </c>
      <c r="E111" s="292">
        <v>121</v>
      </c>
      <c r="F111" s="358">
        <f>IF(E111&gt;D111, 1, 0)</f>
        <v>0</v>
      </c>
      <c r="G111" s="244" t="str">
        <f>MID(B111,FIND("@",B111)+2,LEN(B111)-FIND("@",B111)-1)</f>
        <v>Cleveland Cavaliers</v>
      </c>
      <c r="H111" s="244">
        <v>118</v>
      </c>
      <c r="I111" s="292">
        <v>132</v>
      </c>
      <c r="J111" s="358">
        <f>IF(I111&gt;H111, 1, 0)</f>
        <v>1</v>
      </c>
      <c r="K111" s="244">
        <f>+D111+H111</f>
        <v>242</v>
      </c>
      <c r="L111" s="292">
        <f>E111+I111</f>
        <v>253</v>
      </c>
      <c r="M111" s="358">
        <f>IF(L111&gt;K111, 1, 0)</f>
        <v>1</v>
      </c>
      <c r="N111" s="320">
        <f>(+H111-D111)</f>
        <v>-6</v>
      </c>
      <c r="O111" s="359">
        <f>I111-E111</f>
        <v>11</v>
      </c>
      <c r="P111" s="410">
        <f>IF(OR(AND(N111&gt;0,O111&gt;0),AND(N111&lt;0,O111&lt;0)),1,0)</f>
        <v>0</v>
      </c>
      <c r="Q111" s="289">
        <f>WEEKNUM(tblResultadosNBA[[#This Row],[Fecha]],2)</f>
        <v>45</v>
      </c>
      <c r="R111" t="str">
        <f>TEXT(tblResultadosNBA[[#This Row],[Fecha]],"mmm")</f>
        <v>nov</v>
      </c>
    </row>
    <row r="112" spans="1:18">
      <c r="A112" s="419">
        <v>45966</v>
      </c>
      <c r="B112" s="302" t="s">
        <v>503</v>
      </c>
      <c r="C112" s="177" t="str">
        <f>LEFT(B112,FIND("@",B112)-2)</f>
        <v>Utah Jazz</v>
      </c>
      <c r="D112" s="177">
        <v>115</v>
      </c>
      <c r="E112" s="336">
        <v>103</v>
      </c>
      <c r="F112" s="327">
        <f>IF(E112&gt;D112, 1, 0)</f>
        <v>0</v>
      </c>
      <c r="G112" s="177" t="str">
        <f>MID(B112,FIND("@",B112)+2,LEN(B112)-FIND("@",B112)-1)</f>
        <v>Detroit Pistons</v>
      </c>
      <c r="H112" s="177">
        <v>111</v>
      </c>
      <c r="I112" s="336">
        <v>114</v>
      </c>
      <c r="J112" s="327">
        <f>IF(I112&gt;H112, 1, 0)</f>
        <v>1</v>
      </c>
      <c r="K112" s="177">
        <f>+D112+H112</f>
        <v>226</v>
      </c>
      <c r="L112" s="336">
        <f>E112+I112</f>
        <v>217</v>
      </c>
      <c r="M112" s="327">
        <f>IF(L112&gt;K112, 1, 0)</f>
        <v>0</v>
      </c>
      <c r="N112" s="337">
        <f>(+H112-D112)</f>
        <v>-4</v>
      </c>
      <c r="O112" s="355">
        <f>I112-E112</f>
        <v>11</v>
      </c>
      <c r="P112" s="405">
        <f>IF(OR(AND(N112&gt;0,O112&gt;0),AND(N112&lt;0,O112&lt;0)),1,0)</f>
        <v>0</v>
      </c>
      <c r="Q112" s="289">
        <f>WEEKNUM(tblResultadosNBA[[#This Row],[Fecha]],2)</f>
        <v>45</v>
      </c>
      <c r="R112" t="str">
        <f>TEXT(tblResultadosNBA[[#This Row],[Fecha]],"mmm")</f>
        <v>nov</v>
      </c>
    </row>
    <row r="113" spans="1:18">
      <c r="A113" s="419">
        <v>45966</v>
      </c>
      <c r="B113" s="302" t="s">
        <v>504</v>
      </c>
      <c r="C113" s="177" t="str">
        <f>LEFT(B113,FIND("@",B113)-2)</f>
        <v>Brooklyn Nets</v>
      </c>
      <c r="D113" s="177">
        <v>100</v>
      </c>
      <c r="E113" s="336">
        <v>112</v>
      </c>
      <c r="F113" s="327">
        <f>IF(E113&gt;D113, 1, 0)</f>
        <v>1</v>
      </c>
      <c r="G113" s="177" t="str">
        <f>MID(B113,FIND("@",B113)+2,LEN(B113)-FIND("@",B113)-1)</f>
        <v>Indiana Pacers</v>
      </c>
      <c r="H113" s="177">
        <v>112</v>
      </c>
      <c r="I113" s="336">
        <v>103</v>
      </c>
      <c r="J113" s="327">
        <f>IF(I113&gt;H113, 1, 0)</f>
        <v>0</v>
      </c>
      <c r="K113" s="177">
        <f>+D113+H113</f>
        <v>212</v>
      </c>
      <c r="L113" s="336">
        <f>E113+I113</f>
        <v>215</v>
      </c>
      <c r="M113" s="327">
        <f>IF(L113&gt;K113, 1, 0)</f>
        <v>1</v>
      </c>
      <c r="N113" s="337">
        <f>(+H113-D113)</f>
        <v>12</v>
      </c>
      <c r="O113" s="355">
        <f>I113-E113</f>
        <v>-9</v>
      </c>
      <c r="P113" s="405">
        <f>IF(OR(AND(N113&gt;0,O113&gt;0),AND(N113&lt;0,O113&lt;0)),1,0)</f>
        <v>0</v>
      </c>
      <c r="Q113" s="289">
        <f>WEEKNUM(tblResultadosNBA[[#This Row],[Fecha]],2)</f>
        <v>45</v>
      </c>
      <c r="R113" t="str">
        <f>TEXT(tblResultadosNBA[[#This Row],[Fecha]],"mmm")</f>
        <v>nov</v>
      </c>
    </row>
    <row r="114" spans="1:18">
      <c r="A114" s="419">
        <v>45966</v>
      </c>
      <c r="B114" s="302" t="s">
        <v>505</v>
      </c>
      <c r="C114" s="177" t="str">
        <f>LEFT(B114,FIND("@",B114)-2)</f>
        <v>Washington Wizards</v>
      </c>
      <c r="D114" s="177">
        <v>108</v>
      </c>
      <c r="E114" s="336">
        <v>107</v>
      </c>
      <c r="F114" s="327">
        <f>IF(E114&gt;D114, 1, 0)</f>
        <v>0</v>
      </c>
      <c r="G114" s="177" t="str">
        <f>MID(B114,FIND("@",B114)+2,LEN(B114)-FIND("@",B114)-1)</f>
        <v>Boston Celtics</v>
      </c>
      <c r="H114" s="177">
        <v>115</v>
      </c>
      <c r="I114" s="336">
        <v>136</v>
      </c>
      <c r="J114" s="327">
        <f>IF(I114&gt;H114, 1, 0)</f>
        <v>1</v>
      </c>
      <c r="K114" s="177">
        <f>+D114+H114</f>
        <v>223</v>
      </c>
      <c r="L114" s="336">
        <f>E114+I114</f>
        <v>243</v>
      </c>
      <c r="M114" s="327">
        <f>IF(L114&gt;K114, 1, 0)</f>
        <v>1</v>
      </c>
      <c r="N114" s="337">
        <f>(+H114-D114)</f>
        <v>7</v>
      </c>
      <c r="O114" s="355">
        <f>I114-E114</f>
        <v>29</v>
      </c>
      <c r="P114" s="405">
        <f>IF(OR(AND(N114&gt;0,O114&gt;0),AND(N114&lt;0,O114&lt;0)),1,0)</f>
        <v>1</v>
      </c>
      <c r="Q114" s="289">
        <f>WEEKNUM(tblResultadosNBA[[#This Row],[Fecha]],2)</f>
        <v>45</v>
      </c>
      <c r="R114" t="str">
        <f>TEXT(tblResultadosNBA[[#This Row],[Fecha]],"mmm")</f>
        <v>nov</v>
      </c>
    </row>
    <row r="115" spans="1:18">
      <c r="A115" s="419">
        <v>45966</v>
      </c>
      <c r="B115" s="302" t="s">
        <v>506</v>
      </c>
      <c r="C115" s="177" t="str">
        <f>LEFT(B115,FIND("@",B115)-2)</f>
        <v>Minnesota Timberwolves</v>
      </c>
      <c r="D115" s="177">
        <v>117</v>
      </c>
      <c r="E115" s="336">
        <v>114</v>
      </c>
      <c r="F115" s="327">
        <f>IF(E115&gt;D115, 1, 0)</f>
        <v>0</v>
      </c>
      <c r="G115" s="177" t="str">
        <f>MID(B115,FIND("@",B115)+2,LEN(B115)-FIND("@",B115)-1)</f>
        <v>New York Knicks</v>
      </c>
      <c r="H115" s="177">
        <v>109</v>
      </c>
      <c r="I115" s="336">
        <v>137</v>
      </c>
      <c r="J115" s="327">
        <f>IF(I115&gt;H115, 1, 0)</f>
        <v>1</v>
      </c>
      <c r="K115" s="177">
        <f>+D115+H115</f>
        <v>226</v>
      </c>
      <c r="L115" s="336">
        <f>E115+I115</f>
        <v>251</v>
      </c>
      <c r="M115" s="327">
        <f>IF(L115&gt;K115, 1, 0)</f>
        <v>1</v>
      </c>
      <c r="N115" s="337">
        <f>(+H115-D115)</f>
        <v>-8</v>
      </c>
      <c r="O115" s="355">
        <f>I115-E115</f>
        <v>23</v>
      </c>
      <c r="P115" s="405">
        <f>IF(OR(AND(N115&gt;0,O115&gt;0),AND(N115&lt;0,O115&lt;0)),1,0)</f>
        <v>0</v>
      </c>
      <c r="Q115" s="289">
        <f>WEEKNUM(tblResultadosNBA[[#This Row],[Fecha]],2)</f>
        <v>45</v>
      </c>
      <c r="R115" t="str">
        <f>TEXT(tblResultadosNBA[[#This Row],[Fecha]],"mmm")</f>
        <v>nov</v>
      </c>
    </row>
    <row r="116" spans="1:18">
      <c r="A116" s="419">
        <v>45966</v>
      </c>
      <c r="B116" s="302" t="s">
        <v>507</v>
      </c>
      <c r="C116" s="177" t="str">
        <f>LEFT(B116,FIND("@",B116)-2)</f>
        <v>Houston Rockets</v>
      </c>
      <c r="D116" s="177">
        <v>109</v>
      </c>
      <c r="E116" s="336">
        <v>124</v>
      </c>
      <c r="F116" s="327">
        <f>IF(E116&gt;D116, 1, 0)</f>
        <v>1</v>
      </c>
      <c r="G116" s="177" t="str">
        <f>MID(B116,FIND("@",B116)+2,LEN(B116)-FIND("@",B116)-1)</f>
        <v>Memphis Grizzlies</v>
      </c>
      <c r="H116" s="177">
        <v>120</v>
      </c>
      <c r="I116" s="336">
        <v>109</v>
      </c>
      <c r="J116" s="327">
        <f>IF(I116&gt;H116, 1, 0)</f>
        <v>0</v>
      </c>
      <c r="K116" s="177">
        <f>+D116+H116</f>
        <v>229</v>
      </c>
      <c r="L116" s="336">
        <f>E116+I116</f>
        <v>233</v>
      </c>
      <c r="M116" s="327">
        <f>IF(L116&gt;K116, 1, 0)</f>
        <v>1</v>
      </c>
      <c r="N116" s="337">
        <f>(+H116-D116)</f>
        <v>11</v>
      </c>
      <c r="O116" s="355">
        <f>I116-E116</f>
        <v>-15</v>
      </c>
      <c r="P116" s="405">
        <f>IF(OR(AND(N116&gt;0,O116&gt;0),AND(N116&lt;0,O116&lt;0)),1,0)</f>
        <v>0</v>
      </c>
      <c r="Q116" s="289">
        <f>WEEKNUM(tblResultadosNBA[[#This Row],[Fecha]],2)</f>
        <v>45</v>
      </c>
      <c r="R116" t="str">
        <f>TEXT(tblResultadosNBA[[#This Row],[Fecha]],"mmm")</f>
        <v>nov</v>
      </c>
    </row>
    <row r="117" spans="1:18">
      <c r="A117" s="419">
        <v>45966</v>
      </c>
      <c r="B117" s="302" t="s">
        <v>508</v>
      </c>
      <c r="C117" s="177" t="str">
        <f>LEFT(B117,FIND("@",B117)-2)</f>
        <v>New Orleans Pelicans</v>
      </c>
      <c r="D117" s="177">
        <v>117</v>
      </c>
      <c r="E117" s="336">
        <v>101</v>
      </c>
      <c r="F117" s="327">
        <f>IF(E117&gt;D117, 1, 0)</f>
        <v>0</v>
      </c>
      <c r="G117" s="177" t="str">
        <f>MID(B117,FIND("@",B117)+2,LEN(B117)-FIND("@",B117)-1)</f>
        <v>Dallas Mavericks</v>
      </c>
      <c r="H117" s="177">
        <v>106</v>
      </c>
      <c r="I117" s="336">
        <v>99</v>
      </c>
      <c r="J117" s="327">
        <f>IF(I117&gt;H117, 1, 0)</f>
        <v>0</v>
      </c>
      <c r="K117" s="177">
        <f>+D117+H117</f>
        <v>223</v>
      </c>
      <c r="L117" s="336">
        <f>E117+I117</f>
        <v>200</v>
      </c>
      <c r="M117" s="327">
        <f>IF(L117&gt;K117, 1, 0)</f>
        <v>0</v>
      </c>
      <c r="N117" s="337">
        <f>(+H117-D117)</f>
        <v>-11</v>
      </c>
      <c r="O117" s="355">
        <f>I117-E117</f>
        <v>-2</v>
      </c>
      <c r="P117" s="405">
        <f>IF(OR(AND(N117&gt;0,O117&gt;0),AND(N117&lt;0,O117&lt;0)),1,0)</f>
        <v>1</v>
      </c>
      <c r="Q117" s="289">
        <f>WEEKNUM(tblResultadosNBA[[#This Row],[Fecha]],2)</f>
        <v>45</v>
      </c>
      <c r="R117" t="str">
        <f>TEXT(tblResultadosNBA[[#This Row],[Fecha]],"mmm")</f>
        <v>nov</v>
      </c>
    </row>
    <row r="118" spans="1:18">
      <c r="A118" s="419">
        <v>45966</v>
      </c>
      <c r="B118" s="302" t="s">
        <v>509</v>
      </c>
      <c r="C118" s="177" t="str">
        <f>LEFT(B118,FIND("@",B118)-2)</f>
        <v>Miami Heat</v>
      </c>
      <c r="D118" s="177">
        <v>104</v>
      </c>
      <c r="E118" s="336">
        <v>112</v>
      </c>
      <c r="F118" s="327">
        <f>IF(E118&gt;D118, 1, 0)</f>
        <v>1</v>
      </c>
      <c r="G118" s="177" t="str">
        <f>MID(B118,FIND("@",B118)+2,LEN(B118)-FIND("@",B118)-1)</f>
        <v>Denver Nuggets</v>
      </c>
      <c r="H118" s="177">
        <v>112</v>
      </c>
      <c r="I118" s="336">
        <v>122</v>
      </c>
      <c r="J118" s="327">
        <f>IF(I118&gt;H118, 1, 0)</f>
        <v>1</v>
      </c>
      <c r="K118" s="177">
        <f>+D118+H118</f>
        <v>216</v>
      </c>
      <c r="L118" s="336">
        <f>E118+I118</f>
        <v>234</v>
      </c>
      <c r="M118" s="327">
        <f>IF(L118&gt;K118, 1, 0)</f>
        <v>1</v>
      </c>
      <c r="N118" s="337">
        <f>(+H118-D118)</f>
        <v>8</v>
      </c>
      <c r="O118" s="355">
        <f>I118-E118</f>
        <v>10</v>
      </c>
      <c r="P118" s="405">
        <f>IF(OR(AND(N118&gt;0,O118&gt;0),AND(N118&lt;0,O118&lt;0)),1,0)</f>
        <v>1</v>
      </c>
      <c r="Q118" s="289">
        <f>WEEKNUM(tblResultadosNBA[[#This Row],[Fecha]],2)</f>
        <v>45</v>
      </c>
      <c r="R118" t="str">
        <f>TEXT(tblResultadosNBA[[#This Row],[Fecha]],"mmm")</f>
        <v>nov</v>
      </c>
    </row>
    <row r="119" spans="1:18">
      <c r="A119" s="419">
        <v>45966</v>
      </c>
      <c r="B119" s="396" t="s">
        <v>510</v>
      </c>
      <c r="C119" s="177" t="str">
        <f>LEFT(B119,FIND("@",B119)-2)</f>
        <v>San Antonio Spurs</v>
      </c>
      <c r="D119" s="177">
        <v>107</v>
      </c>
      <c r="E119" s="336">
        <v>116</v>
      </c>
      <c r="F119" s="327">
        <f>IF(E119&gt;D119, 1, 0)</f>
        <v>1</v>
      </c>
      <c r="G119" s="177" t="str">
        <f>MID(B119,FIND("@",B119)+2,LEN(B119)-FIND("@",B119)-1)</f>
        <v>Los Angeles Lakers</v>
      </c>
      <c r="H119" s="177">
        <v>113</v>
      </c>
      <c r="I119" s="336">
        <v>118</v>
      </c>
      <c r="J119" s="327">
        <f>IF(I119&gt;H119, 1, 0)</f>
        <v>1</v>
      </c>
      <c r="K119" s="177">
        <f>+D119+H119</f>
        <v>220</v>
      </c>
      <c r="L119" s="336">
        <f>E119+I119</f>
        <v>234</v>
      </c>
      <c r="M119" s="327">
        <f>IF(L119&gt;K119, 1, 0)</f>
        <v>1</v>
      </c>
      <c r="N119" s="337">
        <f>(+H119-D119)</f>
        <v>6</v>
      </c>
      <c r="O119" s="355">
        <f>I119-E119</f>
        <v>2</v>
      </c>
      <c r="P119" s="405">
        <f>IF(OR(AND(N119&gt;0,O119&gt;0),AND(N119&lt;0,O119&lt;0)),1,0)</f>
        <v>1</v>
      </c>
      <c r="Q119" s="289">
        <f>WEEKNUM(tblResultadosNBA[[#This Row],[Fecha]],2)</f>
        <v>45</v>
      </c>
      <c r="R119" t="str">
        <f>TEXT(tblResultadosNBA[[#This Row],[Fecha]],"mmm")</f>
        <v>nov</v>
      </c>
    </row>
    <row r="120" spans="1:18">
      <c r="A120" s="419">
        <v>45966</v>
      </c>
      <c r="B120" s="396" t="s">
        <v>511</v>
      </c>
      <c r="C120" s="177" t="str">
        <f>LEFT(B120,FIND("@",B120)-2)</f>
        <v>Oklahoma City Thunder</v>
      </c>
      <c r="D120" s="177">
        <v>114</v>
      </c>
      <c r="E120" s="336">
        <v>119</v>
      </c>
      <c r="F120" s="327">
        <f>IF(E120&gt;D120, 1, 0)</f>
        <v>1</v>
      </c>
      <c r="G120" s="177" t="str">
        <f>MID(B120,FIND("@",B120)+2,LEN(B120)-FIND("@",B120)-1)</f>
        <v>Portland Trail Blazers</v>
      </c>
      <c r="H120" s="177">
        <v>117</v>
      </c>
      <c r="I120" s="336">
        <v>121</v>
      </c>
      <c r="J120" s="327">
        <f>IF(I120&gt;H120, 1, 0)</f>
        <v>1</v>
      </c>
      <c r="K120" s="177">
        <f>+D120+H120</f>
        <v>231</v>
      </c>
      <c r="L120" s="336">
        <f>E120+I120</f>
        <v>240</v>
      </c>
      <c r="M120" s="327">
        <f>IF(L120&gt;K120, 1, 0)</f>
        <v>1</v>
      </c>
      <c r="N120" s="337">
        <f>(+H120-D120)</f>
        <v>3</v>
      </c>
      <c r="O120" s="355">
        <f>I120-E120</f>
        <v>2</v>
      </c>
      <c r="P120" s="405">
        <f>IF(OR(AND(N120&gt;0,O120&gt;0),AND(N120&lt;0,O120&lt;0)),1,0)</f>
        <v>1</v>
      </c>
      <c r="Q120" s="289">
        <f>WEEKNUM(tblResultadosNBA[[#This Row],[Fecha]],2)</f>
        <v>45</v>
      </c>
      <c r="R120" t="str">
        <f>TEXT(tblResultadosNBA[[#This Row],[Fecha]],"mmm")</f>
        <v>nov</v>
      </c>
    </row>
    <row r="121" spans="1:18">
      <c r="A121" s="445">
        <v>45966</v>
      </c>
      <c r="B121" s="424" t="s">
        <v>512</v>
      </c>
      <c r="C121" s="299" t="str">
        <f>LEFT(B121,FIND("@",B121)-2)</f>
        <v>Golden State Warriors</v>
      </c>
      <c r="D121" s="299">
        <v>117</v>
      </c>
      <c r="E121" s="309">
        <v>116</v>
      </c>
      <c r="F121" s="334">
        <f>IF(E121&gt;D121, 1, 0)</f>
        <v>0</v>
      </c>
      <c r="G121" s="299" t="str">
        <f>MID(B121,FIND("@",B121)+2,LEN(B121)-FIND("@",B121)-1)</f>
        <v>Sacramento Kings</v>
      </c>
      <c r="H121" s="299">
        <v>122</v>
      </c>
      <c r="I121" s="309">
        <v>121</v>
      </c>
      <c r="J121" s="334">
        <f>IF(I121&gt;H121, 1, 0)</f>
        <v>0</v>
      </c>
      <c r="K121" s="299">
        <f>+D121+H121</f>
        <v>239</v>
      </c>
      <c r="L121" s="309">
        <f>E121+I121</f>
        <v>237</v>
      </c>
      <c r="M121" s="334">
        <f>IF(L121&gt;K121, 1, 0)</f>
        <v>0</v>
      </c>
      <c r="N121" s="321">
        <f>(+H121-D121)</f>
        <v>5</v>
      </c>
      <c r="O121" s="360">
        <f>I121-E121</f>
        <v>5</v>
      </c>
      <c r="P121" s="408">
        <f>IF(OR(AND(N121&gt;0,O121&gt;0),AND(N121&lt;0,O121&lt;0)),1,0)</f>
        <v>1</v>
      </c>
      <c r="Q121" s="433">
        <f>WEEKNUM(tblResultadosNBA[[#This Row],[Fecha]],2)</f>
        <v>45</v>
      </c>
      <c r="R121" s="433" t="str">
        <f>TEXT(tblResultadosNBA[[#This Row],[Fecha]],"mmm")</f>
        <v>nov</v>
      </c>
    </row>
    <row r="122" spans="1:18">
      <c r="A122" s="446">
        <v>45967</v>
      </c>
      <c r="B122" s="330" t="s">
        <v>328</v>
      </c>
      <c r="C122" s="312" t="str">
        <f>LEFT(B122,FIND("@",B122)-2)</f>
        <v>LA Clippers</v>
      </c>
      <c r="D122" s="312">
        <v>126</v>
      </c>
      <c r="E122" s="362">
        <v>102</v>
      </c>
      <c r="F122" s="339">
        <f>IF(E122&gt;D122, 1, 0)</f>
        <v>0</v>
      </c>
      <c r="G122" s="312" t="str">
        <f>MID(B122,FIND("@",B122)+2,LEN(B122)-FIND("@",B122)-1)</f>
        <v>Phoenix Suns</v>
      </c>
      <c r="H122" s="312">
        <v>114</v>
      </c>
      <c r="I122" s="362">
        <v>115</v>
      </c>
      <c r="J122" s="339">
        <f>IF(I122&gt;H122, 1, 0)</f>
        <v>1</v>
      </c>
      <c r="K122" s="312">
        <f>+D122+H122</f>
        <v>240</v>
      </c>
      <c r="L122" s="362">
        <f>E122+I122</f>
        <v>217</v>
      </c>
      <c r="M122" s="339">
        <f>IF(L122&gt;K122, 1, 0)</f>
        <v>0</v>
      </c>
      <c r="N122" s="363">
        <f>(+H122-D122)</f>
        <v>-12</v>
      </c>
      <c r="O122" s="364">
        <f>I122-E122</f>
        <v>13</v>
      </c>
      <c r="P122" s="409">
        <f>IF(OR(AND(N122&gt;0,O122&gt;0),AND(N122&lt;0,O122&lt;0)),1,0)</f>
        <v>0</v>
      </c>
      <c r="Q122" s="289">
        <f>WEEKNUM(tblResultadosNBA[[#This Row],[Fecha]],2)</f>
        <v>45</v>
      </c>
      <c r="R122" t="str">
        <f>TEXT(tblResultadosNBA[[#This Row],[Fecha]],"mmm")</f>
        <v>nov</v>
      </c>
    </row>
    <row r="123" spans="1:18">
      <c r="A123" s="439">
        <v>45968</v>
      </c>
      <c r="B123" s="329" t="s">
        <v>513</v>
      </c>
      <c r="C123" s="244" t="str">
        <f>LEFT(B123,FIND("@",B123)-2)</f>
        <v>Boston Celtics</v>
      </c>
      <c r="D123" s="244">
        <v>119</v>
      </c>
      <c r="E123" s="292">
        <v>110</v>
      </c>
      <c r="F123" s="358">
        <f>IF(E123&gt;D123, 1, 0)</f>
        <v>0</v>
      </c>
      <c r="G123" s="244" t="str">
        <f>MID(B123,FIND("@",B123)+2,LEN(B123)-FIND("@",B123)-1)</f>
        <v>Orlando Magic</v>
      </c>
      <c r="H123" s="244">
        <v>107</v>
      </c>
      <c r="I123" s="292">
        <v>123</v>
      </c>
      <c r="J123" s="358">
        <f>IF(I123&gt;H123, 1, 0)</f>
        <v>1</v>
      </c>
      <c r="K123" s="244">
        <f>+D123+H123</f>
        <v>226</v>
      </c>
      <c r="L123" s="292">
        <f>E123+I123</f>
        <v>233</v>
      </c>
      <c r="M123" s="358">
        <f>IF(L123&gt;K123, 1, 0)</f>
        <v>1</v>
      </c>
      <c r="N123" s="320">
        <f>(+H123-D123)</f>
        <v>-12</v>
      </c>
      <c r="O123" s="359">
        <f>I123-E123</f>
        <v>13</v>
      </c>
      <c r="P123" s="410">
        <f>IF(OR(AND(N123&gt;0,O123&gt;0),AND(N123&lt;0,O123&lt;0)),1,0)</f>
        <v>0</v>
      </c>
      <c r="Q123" s="289">
        <f>WEEKNUM(tblResultadosNBA[[#This Row],[Fecha]],2)</f>
        <v>45</v>
      </c>
      <c r="R123" t="str">
        <f>TEXT(tblResultadosNBA[[#This Row],[Fecha]],"mmm")</f>
        <v>nov</v>
      </c>
    </row>
    <row r="124" spans="1:18">
      <c r="A124" s="419">
        <v>45968</v>
      </c>
      <c r="B124" s="302" t="s">
        <v>174</v>
      </c>
      <c r="C124" s="177" t="str">
        <f>LEFT(B124,FIND("@",B124)-2)</f>
        <v>Cleveland Cavaliers</v>
      </c>
      <c r="D124" s="177">
        <v>114</v>
      </c>
      <c r="E124" s="336">
        <v>148</v>
      </c>
      <c r="F124" s="327">
        <f>IF(E124&gt;D124, 1, 0)</f>
        <v>1</v>
      </c>
      <c r="G124" s="177" t="str">
        <f>MID(B124,FIND("@",B124)+2,LEN(B124)-FIND("@",B124)-1)</f>
        <v>Washington Wizards</v>
      </c>
      <c r="H124" s="177">
        <v>112</v>
      </c>
      <c r="I124" s="336">
        <v>114</v>
      </c>
      <c r="J124" s="327">
        <f>IF(I124&gt;H124, 1, 0)</f>
        <v>1</v>
      </c>
      <c r="K124" s="177">
        <f>+D124+H124</f>
        <v>226</v>
      </c>
      <c r="L124" s="336">
        <f>E124+I124</f>
        <v>262</v>
      </c>
      <c r="M124" s="327">
        <f>IF(L124&gt;K124, 1, 0)</f>
        <v>1</v>
      </c>
      <c r="N124" s="337">
        <f>(+H124-D124)</f>
        <v>-2</v>
      </c>
      <c r="O124" s="355">
        <f>I124-E124</f>
        <v>-34</v>
      </c>
      <c r="P124" s="405">
        <f>IF(OR(AND(N124&gt;0,O124&gt;0),AND(N124&lt;0,O124&lt;0)),1,0)</f>
        <v>1</v>
      </c>
      <c r="Q124" s="289">
        <f>WEEKNUM(tblResultadosNBA[[#This Row],[Fecha]],2)</f>
        <v>45</v>
      </c>
      <c r="R124" t="str">
        <f>TEXT(tblResultadosNBA[[#This Row],[Fecha]],"mmm")</f>
        <v>nov</v>
      </c>
    </row>
    <row r="125" spans="1:18">
      <c r="A125" s="419">
        <v>45968</v>
      </c>
      <c r="B125" s="302" t="s">
        <v>418</v>
      </c>
      <c r="C125" s="177" t="str">
        <f>LEFT(B125,FIND("@",B125)-2)</f>
        <v>Toronto Raptors</v>
      </c>
      <c r="D125" s="177">
        <v>109</v>
      </c>
      <c r="E125" s="336">
        <v>109</v>
      </c>
      <c r="F125" s="327">
        <f>IF(E125&gt;D125, 1, 0)</f>
        <v>0</v>
      </c>
      <c r="G125" s="177" t="str">
        <f>MID(B125,FIND("@",B125)+2,LEN(B125)-FIND("@",B125)-1)</f>
        <v>Atlanta Hawks</v>
      </c>
      <c r="H125" s="177">
        <v>117</v>
      </c>
      <c r="I125" s="336">
        <v>97</v>
      </c>
      <c r="J125" s="327">
        <f>IF(I125&gt;H125, 1, 0)</f>
        <v>0</v>
      </c>
      <c r="K125" s="177">
        <f>+D125+H125</f>
        <v>226</v>
      </c>
      <c r="L125" s="336">
        <f>E125+I125</f>
        <v>206</v>
      </c>
      <c r="M125" s="327">
        <f>IF(L125&gt;K125, 1, 0)</f>
        <v>0</v>
      </c>
      <c r="N125" s="337">
        <f>(+H125-D125)</f>
        <v>8</v>
      </c>
      <c r="O125" s="355">
        <f>I125-E125</f>
        <v>-12</v>
      </c>
      <c r="P125" s="405">
        <f>IF(OR(AND(N125&gt;0,O125&gt;0),AND(N125&lt;0,O125&lt;0)),1,0)</f>
        <v>0</v>
      </c>
      <c r="Q125" s="289">
        <f>WEEKNUM(tblResultadosNBA[[#This Row],[Fecha]],2)</f>
        <v>45</v>
      </c>
      <c r="R125" t="str">
        <f>TEXT(tblResultadosNBA[[#This Row],[Fecha]],"mmm")</f>
        <v>nov</v>
      </c>
    </row>
    <row r="126" spans="1:18">
      <c r="A126" s="419">
        <v>45968</v>
      </c>
      <c r="B126" s="302" t="s">
        <v>514</v>
      </c>
      <c r="C126" s="177" t="str">
        <f>LEFT(B126,FIND("@",B126)-2)</f>
        <v>Detroit Pistons</v>
      </c>
      <c r="D126" s="177">
        <v>116</v>
      </c>
      <c r="E126" s="336">
        <v>125</v>
      </c>
      <c r="F126" s="327">
        <f>IF(E126&gt;D126, 1, 0)</f>
        <v>1</v>
      </c>
      <c r="G126" s="177" t="str">
        <f>MID(B126,FIND("@",B126)+2,LEN(B126)-FIND("@",B126)-1)</f>
        <v>Brooklyn Nets</v>
      </c>
      <c r="H126" s="177">
        <v>121</v>
      </c>
      <c r="I126" s="336">
        <v>107</v>
      </c>
      <c r="J126" s="327">
        <f>IF(I126&gt;H126, 1, 0)</f>
        <v>0</v>
      </c>
      <c r="K126" s="177">
        <f>+D126+H126</f>
        <v>237</v>
      </c>
      <c r="L126" s="336">
        <f>E126+I126</f>
        <v>232</v>
      </c>
      <c r="M126" s="327">
        <f>IF(L126&gt;K126, 1, 0)</f>
        <v>0</v>
      </c>
      <c r="N126" s="337">
        <f>(+H126-D126)</f>
        <v>5</v>
      </c>
      <c r="O126" s="355">
        <f>I126-E126</f>
        <v>-18</v>
      </c>
      <c r="P126" s="405">
        <f>IF(OR(AND(N126&gt;0,O126&gt;0),AND(N126&lt;0,O126&lt;0)),1,0)</f>
        <v>0</v>
      </c>
      <c r="Q126" s="289">
        <f>WEEKNUM(tblResultadosNBA[[#This Row],[Fecha]],2)</f>
        <v>45</v>
      </c>
      <c r="R126" t="str">
        <f>TEXT(tblResultadosNBA[[#This Row],[Fecha]],"mmm")</f>
        <v>nov</v>
      </c>
    </row>
    <row r="127" spans="1:18">
      <c r="A127" s="419">
        <v>45968</v>
      </c>
      <c r="B127" s="302" t="s">
        <v>515</v>
      </c>
      <c r="C127" s="177" t="str">
        <f>LEFT(B127,FIND("@",B127)-2)</f>
        <v>Houston Rockets</v>
      </c>
      <c r="D127" s="177">
        <v>117</v>
      </c>
      <c r="E127" s="336">
        <v>110</v>
      </c>
      <c r="F127" s="327">
        <f>IF(E127&gt;D127, 1, 0)</f>
        <v>0</v>
      </c>
      <c r="G127" s="177" t="str">
        <f>MID(B127,FIND("@",B127)+2,LEN(B127)-FIND("@",B127)-1)</f>
        <v>San Antonio Spurs</v>
      </c>
      <c r="H127" s="177">
        <v>108</v>
      </c>
      <c r="I127" s="336">
        <v>121</v>
      </c>
      <c r="J127" s="327">
        <f>IF(I127&gt;H127, 1, 0)</f>
        <v>1</v>
      </c>
      <c r="K127" s="177">
        <f>+D127+H127</f>
        <v>225</v>
      </c>
      <c r="L127" s="336">
        <f>E127+I127</f>
        <v>231</v>
      </c>
      <c r="M127" s="327">
        <f>IF(L127&gt;K127, 1, 0)</f>
        <v>1</v>
      </c>
      <c r="N127" s="337">
        <f>(+H127-D127)</f>
        <v>-9</v>
      </c>
      <c r="O127" s="355">
        <f>I127-E127</f>
        <v>11</v>
      </c>
      <c r="P127" s="405">
        <f>IF(OR(AND(N127&gt;0,O127&gt;0),AND(N127&lt;0,O127&lt;0)),1,0)</f>
        <v>0</v>
      </c>
      <c r="Q127" s="289">
        <f>WEEKNUM(tblResultadosNBA[[#This Row],[Fecha]],2)</f>
        <v>45</v>
      </c>
      <c r="R127" t="str">
        <f>TEXT(tblResultadosNBA[[#This Row],[Fecha]],"mmm")</f>
        <v>nov</v>
      </c>
    </row>
    <row r="128" spans="1:18">
      <c r="A128" s="419">
        <v>45968</v>
      </c>
      <c r="B128" s="302" t="s">
        <v>457</v>
      </c>
      <c r="C128" s="177" t="str">
        <f>LEFT(B128,FIND("@",B128)-2)</f>
        <v>Charlotte Hornets</v>
      </c>
      <c r="D128" s="177">
        <v>107</v>
      </c>
      <c r="E128" s="336">
        <v>108</v>
      </c>
      <c r="F128" s="327">
        <f>IF(E128&gt;D128, 1, 0)</f>
        <v>1</v>
      </c>
      <c r="G128" s="177" t="str">
        <f>MID(B128,FIND("@",B128)+2,LEN(B128)-FIND("@",B128)-1)</f>
        <v>Miami Heat</v>
      </c>
      <c r="H128" s="177">
        <v>113</v>
      </c>
      <c r="I128" s="336">
        <v>126</v>
      </c>
      <c r="J128" s="327">
        <f>IF(I128&gt;H128, 1, 0)</f>
        <v>1</v>
      </c>
      <c r="K128" s="177">
        <f>+D128+H128</f>
        <v>220</v>
      </c>
      <c r="L128" s="336">
        <f>E128+I128</f>
        <v>234</v>
      </c>
      <c r="M128" s="327">
        <f>IF(L128&gt;K128, 1, 0)</f>
        <v>1</v>
      </c>
      <c r="N128" s="337">
        <f>(+H128-D128)</f>
        <v>6</v>
      </c>
      <c r="O128" s="355">
        <f>I128-E128</f>
        <v>18</v>
      </c>
      <c r="P128" s="405">
        <f>IF(OR(AND(N128&gt;0,O128&gt;0),AND(N128&lt;0,O128&lt;0)),1,0)</f>
        <v>1</v>
      </c>
      <c r="Q128" s="289">
        <f>WEEKNUM(tblResultadosNBA[[#This Row],[Fecha]],2)</f>
        <v>45</v>
      </c>
      <c r="R128" t="str">
        <f>TEXT(tblResultadosNBA[[#This Row],[Fecha]],"mmm")</f>
        <v>nov</v>
      </c>
    </row>
    <row r="129" spans="1:18">
      <c r="A129" s="419">
        <v>45968</v>
      </c>
      <c r="B129" s="302" t="s">
        <v>516</v>
      </c>
      <c r="C129" s="177" t="str">
        <f>LEFT(B129,FIND("@",B129)-2)</f>
        <v>Dallas Mavericks</v>
      </c>
      <c r="D129" s="177">
        <v>102</v>
      </c>
      <c r="E129" s="336">
        <v>104</v>
      </c>
      <c r="F129" s="327">
        <f>IF(E129&gt;D129, 1, 0)</f>
        <v>1</v>
      </c>
      <c r="G129" s="177" t="str">
        <f>MID(B129,FIND("@",B129)+2,LEN(B129)-FIND("@",B129)-1)</f>
        <v>Memphis Grizzlies</v>
      </c>
      <c r="H129" s="177">
        <v>106</v>
      </c>
      <c r="I129" s="336">
        <v>118</v>
      </c>
      <c r="J129" s="327">
        <f>IF(I129&gt;H129, 1, 0)</f>
        <v>1</v>
      </c>
      <c r="K129" s="177">
        <f>+D129+H129</f>
        <v>208</v>
      </c>
      <c r="L129" s="336">
        <f>E129+I129</f>
        <v>222</v>
      </c>
      <c r="M129" s="327">
        <f>IF(L129&gt;K129, 1, 0)</f>
        <v>1</v>
      </c>
      <c r="N129" s="337">
        <f>(+H129-D129)</f>
        <v>4</v>
      </c>
      <c r="O129" s="355">
        <f>I129-E129</f>
        <v>14</v>
      </c>
      <c r="P129" s="405">
        <f>IF(OR(AND(N129&gt;0,O129&gt;0),AND(N129&lt;0,O129&lt;0)),1,0)</f>
        <v>1</v>
      </c>
      <c r="Q129" s="289">
        <f>WEEKNUM(tblResultadosNBA[[#This Row],[Fecha]],2)</f>
        <v>45</v>
      </c>
      <c r="R129" t="str">
        <f>TEXT(tblResultadosNBA[[#This Row],[Fecha]],"mmm")</f>
        <v>nov</v>
      </c>
    </row>
    <row r="130" spans="1:18">
      <c r="A130" s="419">
        <v>45968</v>
      </c>
      <c r="B130" s="302" t="s">
        <v>517</v>
      </c>
      <c r="C130" s="177" t="str">
        <f>LEFT(B130,FIND("@",B130)-2)</f>
        <v>Chicago Bulls</v>
      </c>
      <c r="D130" s="177">
        <v>113</v>
      </c>
      <c r="E130" s="336">
        <v>110</v>
      </c>
      <c r="F130" s="327">
        <f>IF(E130&gt;D130, 1, 0)</f>
        <v>0</v>
      </c>
      <c r="G130" s="177" t="str">
        <f>MID(B130,FIND("@",B130)+2,LEN(B130)-FIND("@",B130)-1)</f>
        <v>Milwaukee Bucks</v>
      </c>
      <c r="H130" s="177">
        <v>117</v>
      </c>
      <c r="I130" s="336">
        <v>126</v>
      </c>
      <c r="J130" s="327">
        <f>IF(I130&gt;H130, 1, 0)</f>
        <v>1</v>
      </c>
      <c r="K130" s="177">
        <f>+D130+H130</f>
        <v>230</v>
      </c>
      <c r="L130" s="336">
        <f>E130+I130</f>
        <v>236</v>
      </c>
      <c r="M130" s="327">
        <f>IF(L130&gt;K130, 1, 0)</f>
        <v>1</v>
      </c>
      <c r="N130" s="337">
        <f>(+H130-D130)</f>
        <v>4</v>
      </c>
      <c r="O130" s="355">
        <f>I130-E130</f>
        <v>16</v>
      </c>
      <c r="P130" s="405">
        <f>IF(OR(AND(N130&gt;0,O130&gt;0),AND(N130&lt;0,O130&lt;0)),1,0)</f>
        <v>1</v>
      </c>
      <c r="Q130" s="289">
        <f>WEEKNUM(tblResultadosNBA[[#This Row],[Fecha]],2)</f>
        <v>45</v>
      </c>
      <c r="R130" t="str">
        <f>TEXT(tblResultadosNBA[[#This Row],[Fecha]],"mmm")</f>
        <v>nov</v>
      </c>
    </row>
    <row r="131" spans="1:18">
      <c r="A131" s="419">
        <v>45968</v>
      </c>
      <c r="B131" s="302" t="s">
        <v>518</v>
      </c>
      <c r="C131" s="177" t="str">
        <f>LEFT(B131,FIND("@",B131)-2)</f>
        <v>Utah Jazz</v>
      </c>
      <c r="D131" s="177">
        <v>116</v>
      </c>
      <c r="E131" s="336">
        <v>97</v>
      </c>
      <c r="F131" s="327">
        <f>IF(E131&gt;D131, 1, 0)</f>
        <v>0</v>
      </c>
      <c r="G131" s="177" t="str">
        <f>MID(B131,FIND("@",B131)+2,LEN(B131)-FIND("@",B131)-1)</f>
        <v>Minnesota Timberwolves</v>
      </c>
      <c r="H131" s="177">
        <v>118</v>
      </c>
      <c r="I131" s="336">
        <v>137</v>
      </c>
      <c r="J131" s="327">
        <f>IF(I131&gt;H131, 1, 0)</f>
        <v>1</v>
      </c>
      <c r="K131" s="177">
        <f>+D131+H131</f>
        <v>234</v>
      </c>
      <c r="L131" s="336">
        <f>E131+I131</f>
        <v>234</v>
      </c>
      <c r="M131" s="327">
        <f>IF(L131&gt;K131, 1, 0)</f>
        <v>0</v>
      </c>
      <c r="N131" s="337">
        <f>(+H131-D131)</f>
        <v>2</v>
      </c>
      <c r="O131" s="355">
        <f>I131-E131</f>
        <v>40</v>
      </c>
      <c r="P131" s="405">
        <f>IF(OR(AND(N131&gt;0,O131&gt;0),AND(N131&lt;0,O131&lt;0)),1,0)</f>
        <v>1</v>
      </c>
      <c r="Q131" s="289">
        <f>WEEKNUM(tblResultadosNBA[[#This Row],[Fecha]],2)</f>
        <v>45</v>
      </c>
      <c r="R131" t="str">
        <f>TEXT(tblResultadosNBA[[#This Row],[Fecha]],"mmm")</f>
        <v>nov</v>
      </c>
    </row>
    <row r="132" spans="1:18">
      <c r="A132" s="419">
        <v>45968</v>
      </c>
      <c r="B132" s="302" t="s">
        <v>519</v>
      </c>
      <c r="C132" s="177" t="str">
        <f>LEFT(B132,FIND("@",B132)-2)</f>
        <v>Golden State Warriors</v>
      </c>
      <c r="D132" s="177">
        <v>107</v>
      </c>
      <c r="E132" s="336">
        <v>104</v>
      </c>
      <c r="F132" s="327">
        <f>IF(E132&gt;D132, 1, 0)</f>
        <v>0</v>
      </c>
      <c r="G132" s="177" t="str">
        <f>MID(B132,FIND("@",B132)+2,LEN(B132)-FIND("@",B132)-1)</f>
        <v>Denver Nuggets</v>
      </c>
      <c r="H132" s="177">
        <v>105</v>
      </c>
      <c r="I132" s="336">
        <v>129</v>
      </c>
      <c r="J132" s="327">
        <f>IF(I132&gt;H132, 1, 0)</f>
        <v>1</v>
      </c>
      <c r="K132" s="177">
        <f>+D132+H132</f>
        <v>212</v>
      </c>
      <c r="L132" s="336">
        <f>E132+I132</f>
        <v>233</v>
      </c>
      <c r="M132" s="327">
        <f>IF(L132&gt;K132, 1, 0)</f>
        <v>1</v>
      </c>
      <c r="N132" s="337">
        <f>(+H132-D132)</f>
        <v>-2</v>
      </c>
      <c r="O132" s="355">
        <f>I132-E132</f>
        <v>25</v>
      </c>
      <c r="P132" s="405">
        <f>IF(OR(AND(N132&gt;0,O132&gt;0),AND(N132&lt;0,O132&lt;0)),1,0)</f>
        <v>0</v>
      </c>
      <c r="Q132" s="289">
        <f>WEEKNUM(tblResultadosNBA[[#This Row],[Fecha]],2)</f>
        <v>45</v>
      </c>
      <c r="R132" t="str">
        <f>TEXT(tblResultadosNBA[[#This Row],[Fecha]],"mmm")</f>
        <v>nov</v>
      </c>
    </row>
    <row r="133" spans="1:18">
      <c r="A133" s="445">
        <v>45968</v>
      </c>
      <c r="B133" s="328" t="s">
        <v>520</v>
      </c>
      <c r="C133" s="299" t="str">
        <f>LEFT(B133,FIND("@",B133)-2)</f>
        <v>Oklahoma City Thunder</v>
      </c>
      <c r="D133" s="299">
        <v>121</v>
      </c>
      <c r="E133" s="309">
        <v>132</v>
      </c>
      <c r="F133" s="334">
        <f>IF(E133&gt;D133, 1, 0)</f>
        <v>1</v>
      </c>
      <c r="G133" s="299" t="str">
        <f>MID(B133,FIND("@",B133)+2,LEN(B133)-FIND("@",B133)-1)</f>
        <v>Sacramento Kings</v>
      </c>
      <c r="H133" s="299">
        <v>106</v>
      </c>
      <c r="I133" s="309">
        <v>101</v>
      </c>
      <c r="J133" s="334">
        <f>IF(I133&gt;H133, 1, 0)</f>
        <v>0</v>
      </c>
      <c r="K133" s="299">
        <f>+D133+H133</f>
        <v>227</v>
      </c>
      <c r="L133" s="309">
        <f>E133+I133</f>
        <v>233</v>
      </c>
      <c r="M133" s="334">
        <f>IF(L133&gt;K133, 1, 0)</f>
        <v>1</v>
      </c>
      <c r="N133" s="321">
        <f>(+H133-D133)</f>
        <v>-15</v>
      </c>
      <c r="O133" s="360">
        <f>I133-E133</f>
        <v>-31</v>
      </c>
      <c r="P133" s="408">
        <f>IF(OR(AND(N133&gt;0,O133&gt;0),AND(N133&lt;0,O133&lt;0)),1,0)</f>
        <v>1</v>
      </c>
      <c r="Q133" s="433">
        <f>WEEKNUM(tblResultadosNBA[[#This Row],[Fecha]],2)</f>
        <v>45</v>
      </c>
      <c r="R133" s="433" t="str">
        <f>TEXT(tblResultadosNBA[[#This Row],[Fecha]],"mmm")</f>
        <v>nov</v>
      </c>
    </row>
    <row r="134" spans="1:18">
      <c r="A134" s="439">
        <v>45969</v>
      </c>
      <c r="B134" s="329" t="s">
        <v>521</v>
      </c>
      <c r="C134" s="244" t="str">
        <f>LEFT(B134,FIND("@",B134)-2)</f>
        <v>Dallas Mavericks</v>
      </c>
      <c r="D134" s="244">
        <v>123</v>
      </c>
      <c r="E134" s="292">
        <v>111</v>
      </c>
      <c r="F134" s="358">
        <f>IF(E134&gt;D134, 1, 0)</f>
        <v>0</v>
      </c>
      <c r="G134" s="244" t="str">
        <f>MID(B134,FIND("@",B134)+2,LEN(B134)-FIND("@",B134)-1)</f>
        <v>Washington Wizards</v>
      </c>
      <c r="H134" s="244">
        <v>118</v>
      </c>
      <c r="I134" s="292">
        <v>105</v>
      </c>
      <c r="J134" s="358">
        <f>IF(I134&gt;H134, 1, 0)</f>
        <v>0</v>
      </c>
      <c r="K134" s="244">
        <f>+D134+H134</f>
        <v>241</v>
      </c>
      <c r="L134" s="292">
        <f>E134+I134</f>
        <v>216</v>
      </c>
      <c r="M134" s="358">
        <f>IF(L134&gt;K134, 1, 0)</f>
        <v>0</v>
      </c>
      <c r="N134" s="320">
        <f>(+H134-D134)</f>
        <v>-5</v>
      </c>
      <c r="O134" s="359">
        <f>I134-E134</f>
        <v>-6</v>
      </c>
      <c r="P134" s="410">
        <f>IF(OR(AND(N134&gt;0,O134&gt;0),AND(N134&lt;0,O134&lt;0)),1,0)</f>
        <v>1</v>
      </c>
      <c r="Q134" s="289">
        <f>WEEKNUM(tblResultadosNBA[[#This Row],[Fecha]],2)</f>
        <v>45</v>
      </c>
      <c r="R134" t="str">
        <f>TEXT(tblResultadosNBA[[#This Row],[Fecha]],"mmm")</f>
        <v>nov</v>
      </c>
    </row>
    <row r="135" spans="1:18">
      <c r="A135" s="419">
        <v>45969</v>
      </c>
      <c r="B135" s="302" t="s">
        <v>522</v>
      </c>
      <c r="C135" s="177" t="str">
        <f>LEFT(B135,FIND("@",B135)-2)</f>
        <v>Toronto Raptors</v>
      </c>
      <c r="D135" s="177">
        <v>112</v>
      </c>
      <c r="E135" s="336">
        <v>120</v>
      </c>
      <c r="F135" s="327">
        <f>IF(E135&gt;D135, 1, 0)</f>
        <v>1</v>
      </c>
      <c r="G135" s="177" t="str">
        <f>MID(B135,FIND("@",B135)+2,LEN(B135)-FIND("@",B135)-1)</f>
        <v>Philadelphia 76ers</v>
      </c>
      <c r="H135" s="177">
        <v>118</v>
      </c>
      <c r="I135" s="336">
        <v>130</v>
      </c>
      <c r="J135" s="327">
        <f>IF(I135&gt;H135, 1, 0)</f>
        <v>1</v>
      </c>
      <c r="K135" s="177">
        <f>+D135+H135</f>
        <v>230</v>
      </c>
      <c r="L135" s="336">
        <f>E135+I135</f>
        <v>250</v>
      </c>
      <c r="M135" s="327">
        <f>IF(L135&gt;K135, 1, 0)</f>
        <v>1</v>
      </c>
      <c r="N135" s="337">
        <f>(+H135-D135)</f>
        <v>6</v>
      </c>
      <c r="O135" s="355">
        <f>I135-E135</f>
        <v>10</v>
      </c>
      <c r="P135" s="405">
        <f>IF(OR(AND(N135&gt;0,O135&gt;0),AND(N135&lt;0,O135&lt;0)),1,0)</f>
        <v>1</v>
      </c>
      <c r="Q135" s="289">
        <f>WEEKNUM(tblResultadosNBA[[#This Row],[Fecha]],2)</f>
        <v>45</v>
      </c>
      <c r="R135" t="str">
        <f>TEXT(tblResultadosNBA[[#This Row],[Fecha]],"mmm")</f>
        <v>nov</v>
      </c>
    </row>
    <row r="136" spans="1:18">
      <c r="A136" s="419">
        <v>45969</v>
      </c>
      <c r="B136" s="302" t="s">
        <v>523</v>
      </c>
      <c r="C136" s="177" t="str">
        <f>LEFT(B136,FIND("@",B136)-2)</f>
        <v>Los Angeles Lakers</v>
      </c>
      <c r="D136" s="177">
        <v>114</v>
      </c>
      <c r="E136" s="336">
        <v>102</v>
      </c>
      <c r="F136" s="327">
        <f>IF(E136&gt;D136, 1, 0)</f>
        <v>0</v>
      </c>
      <c r="G136" s="177" t="str">
        <f>MID(B136,FIND("@",B136)+2,LEN(B136)-FIND("@",B136)-1)</f>
        <v>Atlanta Hawks</v>
      </c>
      <c r="H136" s="177">
        <v>112</v>
      </c>
      <c r="I136" s="336">
        <v>122</v>
      </c>
      <c r="J136" s="327">
        <f>IF(I136&gt;H136, 1, 0)</f>
        <v>1</v>
      </c>
      <c r="K136" s="177">
        <f>+D136+H136</f>
        <v>226</v>
      </c>
      <c r="L136" s="336">
        <f>E136+I136</f>
        <v>224</v>
      </c>
      <c r="M136" s="327">
        <f>IF(L136&gt;K136, 1, 0)</f>
        <v>0</v>
      </c>
      <c r="N136" s="337">
        <f>(+H136-D136)</f>
        <v>-2</v>
      </c>
      <c r="O136" s="355">
        <f>I136-E136</f>
        <v>20</v>
      </c>
      <c r="P136" s="405">
        <f>IF(OR(AND(N136&gt;0,O136&gt;0),AND(N136&lt;0,O136&lt;0)),1,0)</f>
        <v>0</v>
      </c>
      <c r="Q136" s="289">
        <f>WEEKNUM(tblResultadosNBA[[#This Row],[Fecha]],2)</f>
        <v>45</v>
      </c>
      <c r="R136" t="str">
        <f>TEXT(tblResultadosNBA[[#This Row],[Fecha]],"mmm")</f>
        <v>nov</v>
      </c>
    </row>
    <row r="137" spans="1:18">
      <c r="A137" s="419">
        <v>45969</v>
      </c>
      <c r="B137" s="302" t="s">
        <v>197</v>
      </c>
      <c r="C137" s="177" t="str">
        <f>LEFT(B137,FIND("@",B137)-2)</f>
        <v>Chicago Bulls</v>
      </c>
      <c r="D137" s="177">
        <v>118</v>
      </c>
      <c r="E137" s="336">
        <v>122</v>
      </c>
      <c r="F137" s="327">
        <f>IF(E137&gt;D137, 1, 0)</f>
        <v>1</v>
      </c>
      <c r="G137" s="177" t="str">
        <f>MID(B137,FIND("@",B137)+2,LEN(B137)-FIND("@",B137)-1)</f>
        <v>Cleveland Cavaliers</v>
      </c>
      <c r="H137" s="177">
        <v>125</v>
      </c>
      <c r="I137" s="336">
        <v>128</v>
      </c>
      <c r="J137" s="327">
        <f>IF(I137&gt;H137, 1, 0)</f>
        <v>1</v>
      </c>
      <c r="K137" s="177">
        <f>+D137+H137</f>
        <v>243</v>
      </c>
      <c r="L137" s="336">
        <f>E137+I137</f>
        <v>250</v>
      </c>
      <c r="M137" s="327">
        <f>IF(L137&gt;K137, 1, 0)</f>
        <v>1</v>
      </c>
      <c r="N137" s="337">
        <f>(+H137-D137)</f>
        <v>7</v>
      </c>
      <c r="O137" s="355">
        <f>I137-E137</f>
        <v>6</v>
      </c>
      <c r="P137" s="405">
        <f>IF(OR(AND(N137&gt;0,O137&gt;0),AND(N137&lt;0,O137&lt;0)),1,0)</f>
        <v>1</v>
      </c>
      <c r="Q137" s="289">
        <f>WEEKNUM(tblResultadosNBA[[#This Row],[Fecha]],2)</f>
        <v>45</v>
      </c>
      <c r="R137" t="str">
        <f>TEXT(tblResultadosNBA[[#This Row],[Fecha]],"mmm")</f>
        <v>nov</v>
      </c>
    </row>
    <row r="138" spans="1:18">
      <c r="A138" s="419">
        <v>45969</v>
      </c>
      <c r="B138" s="396" t="s">
        <v>524</v>
      </c>
      <c r="C138" s="291" t="str">
        <f>LEFT(B138,FIND("@",B138)-2)</f>
        <v>Portland Trail Blazers</v>
      </c>
      <c r="D138" s="177">
        <v>114</v>
      </c>
      <c r="E138" s="336">
        <v>131</v>
      </c>
      <c r="F138" s="327">
        <f>IF(E138&gt;D138, 1, 0)</f>
        <v>1</v>
      </c>
      <c r="G138" s="177" t="str">
        <f>MID(B138,FIND("@",B138)+2,LEN(B138)-FIND("@",B138)-1)</f>
        <v>Miami Heat</v>
      </c>
      <c r="H138" s="177">
        <v>110</v>
      </c>
      <c r="I138" s="336">
        <v>136</v>
      </c>
      <c r="J138" s="327">
        <f>IF(I138&gt;H138, 1, 0)</f>
        <v>1</v>
      </c>
      <c r="K138" s="177">
        <f>+D138+H138</f>
        <v>224</v>
      </c>
      <c r="L138" s="336">
        <f>E138+I138</f>
        <v>267</v>
      </c>
      <c r="M138" s="327">
        <f>IF(L138&gt;K138, 1, 0)</f>
        <v>1</v>
      </c>
      <c r="N138" s="337">
        <f>(+H138-D138)</f>
        <v>-4</v>
      </c>
      <c r="O138" s="355">
        <f>I138-E138</f>
        <v>5</v>
      </c>
      <c r="P138" s="405">
        <f>IF(OR(AND(N138&gt;0,O138&gt;0),AND(N138&lt;0,O138&lt;0)),1,0)</f>
        <v>0</v>
      </c>
      <c r="Q138" s="289">
        <f>WEEKNUM(tblResultadosNBA[[#This Row],[Fecha]],2)</f>
        <v>45</v>
      </c>
      <c r="R138" t="str">
        <f>TEXT(tblResultadosNBA[[#This Row],[Fecha]],"mmm")</f>
        <v>nov</v>
      </c>
    </row>
    <row r="139" spans="1:18">
      <c r="A139" s="419">
        <v>45969</v>
      </c>
      <c r="B139" s="396" t="s">
        <v>297</v>
      </c>
      <c r="C139" s="291" t="str">
        <f>LEFT(B139,FIND("@",B139)-2)</f>
        <v>New Orleans Pelicans</v>
      </c>
      <c r="D139" s="177">
        <v>110</v>
      </c>
      <c r="E139" s="336">
        <v>119</v>
      </c>
      <c r="F139" s="327">
        <f>IF(E139&gt;D139, 1, 0)</f>
        <v>1</v>
      </c>
      <c r="G139" s="177" t="str">
        <f>MID(B139,FIND("@",B139)+2,LEN(B139)-FIND("@",B139)-1)</f>
        <v>San Antonio Spurs</v>
      </c>
      <c r="H139" s="177">
        <v>115</v>
      </c>
      <c r="I139" s="336">
        <v>126</v>
      </c>
      <c r="J139" s="327">
        <f>IF(I139&gt;H139, 1, 0)</f>
        <v>1</v>
      </c>
      <c r="K139" s="177">
        <f>+D139+H139</f>
        <v>225</v>
      </c>
      <c r="L139" s="336">
        <f>E139+I139</f>
        <v>245</v>
      </c>
      <c r="M139" s="327">
        <f>IF(L139&gt;K139, 1, 0)</f>
        <v>1</v>
      </c>
      <c r="N139" s="337">
        <f>(+H139-D139)</f>
        <v>5</v>
      </c>
      <c r="O139" s="355">
        <f>I139-E139</f>
        <v>7</v>
      </c>
      <c r="P139" s="405">
        <f>IF(OR(AND(N139&gt;0,O139&gt;0),AND(N139&lt;0,O139&lt;0)),1,0)</f>
        <v>1</v>
      </c>
      <c r="Q139" s="289">
        <f>WEEKNUM(tblResultadosNBA[[#This Row],[Fecha]],2)</f>
        <v>45</v>
      </c>
      <c r="R139" t="str">
        <f>TEXT(tblResultadosNBA[[#This Row],[Fecha]],"mmm")</f>
        <v>nov</v>
      </c>
    </row>
    <row r="140" spans="1:18">
      <c r="A140" s="419">
        <v>45969</v>
      </c>
      <c r="B140" s="396" t="s">
        <v>525</v>
      </c>
      <c r="C140" s="291" t="str">
        <f>LEFT(B140,FIND("@",B140)-2)</f>
        <v>Indiana Pacers</v>
      </c>
      <c r="D140" s="177">
        <v>112</v>
      </c>
      <c r="E140" s="336">
        <v>100</v>
      </c>
      <c r="F140" s="327">
        <f>IF(E140&gt;D140, 1, 0)</f>
        <v>0</v>
      </c>
      <c r="G140" s="177" t="str">
        <f>MID(B140,FIND("@",B140)+2,LEN(B140)-FIND("@",B140)-1)</f>
        <v>Denver Nuggets</v>
      </c>
      <c r="H140" s="177">
        <v>115</v>
      </c>
      <c r="I140" s="336">
        <v>117</v>
      </c>
      <c r="J140" s="327">
        <f>IF(I140&gt;H140, 1, 0)</f>
        <v>1</v>
      </c>
      <c r="K140" s="177">
        <f>+D140+H140</f>
        <v>227</v>
      </c>
      <c r="L140" s="336">
        <f>E140+I140</f>
        <v>217</v>
      </c>
      <c r="M140" s="327">
        <f>IF(L140&gt;K140, 1, 0)</f>
        <v>0</v>
      </c>
      <c r="N140" s="337">
        <f>(+H140-D140)</f>
        <v>3</v>
      </c>
      <c r="O140" s="355">
        <f>I140-E140</f>
        <v>17</v>
      </c>
      <c r="P140" s="405">
        <f>IF(OR(AND(N140&gt;0,O140&gt;0),AND(N140&lt;0,O140&lt;0)),1,0)</f>
        <v>1</v>
      </c>
      <c r="Q140" s="289">
        <f>WEEKNUM(tblResultadosNBA[[#This Row],[Fecha]],2)</f>
        <v>45</v>
      </c>
      <c r="R140" t="str">
        <f>TEXT(tblResultadosNBA[[#This Row],[Fecha]],"mmm")</f>
        <v>nov</v>
      </c>
    </row>
    <row r="141" spans="1:18">
      <c r="A141" s="445">
        <v>45969</v>
      </c>
      <c r="B141" s="328" t="s">
        <v>526</v>
      </c>
      <c r="C141" s="299" t="str">
        <f>LEFT(B141,FIND("@",B141)-2)</f>
        <v>Phoenix Suns</v>
      </c>
      <c r="D141" s="299">
        <v>103</v>
      </c>
      <c r="E141" s="309">
        <v>114</v>
      </c>
      <c r="F141" s="334">
        <f>IF(E141&gt;D141, 1, 0)</f>
        <v>1</v>
      </c>
      <c r="G141" s="299" t="str">
        <f>MID(B141,FIND("@",B141)+2,LEN(B141)-FIND("@",B141)-1)</f>
        <v>LA Clippers</v>
      </c>
      <c r="H141" s="299">
        <v>112</v>
      </c>
      <c r="I141" s="309">
        <v>103</v>
      </c>
      <c r="J141" s="334">
        <f>IF(I141&gt;H141, 1, 0)</f>
        <v>0</v>
      </c>
      <c r="K141" s="299">
        <f>+D141+H141</f>
        <v>215</v>
      </c>
      <c r="L141" s="309">
        <f>E141+I141</f>
        <v>217</v>
      </c>
      <c r="M141" s="334">
        <f>IF(L141&gt;K141, 1, 0)</f>
        <v>1</v>
      </c>
      <c r="N141" s="321">
        <f>(+H141-D141)</f>
        <v>9</v>
      </c>
      <c r="O141" s="360">
        <f>I141-E141</f>
        <v>-11</v>
      </c>
      <c r="P141" s="408">
        <f>IF(OR(AND(N141&gt;0,O141&gt;0),AND(N141&lt;0,O141&lt;0)),1,0)</f>
        <v>0</v>
      </c>
      <c r="Q141" s="433">
        <f>WEEKNUM(tblResultadosNBA[[#This Row],[Fecha]],2)</f>
        <v>45</v>
      </c>
      <c r="R141" s="433" t="str">
        <f>TEXT(tblResultadosNBA[[#This Row],[Fecha]],"mmm")</f>
        <v>nov</v>
      </c>
    </row>
    <row r="142" spans="1:18">
      <c r="A142" s="439">
        <v>45970</v>
      </c>
      <c r="B142" s="329" t="s">
        <v>527</v>
      </c>
      <c r="C142" s="244" t="str">
        <f>LEFT(B142,FIND("@",B142)-2)</f>
        <v>Houston Rockets</v>
      </c>
      <c r="D142" s="244">
        <v>123</v>
      </c>
      <c r="E142" s="292">
        <v>122</v>
      </c>
      <c r="F142" s="358">
        <f>IF(E142&gt;D142, 1, 0)</f>
        <v>0</v>
      </c>
      <c r="G142" s="293" t="str">
        <f>MID(B142,FIND("@",B142)+2,LEN(B142)-FIND("@",B142)-1)</f>
        <v>Milwaukee Bucks</v>
      </c>
      <c r="H142" s="244">
        <v>117</v>
      </c>
      <c r="I142" s="292">
        <v>115</v>
      </c>
      <c r="J142" s="358">
        <f>IF(I142&gt;H142, 1, 0)</f>
        <v>0</v>
      </c>
      <c r="K142" s="244">
        <f>+D142+H142</f>
        <v>240</v>
      </c>
      <c r="L142" s="292">
        <f>E142+I142</f>
        <v>237</v>
      </c>
      <c r="M142" s="358">
        <f>IF(L142&gt;K142, 1, 0)</f>
        <v>0</v>
      </c>
      <c r="N142" s="320">
        <f>(+H142-D142)</f>
        <v>-6</v>
      </c>
      <c r="O142" s="359">
        <f>I142-E142</f>
        <v>-7</v>
      </c>
      <c r="P142" s="410">
        <f>IF(OR(AND(N142&gt;0,O142&gt;0),AND(N142&lt;0,O142&lt;0)),1,0)</f>
        <v>1</v>
      </c>
      <c r="Q142" s="289">
        <f>WEEKNUM(tblResultadosNBA[[#This Row],[Fecha]],2)</f>
        <v>45</v>
      </c>
      <c r="R142" t="str">
        <f>TEXT(tblResultadosNBA[[#This Row],[Fecha]],"mmm")</f>
        <v>nov</v>
      </c>
    </row>
    <row r="143" spans="1:18">
      <c r="A143" s="419">
        <v>45970</v>
      </c>
      <c r="B143" s="302" t="s">
        <v>528</v>
      </c>
      <c r="C143" s="177" t="str">
        <f>LEFT(B143,FIND("@",B143)-2)</f>
        <v>Brooklyn Nets</v>
      </c>
      <c r="D143" s="177">
        <v>105</v>
      </c>
      <c r="E143" s="336">
        <v>98</v>
      </c>
      <c r="F143" s="327">
        <f>IF(E143&gt;D143, 1, 0)</f>
        <v>0</v>
      </c>
      <c r="G143" s="177" t="str">
        <f>MID(B143,FIND("@",B143)+2,LEN(B143)-FIND("@",B143)-1)</f>
        <v>New York Knicks</v>
      </c>
      <c r="H143" s="177">
        <v>115</v>
      </c>
      <c r="I143" s="336">
        <v>134</v>
      </c>
      <c r="J143" s="327">
        <f>IF(I143&gt;H143, 1, 0)</f>
        <v>1</v>
      </c>
      <c r="K143" s="177">
        <f>+D143+H143</f>
        <v>220</v>
      </c>
      <c r="L143" s="336">
        <f>E143+I143</f>
        <v>232</v>
      </c>
      <c r="M143" s="327">
        <f>IF(L143&gt;K143, 1, 0)</f>
        <v>1</v>
      </c>
      <c r="N143" s="337">
        <f>(+H143-D143)</f>
        <v>10</v>
      </c>
      <c r="O143" s="355">
        <f>I143-E143</f>
        <v>36</v>
      </c>
      <c r="P143" s="405">
        <f>IF(OR(AND(N143&gt;0,O143&gt;0),AND(N143&lt;0,O143&lt;0)),1,0)</f>
        <v>1</v>
      </c>
      <c r="Q143" s="289">
        <f>WEEKNUM(tblResultadosNBA[[#This Row],[Fecha]],2)</f>
        <v>45</v>
      </c>
      <c r="R143" t="str">
        <f>TEXT(tblResultadosNBA[[#This Row],[Fecha]],"mmm")</f>
        <v>nov</v>
      </c>
    </row>
    <row r="144" spans="1:18">
      <c r="A144" s="419">
        <v>45970</v>
      </c>
      <c r="B144" s="302" t="s">
        <v>513</v>
      </c>
      <c r="C144" s="177" t="str">
        <f>LEFT(B144,FIND("@",B144)-2)</f>
        <v>Boston Celtics</v>
      </c>
      <c r="D144" s="177">
        <v>96</v>
      </c>
      <c r="E144" s="336">
        <v>111</v>
      </c>
      <c r="F144" s="327">
        <f>IF(E144&gt;D144, 1, 0)</f>
        <v>1</v>
      </c>
      <c r="G144" s="177" t="str">
        <f>MID(B144,FIND("@",B144)+2,LEN(B144)-FIND("@",B144)-1)</f>
        <v>Orlando Magic</v>
      </c>
      <c r="H144" s="177">
        <v>114</v>
      </c>
      <c r="I144" s="336">
        <v>107</v>
      </c>
      <c r="J144" s="327">
        <f>IF(I144&gt;H144, 1, 0)</f>
        <v>0</v>
      </c>
      <c r="K144" s="177">
        <f>+D144+H144</f>
        <v>210</v>
      </c>
      <c r="L144" s="336">
        <f>E144+I144</f>
        <v>218</v>
      </c>
      <c r="M144" s="327">
        <f>IF(L144&gt;K144, 1, 0)</f>
        <v>1</v>
      </c>
      <c r="N144" s="337">
        <f>(+H144-D144)</f>
        <v>18</v>
      </c>
      <c r="O144" s="355">
        <f>I144-E144</f>
        <v>-4</v>
      </c>
      <c r="P144" s="405">
        <f>IF(OR(AND(N144&gt;0,O144&gt;0),AND(N144&lt;0,O144&lt;0)),1,0)</f>
        <v>0</v>
      </c>
      <c r="Q144" s="289">
        <f>WEEKNUM(tblResultadosNBA[[#This Row],[Fecha]],2)</f>
        <v>45</v>
      </c>
      <c r="R144" t="str">
        <f>TEXT(tblResultadosNBA[[#This Row],[Fecha]],"mmm")</f>
        <v>nov</v>
      </c>
    </row>
    <row r="145" spans="1:18">
      <c r="A145" s="419">
        <v>45970</v>
      </c>
      <c r="B145" s="302" t="s">
        <v>529</v>
      </c>
      <c r="C145" s="177" t="str">
        <f>LEFT(B145,FIND("@",B145)-2)</f>
        <v>Oklahoma City Thunder</v>
      </c>
      <c r="D145" s="177">
        <v>117</v>
      </c>
      <c r="E145" s="336">
        <v>114</v>
      </c>
      <c r="F145" s="327">
        <f>IF(E145&gt;D145, 1, 0)</f>
        <v>0</v>
      </c>
      <c r="G145" s="177" t="str">
        <f>MID(B145,FIND("@",B145)+2,LEN(B145)-FIND("@",B145)-1)</f>
        <v>Memphis Grizzlies</v>
      </c>
      <c r="H145" s="177">
        <v>121</v>
      </c>
      <c r="I145" s="336">
        <v>100</v>
      </c>
      <c r="J145" s="327">
        <f>IF(I145&gt;H145, 1, 0)</f>
        <v>0</v>
      </c>
      <c r="K145" s="177">
        <f>+D145+H145</f>
        <v>238</v>
      </c>
      <c r="L145" s="336">
        <f>E145+I145</f>
        <v>214</v>
      </c>
      <c r="M145" s="327">
        <f>IF(L145&gt;K145, 1, 0)</f>
        <v>0</v>
      </c>
      <c r="N145" s="337">
        <f>(+H145-D145)</f>
        <v>4</v>
      </c>
      <c r="O145" s="355">
        <f>I145-E145</f>
        <v>-14</v>
      </c>
      <c r="P145" s="405">
        <f>IF(OR(AND(N145&gt;0,O145&gt;0),AND(N145&lt;0,O145&lt;0)),1,0)</f>
        <v>0</v>
      </c>
      <c r="Q145" s="289">
        <f>WEEKNUM(tblResultadosNBA[[#This Row],[Fecha]],2)</f>
        <v>45</v>
      </c>
      <c r="R145" t="str">
        <f>TEXT(tblResultadosNBA[[#This Row],[Fecha]],"mmm")</f>
        <v>nov</v>
      </c>
    </row>
    <row r="146" spans="1:18">
      <c r="A146" s="419">
        <v>45970</v>
      </c>
      <c r="B146" s="302" t="s">
        <v>530</v>
      </c>
      <c r="C146" s="291" t="str">
        <f>LEFT(B146,FIND("@",B146)-2)</f>
        <v>Detroit Pistons</v>
      </c>
      <c r="D146" s="177">
        <v>116</v>
      </c>
      <c r="E146" s="336">
        <v>111</v>
      </c>
      <c r="F146" s="327">
        <f>IF(E146&gt;D146, 1, 0)</f>
        <v>0</v>
      </c>
      <c r="G146" s="177" t="str">
        <f>MID(B146,FIND("@",B146)+2,LEN(B146)-FIND("@",B146)-1)</f>
        <v>Philadelphia 76ers</v>
      </c>
      <c r="H146" s="177">
        <v>110</v>
      </c>
      <c r="I146" s="336">
        <v>108</v>
      </c>
      <c r="J146" s="327">
        <f>IF(I146&gt;H146, 1, 0)</f>
        <v>0</v>
      </c>
      <c r="K146" s="177">
        <f>+D146+H146</f>
        <v>226</v>
      </c>
      <c r="L146" s="336">
        <f>E146+I146</f>
        <v>219</v>
      </c>
      <c r="M146" s="327">
        <f>IF(L146&gt;K146, 1, 0)</f>
        <v>0</v>
      </c>
      <c r="N146" s="337">
        <f>(+H146-D146)</f>
        <v>-6</v>
      </c>
      <c r="O146" s="355">
        <f>I146-E146</f>
        <v>-3</v>
      </c>
      <c r="P146" s="405">
        <f>IF(OR(AND(N146&gt;0,O146&gt;0),AND(N146&lt;0,O146&lt;0)),1,0)</f>
        <v>1</v>
      </c>
      <c r="Q146" s="289">
        <f>WEEKNUM(tblResultadosNBA[[#This Row],[Fecha]],2)</f>
        <v>45</v>
      </c>
      <c r="R146" t="str">
        <f>TEXT(tblResultadosNBA[[#This Row],[Fecha]],"mmm")</f>
        <v>nov</v>
      </c>
    </row>
    <row r="147" spans="1:18">
      <c r="A147" s="419">
        <v>45970</v>
      </c>
      <c r="B147" s="302" t="s">
        <v>531</v>
      </c>
      <c r="C147" s="177" t="str">
        <f>LEFT(B147,FIND("@",B147)-2)</f>
        <v>Indiana Pacers</v>
      </c>
      <c r="D147" s="177">
        <v>108</v>
      </c>
      <c r="E147" s="336">
        <v>83</v>
      </c>
      <c r="F147" s="327">
        <f>IF(E147&gt;D147, 1, 0)</f>
        <v>0</v>
      </c>
      <c r="G147" s="177" t="str">
        <f>MID(B147,FIND("@",B147)+2,LEN(B147)-FIND("@",B147)-1)</f>
        <v>Golden State Warriors</v>
      </c>
      <c r="H147" s="177">
        <v>118</v>
      </c>
      <c r="I147" s="336">
        <v>114</v>
      </c>
      <c r="J147" s="327">
        <f>IF(I147&gt;H147, 1, 0)</f>
        <v>0</v>
      </c>
      <c r="K147" s="177">
        <f>+D147+H147</f>
        <v>226</v>
      </c>
      <c r="L147" s="336">
        <f>E147+I147</f>
        <v>197</v>
      </c>
      <c r="M147" s="327">
        <f>IF(L147&gt;K147, 1, 0)</f>
        <v>0</v>
      </c>
      <c r="N147" s="337">
        <f>(+H147-D147)</f>
        <v>10</v>
      </c>
      <c r="O147" s="355">
        <f>I147-E147</f>
        <v>31</v>
      </c>
      <c r="P147" s="405">
        <f>IF(OR(AND(N147&gt;0,O147&gt;0),AND(N147&lt;0,O147&lt;0)),1,0)</f>
        <v>1</v>
      </c>
      <c r="Q147" s="289">
        <f>WEEKNUM(tblResultadosNBA[[#This Row],[Fecha]],2)</f>
        <v>45</v>
      </c>
      <c r="R147" t="str">
        <f>TEXT(tblResultadosNBA[[#This Row],[Fecha]],"mmm")</f>
        <v>nov</v>
      </c>
    </row>
    <row r="148" spans="1:18">
      <c r="A148" s="445">
        <v>45970</v>
      </c>
      <c r="B148" s="328" t="s">
        <v>101</v>
      </c>
      <c r="C148" s="299" t="str">
        <f>LEFT(B148,FIND("@",B148)-2)</f>
        <v>Minnesota Timberwolves</v>
      </c>
      <c r="D148" s="299">
        <v>117</v>
      </c>
      <c r="E148" s="309">
        <v>144</v>
      </c>
      <c r="F148" s="334">
        <f>IF(E148&gt;D148, 1, 0)</f>
        <v>1</v>
      </c>
      <c r="G148" s="299" t="str">
        <f>MID(B148,FIND("@",B148)+2,LEN(B148)-FIND("@",B148)-1)</f>
        <v>Sacramento Kings</v>
      </c>
      <c r="H148" s="299">
        <v>110</v>
      </c>
      <c r="I148" s="309">
        <v>117</v>
      </c>
      <c r="J148" s="334">
        <f>IF(I148&gt;H148, 1, 0)</f>
        <v>1</v>
      </c>
      <c r="K148" s="299">
        <f>+D148+H148</f>
        <v>227</v>
      </c>
      <c r="L148" s="309">
        <f>E148+I148</f>
        <v>261</v>
      </c>
      <c r="M148" s="334">
        <f>IF(L148&gt;K148, 1, 0)</f>
        <v>1</v>
      </c>
      <c r="N148" s="321">
        <f>(+H148-D148)</f>
        <v>-7</v>
      </c>
      <c r="O148" s="360">
        <f>I148-E148</f>
        <v>-27</v>
      </c>
      <c r="P148" s="408">
        <f>IF(OR(AND(N148&gt;0,O148&gt;0),AND(N148&lt;0,O148&lt;0)),1,0)</f>
        <v>1</v>
      </c>
      <c r="Q148" s="433">
        <f>WEEKNUM(tblResultadosNBA[[#This Row],[Fecha]],2)</f>
        <v>45</v>
      </c>
      <c r="R148" s="433" t="str">
        <f>TEXT(tblResultadosNBA[[#This Row],[Fecha]],"mmm")</f>
        <v>nov</v>
      </c>
    </row>
    <row r="149" spans="1:18">
      <c r="A149" s="439">
        <v>45971</v>
      </c>
      <c r="B149" s="329" t="s">
        <v>19</v>
      </c>
      <c r="C149" s="244" t="str">
        <f>LEFT(B149,FIND("@",B149)-2)</f>
        <v>Los Angeles Lakers</v>
      </c>
      <c r="D149" s="244">
        <v>128</v>
      </c>
      <c r="E149" s="292">
        <v>121</v>
      </c>
      <c r="F149" s="358">
        <f>IF(E149&gt;D149, 1, 0)</f>
        <v>0</v>
      </c>
      <c r="G149" s="244" t="str">
        <f>MID(B149,FIND("@",B149)+2,LEN(B149)-FIND("@",B149)-1)</f>
        <v>Charlotte Hornets</v>
      </c>
      <c r="H149" s="244">
        <v>116</v>
      </c>
      <c r="I149" s="292">
        <v>111</v>
      </c>
      <c r="J149" s="358">
        <f>IF(I149&gt;H149, 1, 0)</f>
        <v>0</v>
      </c>
      <c r="K149" s="244">
        <f>+D149+H149</f>
        <v>244</v>
      </c>
      <c r="L149" s="292">
        <f>E149+I149</f>
        <v>232</v>
      </c>
      <c r="M149" s="358">
        <f>IF(L149&gt;K149, 1, 0)</f>
        <v>0</v>
      </c>
      <c r="N149" s="320">
        <f>(+H149-D149)</f>
        <v>-12</v>
      </c>
      <c r="O149" s="359">
        <f>I149-E149</f>
        <v>-10</v>
      </c>
      <c r="P149" s="410">
        <f>IF(OR(AND(N149&gt;0,O149&gt;0),AND(N149&lt;0,O149&lt;0)),1,0)</f>
        <v>1</v>
      </c>
      <c r="Q149" s="289">
        <f>WEEKNUM(tblResultadosNBA[[#This Row],[Fecha]],2)</f>
        <v>46</v>
      </c>
      <c r="R149" t="str">
        <f>TEXT(tblResultadosNBA[[#This Row],[Fecha]],"mmm")</f>
        <v>nov</v>
      </c>
    </row>
    <row r="150" spans="1:18">
      <c r="A150" s="419">
        <v>45971</v>
      </c>
      <c r="B150" s="302" t="s">
        <v>20</v>
      </c>
      <c r="C150" s="177" t="str">
        <f>LEFT(B150,FIND("@",B150)-2)</f>
        <v>Washington Wizards</v>
      </c>
      <c r="D150" s="177">
        <v>115</v>
      </c>
      <c r="E150" s="336">
        <v>135</v>
      </c>
      <c r="F150" s="327">
        <f>IF(E150&gt;D150, 1, 0)</f>
        <v>1</v>
      </c>
      <c r="G150" s="177" t="str">
        <f>MID(B150,FIND("@",B150)+2,LEN(B150)-FIND("@",B150)-1)</f>
        <v>Detroit Pistons</v>
      </c>
      <c r="H150" s="177">
        <v>111</v>
      </c>
      <c r="I150" s="336">
        <v>137</v>
      </c>
      <c r="J150" s="327">
        <f>IF(I150&gt;H150, 1, 0)</f>
        <v>1</v>
      </c>
      <c r="K150" s="177">
        <f>+D150+H150</f>
        <v>226</v>
      </c>
      <c r="L150" s="336">
        <f>E150+I150</f>
        <v>272</v>
      </c>
      <c r="M150" s="327">
        <f>IF(L150&gt;K150, 1, 0)</f>
        <v>1</v>
      </c>
      <c r="N150" s="337">
        <f>(+H150-D150)</f>
        <v>-4</v>
      </c>
      <c r="O150" s="355">
        <f>I150-E150</f>
        <v>2</v>
      </c>
      <c r="P150" s="405">
        <f>IF(OR(AND(N150&gt;0,O150&gt;0),AND(N150&lt;0,O150&lt;0)),1,0)</f>
        <v>0</v>
      </c>
      <c r="Q150" s="289">
        <f>WEEKNUM(tblResultadosNBA[[#This Row],[Fecha]],2)</f>
        <v>46</v>
      </c>
      <c r="R150" t="str">
        <f>TEXT(tblResultadosNBA[[#This Row],[Fecha]],"mmm")</f>
        <v>nov</v>
      </c>
    </row>
    <row r="151" spans="1:18">
      <c r="A151" s="419">
        <v>45971</v>
      </c>
      <c r="B151" s="302" t="s">
        <v>532</v>
      </c>
      <c r="C151" s="177" t="str">
        <f>LEFT(B151,FIND("@",B151)-2)</f>
        <v>Portland Trail Blazers</v>
      </c>
      <c r="D151" s="177">
        <v>97</v>
      </c>
      <c r="E151" s="336">
        <v>112</v>
      </c>
      <c r="F151" s="327">
        <f>IF(E151&gt;D151, 1, 0)</f>
        <v>1</v>
      </c>
      <c r="G151" s="177" t="str">
        <f>MID(B151,FIND("@",B151)+2,LEN(B151)-FIND("@",B151)-1)</f>
        <v>Orlando Magic</v>
      </c>
      <c r="H151" s="177">
        <v>106</v>
      </c>
      <c r="I151" s="336">
        <v>115</v>
      </c>
      <c r="J151" s="327">
        <f>IF(I151&gt;H151, 1, 0)</f>
        <v>1</v>
      </c>
      <c r="K151" s="177">
        <f>+D151+H151</f>
        <v>203</v>
      </c>
      <c r="L151" s="336">
        <f>E151+I151</f>
        <v>227</v>
      </c>
      <c r="M151" s="327">
        <f>IF(L151&gt;K151, 1, 0)</f>
        <v>1</v>
      </c>
      <c r="N151" s="337">
        <f>(+H151-D151)</f>
        <v>9</v>
      </c>
      <c r="O151" s="355">
        <f>I151-E151</f>
        <v>3</v>
      </c>
      <c r="P151" s="405">
        <f>IF(OR(AND(N151&gt;0,O151&gt;0),AND(N151&lt;0,O151&lt;0)),1,0)</f>
        <v>1</v>
      </c>
      <c r="Q151" s="289">
        <f>WEEKNUM(tblResultadosNBA[[#This Row],[Fecha]],2)</f>
        <v>46</v>
      </c>
      <c r="R151" t="str">
        <f>TEXT(tblResultadosNBA[[#This Row],[Fecha]],"mmm")</f>
        <v>nov</v>
      </c>
    </row>
    <row r="152" spans="1:18">
      <c r="A152" s="419">
        <v>45971</v>
      </c>
      <c r="B152" s="302" t="s">
        <v>533</v>
      </c>
      <c r="C152" s="177" t="str">
        <f>LEFT(B152,FIND("@",B152)-2)</f>
        <v>Cleveland Cavaliers</v>
      </c>
      <c r="D152" s="177">
        <v>113</v>
      </c>
      <c r="E152" s="336">
        <v>138</v>
      </c>
      <c r="F152" s="327">
        <f>IF(E152&gt;D152, 1, 0)</f>
        <v>1</v>
      </c>
      <c r="G152" s="177" t="str">
        <f>MID(B152,FIND("@",B152)+2,LEN(B152)-FIND("@",B152)-1)</f>
        <v>Miami Heat</v>
      </c>
      <c r="H152" s="177">
        <v>119</v>
      </c>
      <c r="I152" s="336">
        <v>140</v>
      </c>
      <c r="J152" s="327">
        <f>IF(I152&gt;H152, 1, 0)</f>
        <v>1</v>
      </c>
      <c r="K152" s="177">
        <f>+D152+H152</f>
        <v>232</v>
      </c>
      <c r="L152" s="336">
        <f>E152+I152</f>
        <v>278</v>
      </c>
      <c r="M152" s="327">
        <f>IF(L152&gt;K152, 1, 0)</f>
        <v>1</v>
      </c>
      <c r="N152" s="337">
        <f>(+H152-D152)</f>
        <v>6</v>
      </c>
      <c r="O152" s="355">
        <f>I152-E152</f>
        <v>2</v>
      </c>
      <c r="P152" s="405">
        <f>IF(OR(AND(N152&gt;0,O152&gt;0),AND(N152&lt;0,O152&lt;0)),1,0)</f>
        <v>1</v>
      </c>
      <c r="Q152" s="289">
        <f>WEEKNUM(tblResultadosNBA[[#This Row],[Fecha]],2)</f>
        <v>46</v>
      </c>
      <c r="R152" t="str">
        <f>TEXT(tblResultadosNBA[[#This Row],[Fecha]],"mmm")</f>
        <v>nov</v>
      </c>
    </row>
    <row r="153" spans="1:18">
      <c r="A153" s="419">
        <v>45971</v>
      </c>
      <c r="B153" s="302" t="s">
        <v>21</v>
      </c>
      <c r="C153" s="177" t="str">
        <f>LEFT(B153,FIND("@",B153)-2)</f>
        <v>San Antonio Spurs</v>
      </c>
      <c r="D153" s="177">
        <v>121</v>
      </c>
      <c r="E153" s="336">
        <v>121</v>
      </c>
      <c r="F153" s="327">
        <f>IF(E153&gt;D153, 1, 0)</f>
        <v>0</v>
      </c>
      <c r="G153" s="177" t="str">
        <f>MID(B153,FIND("@",B153)+2,LEN(B153)-FIND("@",B153)-1)</f>
        <v>Chicago Bulls</v>
      </c>
      <c r="H153" s="177">
        <v>109</v>
      </c>
      <c r="I153" s="336">
        <v>117</v>
      </c>
      <c r="J153" s="327">
        <f>IF(I153&gt;H153, 1, 0)</f>
        <v>1</v>
      </c>
      <c r="K153" s="177">
        <f>+D153+H153</f>
        <v>230</v>
      </c>
      <c r="L153" s="336">
        <f>E153+I153</f>
        <v>238</v>
      </c>
      <c r="M153" s="327">
        <f>IF(L153&gt;K153, 1, 0)</f>
        <v>1</v>
      </c>
      <c r="N153" s="337">
        <f>(+H153-D153)</f>
        <v>-12</v>
      </c>
      <c r="O153" s="355">
        <f>I153-E153</f>
        <v>-4</v>
      </c>
      <c r="P153" s="405">
        <f>IF(OR(AND(N153&gt;0,O153&gt;0),AND(N153&lt;0,O153&lt;0)),1,0)</f>
        <v>1</v>
      </c>
      <c r="Q153" s="289">
        <f>WEEKNUM(tblResultadosNBA[[#This Row],[Fecha]],2)</f>
        <v>46</v>
      </c>
      <c r="R153" t="str">
        <f>TEXT(tblResultadosNBA[[#This Row],[Fecha]],"mmm")</f>
        <v>nov</v>
      </c>
    </row>
    <row r="154" spans="1:18">
      <c r="A154" s="419">
        <v>45971</v>
      </c>
      <c r="B154" s="302" t="s">
        <v>22</v>
      </c>
      <c r="C154" s="177" t="str">
        <f>LEFT(B154,FIND("@",B154)-2)</f>
        <v>Milwaukee Bucks</v>
      </c>
      <c r="D154" s="177">
        <v>114</v>
      </c>
      <c r="E154" s="336">
        <v>116</v>
      </c>
      <c r="F154" s="327">
        <f>IF(E154&gt;D154, 1, 0)</f>
        <v>1</v>
      </c>
      <c r="G154" s="177" t="str">
        <f>MID(B154,FIND("@",B154)+2,LEN(B154)-FIND("@",B154)-1)</f>
        <v>Dallas Mavericks</v>
      </c>
      <c r="H154" s="177">
        <v>117</v>
      </c>
      <c r="I154" s="336">
        <v>114</v>
      </c>
      <c r="J154" s="327">
        <f>IF(I154&gt;H154, 1, 0)</f>
        <v>0</v>
      </c>
      <c r="K154" s="177">
        <f>+D154+H154</f>
        <v>231</v>
      </c>
      <c r="L154" s="336">
        <f>E154+I154</f>
        <v>230</v>
      </c>
      <c r="M154" s="327">
        <f>IF(L154&gt;K154, 1, 0)</f>
        <v>0</v>
      </c>
      <c r="N154" s="337">
        <f>(+H154-D154)</f>
        <v>3</v>
      </c>
      <c r="O154" s="355">
        <f>I154-E154</f>
        <v>-2</v>
      </c>
      <c r="P154" s="405">
        <f>IF(OR(AND(N154&gt;0,O154&gt;0),AND(N154&lt;0,O154&lt;0)),1,0)</f>
        <v>0</v>
      </c>
      <c r="Q154" s="289">
        <f>WEEKNUM(tblResultadosNBA[[#This Row],[Fecha]],2)</f>
        <v>46</v>
      </c>
      <c r="R154" t="str">
        <f>TEXT(tblResultadosNBA[[#This Row],[Fecha]],"mmm")</f>
        <v>nov</v>
      </c>
    </row>
    <row r="155" spans="1:18">
      <c r="A155" s="419">
        <v>45971</v>
      </c>
      <c r="B155" s="302" t="s">
        <v>23</v>
      </c>
      <c r="C155" s="177" t="str">
        <f>LEFT(B155,FIND("@",B155)-2)</f>
        <v>New Orleans Pelicans</v>
      </c>
      <c r="D155" s="177">
        <v>118</v>
      </c>
      <c r="E155" s="336">
        <v>98</v>
      </c>
      <c r="F155" s="327">
        <f>IF(E155&gt;D155, 1, 0)</f>
        <v>0</v>
      </c>
      <c r="G155" s="177" t="str">
        <f>MID(B155,FIND("@",B155)+2,LEN(B155)-FIND("@",B155)-1)</f>
        <v>Phoenix Suns</v>
      </c>
      <c r="H155" s="177">
        <v>108</v>
      </c>
      <c r="I155" s="336">
        <v>121</v>
      </c>
      <c r="J155" s="327">
        <f>IF(I155&gt;H155, 1, 0)</f>
        <v>1</v>
      </c>
      <c r="K155" s="177">
        <f>+D155+H155</f>
        <v>226</v>
      </c>
      <c r="L155" s="336">
        <f>E155+I155</f>
        <v>219</v>
      </c>
      <c r="M155" s="327">
        <f>IF(L155&gt;K155, 1, 0)</f>
        <v>0</v>
      </c>
      <c r="N155" s="337">
        <f>(+H155-D155)</f>
        <v>-10</v>
      </c>
      <c r="O155" s="355">
        <f>I155-E155</f>
        <v>23</v>
      </c>
      <c r="P155" s="405">
        <f>IF(OR(AND(N155&gt;0,O155&gt;0),AND(N155&lt;0,O155&lt;0)),1,0)</f>
        <v>0</v>
      </c>
      <c r="Q155" s="289">
        <f>WEEKNUM(tblResultadosNBA[[#This Row],[Fecha]],2)</f>
        <v>46</v>
      </c>
      <c r="R155" t="str">
        <f>TEXT(tblResultadosNBA[[#This Row],[Fecha]],"mmm")</f>
        <v>nov</v>
      </c>
    </row>
    <row r="156" spans="1:18">
      <c r="A156" s="419">
        <v>45971</v>
      </c>
      <c r="B156" s="302" t="s">
        <v>534</v>
      </c>
      <c r="C156" s="177" t="str">
        <f>LEFT(B156,FIND("@",B156)-2)</f>
        <v>Minnesota Timberwolves</v>
      </c>
      <c r="D156" s="177">
        <v>106</v>
      </c>
      <c r="E156" s="336">
        <v>120</v>
      </c>
      <c r="F156" s="327">
        <f>IF(E156&gt;D156, 1, 0)</f>
        <v>1</v>
      </c>
      <c r="G156" s="177" t="str">
        <f>MID(B156,FIND("@",B156)+2,LEN(B156)-FIND("@",B156)-1)</f>
        <v>Utah Jazz</v>
      </c>
      <c r="H156" s="177">
        <v>111</v>
      </c>
      <c r="I156" s="336">
        <v>113</v>
      </c>
      <c r="J156" s="327">
        <f>IF(I156&gt;H156, 1, 0)</f>
        <v>1</v>
      </c>
      <c r="K156" s="177">
        <f>+D156+H156</f>
        <v>217</v>
      </c>
      <c r="L156" s="336">
        <f>E156+I156</f>
        <v>233</v>
      </c>
      <c r="M156" s="327">
        <f>IF(L156&gt;K156, 1, 0)</f>
        <v>1</v>
      </c>
      <c r="N156" s="337">
        <f>(+H156-D156)</f>
        <v>5</v>
      </c>
      <c r="O156" s="355">
        <f>I156-E156</f>
        <v>-7</v>
      </c>
      <c r="P156" s="405">
        <f>IF(OR(AND(N156&gt;0,O156&gt;0),AND(N156&lt;0,O156&lt;0)),1,0)</f>
        <v>0</v>
      </c>
      <c r="Q156" s="289">
        <f>WEEKNUM(tblResultadosNBA[[#This Row],[Fecha]],2)</f>
        <v>46</v>
      </c>
      <c r="R156" t="str">
        <f>TEXT(tblResultadosNBA[[#This Row],[Fecha]],"mmm")</f>
        <v>nov</v>
      </c>
    </row>
    <row r="157" spans="1:18">
      <c r="A157" s="445">
        <v>45971</v>
      </c>
      <c r="B157" s="331" t="s">
        <v>24</v>
      </c>
      <c r="C157" s="296" t="str">
        <f>LEFT(B157,FIND("@",B157)-2)</f>
        <v>Atlanta Hawks</v>
      </c>
      <c r="D157" s="286">
        <v>110</v>
      </c>
      <c r="E157" s="431">
        <v>105</v>
      </c>
      <c r="F157" s="332">
        <f>IF(E157&gt;D157, 1, 0)</f>
        <v>0</v>
      </c>
      <c r="G157" s="296" t="str">
        <f>MID(B157,FIND("@",B157)+2,LEN(B157)-FIND("@",B157)-1)</f>
        <v>LA Clippers</v>
      </c>
      <c r="H157" s="286">
        <v>117</v>
      </c>
      <c r="I157" s="431">
        <v>102</v>
      </c>
      <c r="J157" s="332">
        <f>IF(I157&gt;H157, 1, 0)</f>
        <v>0</v>
      </c>
      <c r="K157" s="286">
        <f>+D157+H157</f>
        <v>227</v>
      </c>
      <c r="L157" s="431">
        <f>E157+I157</f>
        <v>207</v>
      </c>
      <c r="M157" s="332">
        <f>IF(L157&gt;K157, 1, 0)</f>
        <v>0</v>
      </c>
      <c r="N157" s="432">
        <f>(+H157-D157)</f>
        <v>7</v>
      </c>
      <c r="O157" s="447">
        <f>I157-E157</f>
        <v>-3</v>
      </c>
      <c r="P157" s="406">
        <f>IF(OR(AND(N157&gt;0,O157&gt;0),AND(N157&lt;0,O157&lt;0)),1,0)</f>
        <v>0</v>
      </c>
      <c r="Q157" s="433">
        <f>WEEKNUM(tblResultadosNBA[[#This Row],[Fecha]],2)</f>
        <v>46</v>
      </c>
      <c r="R157" s="433" t="str">
        <f>TEXT(tblResultadosNBA[[#This Row],[Fecha]],"mmm")</f>
        <v>nov</v>
      </c>
    </row>
    <row r="158" spans="1:18">
      <c r="A158" s="439">
        <v>45972</v>
      </c>
      <c r="B158" s="422" t="s">
        <v>31</v>
      </c>
      <c r="C158" s="341" t="str">
        <f>LEFT(B158,FIND("@",B158)-2)</f>
        <v>Toronto Raptors</v>
      </c>
      <c r="D158" s="341">
        <v>128</v>
      </c>
      <c r="E158" s="342">
        <v>119</v>
      </c>
      <c r="F158" s="333">
        <f>IF(E158&gt;D158, 1, 0)</f>
        <v>0</v>
      </c>
      <c r="G158" s="341" t="str">
        <f>MID(B158,FIND("@",B158)+2,LEN(B158)-FIND("@",B158)-1)</f>
        <v>Brooklyn Nets</v>
      </c>
      <c r="H158" s="341">
        <v>116</v>
      </c>
      <c r="I158" s="342">
        <v>109</v>
      </c>
      <c r="J158" s="333">
        <f>IF(I158&gt;H158, 1, 0)</f>
        <v>0</v>
      </c>
      <c r="K158" s="341">
        <f>+D158+H158</f>
        <v>244</v>
      </c>
      <c r="L158" s="342">
        <f>E158+I158</f>
        <v>228</v>
      </c>
      <c r="M158" s="333">
        <f>IF(L158&gt;K158, 1, 0)</f>
        <v>0</v>
      </c>
      <c r="N158" s="343">
        <f>(+H158-D158)</f>
        <v>-12</v>
      </c>
      <c r="O158" s="448">
        <f>I158-E158</f>
        <v>-10</v>
      </c>
      <c r="P158" s="407">
        <f>IF(OR(AND(N158&gt;0,O158&gt;0),AND(N158&lt;0,O158&lt;0)),1,0)</f>
        <v>1</v>
      </c>
      <c r="Q158" s="289">
        <f>WEEKNUM(tblResultadosNBA[[#This Row],[Fecha]],2)</f>
        <v>46</v>
      </c>
      <c r="R158" t="str">
        <f>TEXT(tblResultadosNBA[[#This Row],[Fecha]],"mmm")</f>
        <v>nov</v>
      </c>
    </row>
    <row r="159" spans="1:18">
      <c r="A159" s="419">
        <v>45972</v>
      </c>
      <c r="B159" s="302" t="s">
        <v>32</v>
      </c>
      <c r="C159" s="177" t="str">
        <f>LEFT(B159,FIND("@",B159)-2)</f>
        <v>Memphis Grizzlies</v>
      </c>
      <c r="D159" s="177">
        <v>112</v>
      </c>
      <c r="E159" s="336">
        <v>120</v>
      </c>
      <c r="F159" s="327">
        <f>IF(E159&gt;D159, 1, 0)</f>
        <v>1</v>
      </c>
      <c r="G159" s="177" t="str">
        <f>MID(B159,FIND("@",B159)+2,LEN(B159)-FIND("@",B159)-1)</f>
        <v>New York Knicks</v>
      </c>
      <c r="H159" s="177">
        <v>120</v>
      </c>
      <c r="I159" s="336">
        <v>133</v>
      </c>
      <c r="J159" s="327">
        <f>IF(I159&gt;H159, 1, 0)</f>
        <v>1</v>
      </c>
      <c r="K159" s="177">
        <f>+D159+H159</f>
        <v>232</v>
      </c>
      <c r="L159" s="336">
        <f>E159+I159</f>
        <v>253</v>
      </c>
      <c r="M159" s="327">
        <f>IF(L159&gt;K159, 1, 0)</f>
        <v>1</v>
      </c>
      <c r="N159" s="337">
        <f>(+H159-D159)</f>
        <v>8</v>
      </c>
      <c r="O159" s="355">
        <f>I159-E159</f>
        <v>13</v>
      </c>
      <c r="P159" s="405">
        <f>IF(OR(AND(N159&gt;0,O159&gt;0),AND(N159&lt;0,O159&lt;0)),1,0)</f>
        <v>1</v>
      </c>
      <c r="Q159" s="289">
        <f>WEEKNUM(tblResultadosNBA[[#This Row],[Fecha]],2)</f>
        <v>46</v>
      </c>
      <c r="R159" t="str">
        <f>TEXT(tblResultadosNBA[[#This Row],[Fecha]],"mmm")</f>
        <v>nov</v>
      </c>
    </row>
    <row r="160" spans="1:18">
      <c r="A160" s="419">
        <v>45972</v>
      </c>
      <c r="B160" s="302" t="s">
        <v>474</v>
      </c>
      <c r="C160" s="177" t="str">
        <f>LEFT(B160,FIND("@",B160)-2)</f>
        <v>Boston Celtics</v>
      </c>
      <c r="D160" s="177">
        <v>107</v>
      </c>
      <c r="E160" s="336">
        <v>100</v>
      </c>
      <c r="F160" s="327">
        <f>IF(E160&gt;D160, 1, 0)</f>
        <v>0</v>
      </c>
      <c r="G160" s="177" t="str">
        <f>MID(B160,FIND("@",B160)+2,LEN(B160)-FIND("@",B160)-1)</f>
        <v>Philadelphia 76ers</v>
      </c>
      <c r="H160" s="177">
        <v>105</v>
      </c>
      <c r="I160" s="336">
        <v>102</v>
      </c>
      <c r="J160" s="327">
        <f>IF(I160&gt;H160, 1, 0)</f>
        <v>0</v>
      </c>
      <c r="K160" s="177">
        <f>+D160+H160</f>
        <v>212</v>
      </c>
      <c r="L160" s="336">
        <f>E160+I160</f>
        <v>202</v>
      </c>
      <c r="M160" s="327">
        <f>IF(L160&gt;K160, 1, 0)</f>
        <v>0</v>
      </c>
      <c r="N160" s="337">
        <f>(+H160-D160)</f>
        <v>-2</v>
      </c>
      <c r="O160" s="355">
        <f>I160-E160</f>
        <v>2</v>
      </c>
      <c r="P160" s="405">
        <f>IF(OR(AND(N160&gt;0,O160&gt;0),AND(N160&lt;0,O160&lt;0)),1,0)</f>
        <v>0</v>
      </c>
      <c r="Q160" s="289">
        <f>WEEKNUM(tblResultadosNBA[[#This Row],[Fecha]],2)</f>
        <v>46</v>
      </c>
      <c r="R160" t="str">
        <f>TEXT(tblResultadosNBA[[#This Row],[Fecha]],"mmm")</f>
        <v>nov</v>
      </c>
    </row>
    <row r="161" spans="1:18">
      <c r="A161" s="419">
        <v>45972</v>
      </c>
      <c r="B161" s="302" t="s">
        <v>33</v>
      </c>
      <c r="C161" s="177" t="str">
        <f>LEFT(B161,FIND("@",B161)-2)</f>
        <v>Golden State Warriors</v>
      </c>
      <c r="D161" s="177">
        <v>113</v>
      </c>
      <c r="E161" s="336">
        <v>102</v>
      </c>
      <c r="F161" s="327">
        <f>IF(E161&gt;D161, 1, 0)</f>
        <v>0</v>
      </c>
      <c r="G161" s="177" t="str">
        <f>MID(B161,FIND("@",B161)+2,LEN(B161)-FIND("@",B161)-1)</f>
        <v>Oklahoma City Thunder</v>
      </c>
      <c r="H161" s="177">
        <v>121</v>
      </c>
      <c r="I161" s="336">
        <v>126</v>
      </c>
      <c r="J161" s="327">
        <f>IF(I161&gt;H161, 1, 0)</f>
        <v>1</v>
      </c>
      <c r="K161" s="177">
        <f>+D161+H161</f>
        <v>234</v>
      </c>
      <c r="L161" s="336">
        <f>E161+I161</f>
        <v>228</v>
      </c>
      <c r="M161" s="327">
        <f>IF(L161&gt;K161, 1, 0)</f>
        <v>0</v>
      </c>
      <c r="N161" s="337">
        <f>(+H161-D161)</f>
        <v>8</v>
      </c>
      <c r="O161" s="355">
        <f>I161-E161</f>
        <v>24</v>
      </c>
      <c r="P161" s="405">
        <f>IF(OR(AND(N161&gt;0,O161&gt;0),AND(N161&lt;0,O161&lt;0)),1,0)</f>
        <v>1</v>
      </c>
      <c r="Q161" s="289">
        <f>WEEKNUM(tblResultadosNBA[[#This Row],[Fecha]],2)</f>
        <v>46</v>
      </c>
      <c r="R161" t="str">
        <f>TEXT(tblResultadosNBA[[#This Row],[Fecha]],"mmm")</f>
        <v>nov</v>
      </c>
    </row>
    <row r="162" spans="1:18">
      <c r="A162" s="419">
        <v>45972</v>
      </c>
      <c r="B162" s="302" t="s">
        <v>535</v>
      </c>
      <c r="C162" s="177" t="str">
        <f>LEFT(B162,FIND("@",B162)-2)</f>
        <v>Indiana Pacers</v>
      </c>
      <c r="D162" s="177">
        <v>115</v>
      </c>
      <c r="E162" s="336">
        <v>128</v>
      </c>
      <c r="F162" s="327">
        <f>IF(E162&gt;D162, 1, 0)</f>
        <v>1</v>
      </c>
      <c r="G162" s="177" t="str">
        <f>MID(B162,FIND("@",B162)+2,LEN(B162)-FIND("@",B162)-1)</f>
        <v>Utah Jazz</v>
      </c>
      <c r="H162" s="177">
        <v>111</v>
      </c>
      <c r="I162" s="336">
        <v>152</v>
      </c>
      <c r="J162" s="327">
        <f>IF(I162&gt;H162, 1, 0)</f>
        <v>1</v>
      </c>
      <c r="K162" s="177">
        <f>+D162+H162</f>
        <v>226</v>
      </c>
      <c r="L162" s="336">
        <f>E162+I162</f>
        <v>280</v>
      </c>
      <c r="M162" s="327">
        <f>IF(L162&gt;K162, 1, 0)</f>
        <v>1</v>
      </c>
      <c r="N162" s="337">
        <f>(+H162-D162)</f>
        <v>-4</v>
      </c>
      <c r="O162" s="355">
        <f>I162-E162</f>
        <v>24</v>
      </c>
      <c r="P162" s="405">
        <f>IF(OR(AND(N162&gt;0,O162&gt;0),AND(N162&lt;0,O162&lt;0)),1,0)</f>
        <v>0</v>
      </c>
      <c r="Q162" s="289">
        <f>WEEKNUM(tblResultadosNBA[[#This Row],[Fecha]],2)</f>
        <v>46</v>
      </c>
      <c r="R162" t="str">
        <f>TEXT(tblResultadosNBA[[#This Row],[Fecha]],"mmm")</f>
        <v>nov</v>
      </c>
    </row>
    <row r="163" spans="1:18">
      <c r="A163" s="445">
        <v>45972</v>
      </c>
      <c r="B163" s="331" t="s">
        <v>172</v>
      </c>
      <c r="C163" s="286" t="str">
        <f>LEFT(B163,FIND("@",B163)-2)</f>
        <v>Denver Nuggets</v>
      </c>
      <c r="D163" s="286">
        <v>112</v>
      </c>
      <c r="E163" s="431">
        <v>122</v>
      </c>
      <c r="F163" s="332">
        <f>IF(E163&gt;D163, 1, 0)</f>
        <v>1</v>
      </c>
      <c r="G163" s="286" t="str">
        <f>MID(B163,FIND("@",B163)+2,LEN(B163)-FIND("@",B163)-1)</f>
        <v>Sacramento Kings</v>
      </c>
      <c r="H163" s="286">
        <v>115</v>
      </c>
      <c r="I163" s="431">
        <v>108</v>
      </c>
      <c r="J163" s="332">
        <f>IF(I163&gt;H163, 1, 0)</f>
        <v>0</v>
      </c>
      <c r="K163" s="286">
        <f>+D163+H163</f>
        <v>227</v>
      </c>
      <c r="L163" s="431">
        <f>E163+I163</f>
        <v>230</v>
      </c>
      <c r="M163" s="332">
        <f>IF(L163&gt;K163, 1, 0)</f>
        <v>1</v>
      </c>
      <c r="N163" s="432">
        <f>(+H163-D163)</f>
        <v>3</v>
      </c>
      <c r="O163" s="447">
        <f>I163-E163</f>
        <v>-14</v>
      </c>
      <c r="P163" s="406">
        <f>IF(OR(AND(N163&gt;0,O163&gt;0),AND(N163&lt;0,O163&lt;0)),1,0)</f>
        <v>0</v>
      </c>
      <c r="Q163" s="433">
        <f>WEEKNUM(tblResultadosNBA[[#This Row],[Fecha]],2)</f>
        <v>46</v>
      </c>
      <c r="R163" s="433" t="str">
        <f>TEXT(tblResultadosNBA[[#This Row],[Fecha]],"mmm")</f>
        <v>nov</v>
      </c>
    </row>
    <row r="164" spans="1:18">
      <c r="A164" s="439">
        <v>45973</v>
      </c>
      <c r="B164" s="422" t="s">
        <v>39</v>
      </c>
      <c r="C164" s="341" t="str">
        <f>LEFT(B164,FIND("@",B164)-2)</f>
        <v>Milwaukee Bucks</v>
      </c>
      <c r="D164" s="341">
        <v>130</v>
      </c>
      <c r="E164" s="342">
        <v>100</v>
      </c>
      <c r="F164" s="333">
        <f>IF(E164&gt;D164, 1, 0)</f>
        <v>0</v>
      </c>
      <c r="G164" s="341" t="str">
        <f>MID(B164,FIND("@",B164)+2,LEN(B164)-FIND("@",B164)-1)</f>
        <v>Charlotte Hornets</v>
      </c>
      <c r="H164" s="341">
        <v>116</v>
      </c>
      <c r="I164" s="342">
        <v>111</v>
      </c>
      <c r="J164" s="333">
        <f>IF(I164&gt;H164, 1, 0)</f>
        <v>0</v>
      </c>
      <c r="K164" s="341">
        <f>+D164+H164</f>
        <v>246</v>
      </c>
      <c r="L164" s="342">
        <f>E164+I164</f>
        <v>211</v>
      </c>
      <c r="M164" s="333">
        <f>IF(L164&gt;K164, 1, 0)</f>
        <v>0</v>
      </c>
      <c r="N164" s="343">
        <f>(+H164-D164)</f>
        <v>-14</v>
      </c>
      <c r="O164" s="448">
        <f>I164-E164</f>
        <v>11</v>
      </c>
      <c r="P164" s="407">
        <f>IF(OR(AND(N164&gt;0,O164&gt;0),AND(N164&lt;0,O164&lt;0)),1,0)</f>
        <v>0</v>
      </c>
      <c r="Q164" s="289">
        <f>WEEKNUM(tblResultadosNBA[[#This Row],[Fecha]],2)</f>
        <v>46</v>
      </c>
      <c r="R164" t="str">
        <f>TEXT(tblResultadosNBA[[#This Row],[Fecha]],"mmm")</f>
        <v>nov</v>
      </c>
    </row>
    <row r="165" spans="1:18">
      <c r="A165" s="419">
        <v>45973</v>
      </c>
      <c r="B165" s="302" t="s">
        <v>40</v>
      </c>
      <c r="C165" s="177" t="str">
        <f>LEFT(B165,FIND("@",B165)-2)</f>
        <v>Chicago Bulls</v>
      </c>
      <c r="D165" s="177">
        <v>116</v>
      </c>
      <c r="E165" s="336">
        <v>113</v>
      </c>
      <c r="F165" s="327">
        <f>IF(E165&gt;D165, 1, 0)</f>
        <v>0</v>
      </c>
      <c r="G165" s="177" t="str">
        <f>MID(B165,FIND("@",B165)+2,LEN(B165)-FIND("@",B165)-1)</f>
        <v>Detroit Pistons</v>
      </c>
      <c r="H165" s="177">
        <v>119</v>
      </c>
      <c r="I165" s="336">
        <v>124</v>
      </c>
      <c r="J165" s="327">
        <f>IF(I165&gt;H165, 1, 0)</f>
        <v>1</v>
      </c>
      <c r="K165" s="177">
        <f>+D165+H165</f>
        <v>235</v>
      </c>
      <c r="L165" s="336">
        <f>E165+I165</f>
        <v>237</v>
      </c>
      <c r="M165" s="327">
        <f>IF(L165&gt;K165, 1, 0)</f>
        <v>1</v>
      </c>
      <c r="N165" s="337">
        <f>(+H165-D165)</f>
        <v>3</v>
      </c>
      <c r="O165" s="355">
        <f>I165-E165</f>
        <v>11</v>
      </c>
      <c r="P165" s="405">
        <f>IF(OR(AND(N165&gt;0,O165&gt;0),AND(N165&lt;0,O165&lt;0)),1,0)</f>
        <v>1</v>
      </c>
      <c r="Q165" s="289">
        <f>WEEKNUM(tblResultadosNBA[[#This Row],[Fecha]],2)</f>
        <v>46</v>
      </c>
      <c r="R165" t="str">
        <f>TEXT(tblResultadosNBA[[#This Row],[Fecha]],"mmm")</f>
        <v>nov</v>
      </c>
    </row>
    <row r="166" spans="1:18">
      <c r="A166" s="419">
        <v>45973</v>
      </c>
      <c r="B166" s="302" t="s">
        <v>160</v>
      </c>
      <c r="C166" s="177" t="str">
        <f>LEFT(B166,FIND("@",B166)-2)</f>
        <v>Orlando Magic</v>
      </c>
      <c r="D166" s="177">
        <v>105</v>
      </c>
      <c r="E166" s="336">
        <v>124</v>
      </c>
      <c r="F166" s="327">
        <f>IF(E166&gt;D166, 1, 0)</f>
        <v>1</v>
      </c>
      <c r="G166" s="177" t="str">
        <f>MID(B166,FIND("@",B166)+2,LEN(B166)-FIND("@",B166)-1)</f>
        <v>New York Knicks</v>
      </c>
      <c r="H166" s="177">
        <v>109</v>
      </c>
      <c r="I166" s="336">
        <v>107</v>
      </c>
      <c r="J166" s="327">
        <f>IF(I166&gt;H166, 1, 0)</f>
        <v>0</v>
      </c>
      <c r="K166" s="177">
        <f>+D166+H166</f>
        <v>214</v>
      </c>
      <c r="L166" s="336">
        <f>E166+I166</f>
        <v>231</v>
      </c>
      <c r="M166" s="327">
        <f>IF(L166&gt;K166, 1, 0)</f>
        <v>1</v>
      </c>
      <c r="N166" s="337">
        <f>(+H166-D166)</f>
        <v>4</v>
      </c>
      <c r="O166" s="355">
        <f>I166-E166</f>
        <v>-17</v>
      </c>
      <c r="P166" s="405">
        <f>IF(OR(AND(N166&gt;0,O166&gt;0),AND(N166&lt;0,O166&lt;0)),1,0)</f>
        <v>0</v>
      </c>
      <c r="Q166" s="289">
        <f>WEEKNUM(tblResultadosNBA[[#This Row],[Fecha]],2)</f>
        <v>46</v>
      </c>
      <c r="R166" t="str">
        <f>TEXT(tblResultadosNBA[[#This Row],[Fecha]],"mmm")</f>
        <v>nov</v>
      </c>
    </row>
    <row r="167" spans="1:18">
      <c r="A167" s="419">
        <v>45973</v>
      </c>
      <c r="B167" s="302" t="s">
        <v>41</v>
      </c>
      <c r="C167" s="177" t="str">
        <f>LEFT(B167,FIND("@",B167)-2)</f>
        <v>Memphis Grizzlies</v>
      </c>
      <c r="D167" s="177">
        <v>110</v>
      </c>
      <c r="E167" s="336">
        <v>95</v>
      </c>
      <c r="F167" s="327">
        <f>IF(E167&gt;D167, 1, 0)</f>
        <v>0</v>
      </c>
      <c r="G167" s="177" t="str">
        <f>MID(B167,FIND("@",B167)+2,LEN(B167)-FIND("@",B167)-1)</f>
        <v>Boston Celtics</v>
      </c>
      <c r="H167" s="177">
        <v>126</v>
      </c>
      <c r="I167" s="336">
        <v>131</v>
      </c>
      <c r="J167" s="327">
        <f>IF(I167&gt;H167, 1, 0)</f>
        <v>1</v>
      </c>
      <c r="K167" s="177">
        <f>+D167+H167</f>
        <v>236</v>
      </c>
      <c r="L167" s="336">
        <f>E167+I167</f>
        <v>226</v>
      </c>
      <c r="M167" s="327">
        <f>IF(L167&gt;K167, 1, 0)</f>
        <v>0</v>
      </c>
      <c r="N167" s="337">
        <f>(+H167-D167)</f>
        <v>16</v>
      </c>
      <c r="O167" s="355">
        <f>I167-E167</f>
        <v>36</v>
      </c>
      <c r="P167" s="405">
        <f>IF(OR(AND(N167&gt;0,O167&gt;0),AND(N167&lt;0,O167&lt;0)),1,0)</f>
        <v>1</v>
      </c>
      <c r="Q167" s="289">
        <f>WEEKNUM(tblResultadosNBA[[#This Row],[Fecha]],2)</f>
        <v>46</v>
      </c>
      <c r="R167" t="str">
        <f>TEXT(tblResultadosNBA[[#This Row],[Fecha]],"mmm")</f>
        <v>nov</v>
      </c>
    </row>
    <row r="168" spans="1:18">
      <c r="A168" s="419">
        <v>45973</v>
      </c>
      <c r="B168" s="302" t="s">
        <v>533</v>
      </c>
      <c r="C168" s="177" t="str">
        <f>LEFT(B168,FIND("@",B168)-2)</f>
        <v>Cleveland Cavaliers</v>
      </c>
      <c r="D168" s="177">
        <v>105</v>
      </c>
      <c r="E168" s="336">
        <v>130</v>
      </c>
      <c r="F168" s="327">
        <f>IF(E168&gt;D168, 1, 0)</f>
        <v>1</v>
      </c>
      <c r="G168" s="177" t="str">
        <f>MID(B168,FIND("@",B168)+2,LEN(B168)-FIND("@",B168)-1)</f>
        <v>Miami Heat</v>
      </c>
      <c r="H168" s="177">
        <v>111</v>
      </c>
      <c r="I168" s="336">
        <v>116</v>
      </c>
      <c r="J168" s="327">
        <f>IF(I168&gt;H168, 1, 0)</f>
        <v>1</v>
      </c>
      <c r="K168" s="177">
        <f>+D168+H168</f>
        <v>216</v>
      </c>
      <c r="L168" s="336">
        <f>E168+I168</f>
        <v>246</v>
      </c>
      <c r="M168" s="327">
        <f>IF(L168&gt;K168, 1, 0)</f>
        <v>1</v>
      </c>
      <c r="N168" s="337">
        <f>(+H168-D168)</f>
        <v>6</v>
      </c>
      <c r="O168" s="355">
        <f>I168-E168</f>
        <v>-14</v>
      </c>
      <c r="P168" s="405">
        <f>IF(OR(AND(N168&gt;0,O168&gt;0),AND(N168&lt;0,O168&lt;0)),1,0)</f>
        <v>0</v>
      </c>
      <c r="Q168" s="289">
        <f>WEEKNUM(tblResultadosNBA[[#This Row],[Fecha]],2)</f>
        <v>46</v>
      </c>
      <c r="R168" t="str">
        <f>TEXT(tblResultadosNBA[[#This Row],[Fecha]],"mmm")</f>
        <v>nov</v>
      </c>
    </row>
    <row r="169" spans="1:18">
      <c r="A169" s="419">
        <v>45973</v>
      </c>
      <c r="B169" s="302" t="s">
        <v>536</v>
      </c>
      <c r="C169" s="177" t="str">
        <f>LEFT(B169,FIND("@",B169)-2)</f>
        <v>Washington Wizards</v>
      </c>
      <c r="D169" s="177">
        <v>110</v>
      </c>
      <c r="E169" s="336">
        <v>112</v>
      </c>
      <c r="F169" s="327">
        <f>IF(E169&gt;D169, 1, 0)</f>
        <v>1</v>
      </c>
      <c r="G169" s="177" t="str">
        <f>MID(B169,FIND("@",B169)+2,LEN(B169)-FIND("@",B169)-1)</f>
        <v>Houston Rockets</v>
      </c>
      <c r="H169" s="177">
        <v>113</v>
      </c>
      <c r="I169" s="336">
        <v>135</v>
      </c>
      <c r="J169" s="327">
        <f>IF(I169&gt;H169, 1, 0)</f>
        <v>1</v>
      </c>
      <c r="K169" s="177">
        <f>+D169+H169</f>
        <v>223</v>
      </c>
      <c r="L169" s="336">
        <f>E169+I169</f>
        <v>247</v>
      </c>
      <c r="M169" s="327">
        <f>IF(L169&gt;K169, 1, 0)</f>
        <v>1</v>
      </c>
      <c r="N169" s="337">
        <f>(+H169-D169)</f>
        <v>3</v>
      </c>
      <c r="O169" s="355">
        <f>I169-E169</f>
        <v>23</v>
      </c>
      <c r="P169" s="405">
        <f>IF(OR(AND(N169&gt;0,O169&gt;0),AND(N169&lt;0,O169&lt;0)),1,0)</f>
        <v>1</v>
      </c>
      <c r="Q169" s="289">
        <f>WEEKNUM(tblResultadosNBA[[#This Row],[Fecha]],2)</f>
        <v>46</v>
      </c>
      <c r="R169" t="str">
        <f>TEXT(tblResultadosNBA[[#This Row],[Fecha]],"mmm")</f>
        <v>nov</v>
      </c>
    </row>
    <row r="170" spans="1:18">
      <c r="A170" s="419">
        <v>45973</v>
      </c>
      <c r="B170" s="302" t="s">
        <v>42</v>
      </c>
      <c r="C170" s="177" t="str">
        <f>LEFT(B170,FIND("@",B170)-2)</f>
        <v>Portland Trail Blazers</v>
      </c>
      <c r="D170" s="177">
        <v>112</v>
      </c>
      <c r="E170" s="336">
        <v>125</v>
      </c>
      <c r="F170" s="327">
        <f>IF(E170&gt;D170, 1, 0)</f>
        <v>1</v>
      </c>
      <c r="G170" s="177" t="str">
        <f>MID(B170,FIND("@",B170)+2,LEN(B170)-FIND("@",B170)-1)</f>
        <v>New Orleans Pelicans</v>
      </c>
      <c r="H170" s="177">
        <v>116</v>
      </c>
      <c r="I170" s="336">
        <v>117</v>
      </c>
      <c r="J170" s="327">
        <f>IF(I170&gt;H170, 1, 0)</f>
        <v>1</v>
      </c>
      <c r="K170" s="177">
        <f>+D170+H170</f>
        <v>228</v>
      </c>
      <c r="L170" s="336">
        <f>E170+I170</f>
        <v>242</v>
      </c>
      <c r="M170" s="327">
        <f>IF(L170&gt;K170, 1, 0)</f>
        <v>1</v>
      </c>
      <c r="N170" s="337">
        <f>(+H170-D170)</f>
        <v>4</v>
      </c>
      <c r="O170" s="355">
        <f>I170-E170</f>
        <v>-8</v>
      </c>
      <c r="P170" s="405">
        <f>IF(OR(AND(N170&gt;0,O170&gt;0),AND(N170&lt;0,O170&lt;0)),1,0)</f>
        <v>0</v>
      </c>
      <c r="Q170" s="289">
        <f>WEEKNUM(tblResultadosNBA[[#This Row],[Fecha]],2)</f>
        <v>46</v>
      </c>
      <c r="R170" t="str">
        <f>TEXT(tblResultadosNBA[[#This Row],[Fecha]],"mmm")</f>
        <v>nov</v>
      </c>
    </row>
    <row r="171" spans="1:18">
      <c r="A171" s="419">
        <v>45973</v>
      </c>
      <c r="B171" s="302" t="s">
        <v>58</v>
      </c>
      <c r="C171" s="177" t="str">
        <f>LEFT(B171,FIND("@",B171)-2)</f>
        <v>Golden State Warriors</v>
      </c>
      <c r="D171" s="177">
        <v>105</v>
      </c>
      <c r="E171" s="336">
        <v>125</v>
      </c>
      <c r="F171" s="327">
        <f>IF(E171&gt;D171, 1, 0)</f>
        <v>1</v>
      </c>
      <c r="G171" s="177" t="str">
        <f>MID(B171,FIND("@",B171)+2,LEN(B171)-FIND("@",B171)-1)</f>
        <v>San Antonio Spurs</v>
      </c>
      <c r="H171" s="177">
        <v>115</v>
      </c>
      <c r="I171" s="336">
        <v>120</v>
      </c>
      <c r="J171" s="327">
        <f>IF(I171&gt;H171, 1, 0)</f>
        <v>1</v>
      </c>
      <c r="K171" s="177">
        <f>+D171+H171</f>
        <v>220</v>
      </c>
      <c r="L171" s="336">
        <f>E171+I171</f>
        <v>245</v>
      </c>
      <c r="M171" s="327">
        <f>IF(L171&gt;K171, 1, 0)</f>
        <v>1</v>
      </c>
      <c r="N171" s="337">
        <f>(+H171-D171)</f>
        <v>10</v>
      </c>
      <c r="O171" s="355">
        <f>I171-E171</f>
        <v>-5</v>
      </c>
      <c r="P171" s="405">
        <f>IF(OR(AND(N171&gt;0,O171&gt;0),AND(N171&lt;0,O171&lt;0)),1,0)</f>
        <v>0</v>
      </c>
      <c r="Q171" s="289">
        <f>WEEKNUM(tblResultadosNBA[[#This Row],[Fecha]],2)</f>
        <v>46</v>
      </c>
      <c r="R171" t="str">
        <f>TEXT(tblResultadosNBA[[#This Row],[Fecha]],"mmm")</f>
        <v>nov</v>
      </c>
    </row>
    <row r="172" spans="1:18">
      <c r="A172" s="419">
        <v>45973</v>
      </c>
      <c r="B172" s="302" t="s">
        <v>43</v>
      </c>
      <c r="C172" s="177" t="str">
        <f>LEFT(B172,FIND("@",B172)-2)</f>
        <v>Phoenix Suns</v>
      </c>
      <c r="D172" s="177">
        <v>126</v>
      </c>
      <c r="E172" s="336">
        <v>123</v>
      </c>
      <c r="F172" s="327">
        <f>IF(E172&gt;D172, 1, 0)</f>
        <v>0</v>
      </c>
      <c r="G172" s="177" t="str">
        <f>MID(B172,FIND("@",B172)+2,LEN(B172)-FIND("@",B172)-1)</f>
        <v>Dallas Mavericks</v>
      </c>
      <c r="H172" s="177">
        <v>118</v>
      </c>
      <c r="I172" s="336">
        <v>114</v>
      </c>
      <c r="J172" s="327">
        <f>IF(I172&gt;H172, 1, 0)</f>
        <v>0</v>
      </c>
      <c r="K172" s="177">
        <f>+D172+H172</f>
        <v>244</v>
      </c>
      <c r="L172" s="336">
        <f>E172+I172</f>
        <v>237</v>
      </c>
      <c r="M172" s="327">
        <f>IF(L172&gt;K172, 1, 0)</f>
        <v>0</v>
      </c>
      <c r="N172" s="337">
        <f>(+H172-D172)</f>
        <v>-8</v>
      </c>
      <c r="O172" s="355">
        <f>I172-E172</f>
        <v>-9</v>
      </c>
      <c r="P172" s="405">
        <f>IF(OR(AND(N172&gt;0,O172&gt;0),AND(N172&lt;0,O172&lt;0)),1,0)</f>
        <v>1</v>
      </c>
      <c r="Q172" s="289">
        <f>WEEKNUM(tblResultadosNBA[[#This Row],[Fecha]],2)</f>
        <v>46</v>
      </c>
      <c r="R172" t="str">
        <f>TEXT(tblResultadosNBA[[#This Row],[Fecha]],"mmm")</f>
        <v>nov</v>
      </c>
    </row>
    <row r="173" spans="1:18">
      <c r="A173" s="419">
        <v>45973</v>
      </c>
      <c r="B173" s="302" t="s">
        <v>44</v>
      </c>
      <c r="C173" s="177" t="str">
        <f>LEFT(B173,FIND("@",B173)-2)</f>
        <v>Los Angeles Lakers</v>
      </c>
      <c r="D173" s="177">
        <v>110</v>
      </c>
      <c r="E173" s="336">
        <v>92</v>
      </c>
      <c r="F173" s="327">
        <f>IF(E173&gt;D173, 1, 0)</f>
        <v>0</v>
      </c>
      <c r="G173" s="177" t="str">
        <f>MID(B173,FIND("@",B173)+2,LEN(B173)-FIND("@",B173)-1)</f>
        <v>Oklahoma City Thunder</v>
      </c>
      <c r="H173" s="177">
        <v>124</v>
      </c>
      <c r="I173" s="336">
        <v>121</v>
      </c>
      <c r="J173" s="327">
        <f>IF(I173&gt;H173, 1, 0)</f>
        <v>0</v>
      </c>
      <c r="K173" s="177">
        <f>+D173+H173</f>
        <v>234</v>
      </c>
      <c r="L173" s="336">
        <f>E173+I173</f>
        <v>213</v>
      </c>
      <c r="M173" s="327">
        <f>IF(L173&gt;K173, 1, 0)</f>
        <v>0</v>
      </c>
      <c r="N173" s="337">
        <f>(+H173-D173)</f>
        <v>14</v>
      </c>
      <c r="O173" s="355">
        <f>I173-E173</f>
        <v>29</v>
      </c>
      <c r="P173" s="405">
        <f>IF(OR(AND(N173&gt;0,O173&gt;0),AND(N173&lt;0,O173&lt;0)),1,0)</f>
        <v>1</v>
      </c>
      <c r="Q173" s="289">
        <f>WEEKNUM(tblResultadosNBA[[#This Row],[Fecha]],2)</f>
        <v>46</v>
      </c>
      <c r="R173" t="str">
        <f>TEXT(tblResultadosNBA[[#This Row],[Fecha]],"mmm")</f>
        <v>nov</v>
      </c>
    </row>
    <row r="174" spans="1:18">
      <c r="A174" s="419">
        <v>45973</v>
      </c>
      <c r="B174" s="302" t="s">
        <v>45</v>
      </c>
      <c r="C174" s="177" t="str">
        <f>LEFT(B174,FIND("@",B174)-2)</f>
        <v>Atlanta Hawks</v>
      </c>
      <c r="D174" s="177">
        <v>113</v>
      </c>
      <c r="E174" s="336">
        <v>133</v>
      </c>
      <c r="F174" s="327">
        <f>IF(E174&gt;D174, 1, 0)</f>
        <v>1</v>
      </c>
      <c r="G174" s="177" t="str">
        <f>MID(B174,FIND("@",B174)+2,LEN(B174)-FIND("@",B174)-1)</f>
        <v>Sacramento Kings</v>
      </c>
      <c r="H174" s="177">
        <v>124</v>
      </c>
      <c r="I174" s="336">
        <v>100</v>
      </c>
      <c r="J174" s="327">
        <f>IF(I174&gt;H174, 1, 0)</f>
        <v>0</v>
      </c>
      <c r="K174" s="177">
        <f>+D174+H174</f>
        <v>237</v>
      </c>
      <c r="L174" s="336">
        <f>E174+I174</f>
        <v>233</v>
      </c>
      <c r="M174" s="327">
        <f>IF(L174&gt;K174, 1, 0)</f>
        <v>0</v>
      </c>
      <c r="N174" s="337">
        <f>(+H174-D174)</f>
        <v>11</v>
      </c>
      <c r="O174" s="355">
        <f>I174-E174</f>
        <v>-33</v>
      </c>
      <c r="P174" s="405">
        <f>IF(OR(AND(N174&gt;0,O174&gt;0),AND(N174&lt;0,O174&lt;0)),1,0)</f>
        <v>0</v>
      </c>
      <c r="Q174" s="289">
        <f>WEEKNUM(tblResultadosNBA[[#This Row],[Fecha]],2)</f>
        <v>46</v>
      </c>
      <c r="R174" t="str">
        <f>TEXT(tblResultadosNBA[[#This Row],[Fecha]],"mmm")</f>
        <v>nov</v>
      </c>
    </row>
    <row r="175" spans="1:18">
      <c r="A175" s="445">
        <v>45973</v>
      </c>
      <c r="B175" s="331" t="s">
        <v>537</v>
      </c>
      <c r="C175" s="286" t="str">
        <f>LEFT(B175,FIND("@",B175)-2)</f>
        <v>Denver Nuggets</v>
      </c>
      <c r="D175" s="286">
        <v>114</v>
      </c>
      <c r="E175" s="431">
        <v>130</v>
      </c>
      <c r="F175" s="332">
        <f>IF(E175&gt;D175, 1, 0)</f>
        <v>1</v>
      </c>
      <c r="G175" s="286" t="str">
        <f>MID(B175,FIND("@",B175)+2,LEN(B175)-FIND("@",B175)-1)</f>
        <v>LA Clippers</v>
      </c>
      <c r="H175" s="286">
        <v>104</v>
      </c>
      <c r="I175" s="431">
        <v>116</v>
      </c>
      <c r="J175" s="332">
        <f>IF(I175&gt;H175, 1, 0)</f>
        <v>1</v>
      </c>
      <c r="K175" s="286">
        <f>+D175+H175</f>
        <v>218</v>
      </c>
      <c r="L175" s="431">
        <f>E175+I175</f>
        <v>246</v>
      </c>
      <c r="M175" s="332">
        <f>IF(L175&gt;K175, 1, 0)</f>
        <v>1</v>
      </c>
      <c r="N175" s="432">
        <f>(+H175-D175)</f>
        <v>-10</v>
      </c>
      <c r="O175" s="447">
        <f>I175-E175</f>
        <v>-14</v>
      </c>
      <c r="P175" s="406">
        <f>IF(OR(AND(N175&gt;0,O175&gt;0),AND(N175&lt;0,O175&lt;0)),1,0)</f>
        <v>1</v>
      </c>
      <c r="Q175" s="433">
        <f>WEEKNUM(tblResultadosNBA[[#This Row],[Fecha]],2)</f>
        <v>46</v>
      </c>
      <c r="R175" s="433" t="str">
        <f>TEXT(tblResultadosNBA[[#This Row],[Fecha]],"mmm")</f>
        <v>nov</v>
      </c>
    </row>
    <row r="176" spans="1:18">
      <c r="A176" s="439">
        <v>45974</v>
      </c>
      <c r="B176" s="422" t="s">
        <v>48</v>
      </c>
      <c r="C176" s="341" t="str">
        <f>LEFT(B176,FIND("@",B176)-2)</f>
        <v>Toronto Raptors</v>
      </c>
      <c r="D176" s="341">
        <v>128</v>
      </c>
      <c r="E176" s="342">
        <v>126</v>
      </c>
      <c r="F176" s="333">
        <f>IF(E176&gt;D176, 1, 0)</f>
        <v>0</v>
      </c>
      <c r="G176" s="341" t="str">
        <f>MID(B176,FIND("@",B176)+2,LEN(B176)-FIND("@",B176)-1)</f>
        <v>Cleveland Cavaliers</v>
      </c>
      <c r="H176" s="341">
        <v>123</v>
      </c>
      <c r="I176" s="342">
        <v>113</v>
      </c>
      <c r="J176" s="333">
        <f>IF(I176&gt;H176, 1, 0)</f>
        <v>0</v>
      </c>
      <c r="K176" s="341">
        <f>+D176+H176</f>
        <v>251</v>
      </c>
      <c r="L176" s="342">
        <f>E176+I176</f>
        <v>239</v>
      </c>
      <c r="M176" s="333">
        <f>IF(L176&gt;K176, 1, 0)</f>
        <v>0</v>
      </c>
      <c r="N176" s="343">
        <f>(+H176-D176)</f>
        <v>-5</v>
      </c>
      <c r="O176" s="448">
        <f>I176-E176</f>
        <v>-13</v>
      </c>
      <c r="P176" s="407">
        <f>IF(OR(AND(N176&gt;0,O176&gt;0),AND(N176&lt;0,O176&lt;0)),1,0)</f>
        <v>1</v>
      </c>
      <c r="Q176" s="289">
        <f>WEEKNUM(tblResultadosNBA[[#This Row],[Fecha]],2)</f>
        <v>46</v>
      </c>
      <c r="R176" t="str">
        <f>TEXT(tblResultadosNBA[[#This Row],[Fecha]],"mmm")</f>
        <v>nov</v>
      </c>
    </row>
    <row r="177" spans="1:18">
      <c r="A177" s="419">
        <v>45974</v>
      </c>
      <c r="B177" s="302" t="s">
        <v>49</v>
      </c>
      <c r="C177" s="177" t="str">
        <f>LEFT(B177,FIND("@",B177)-2)</f>
        <v>Indiana Pacers</v>
      </c>
      <c r="D177" s="177">
        <v>112</v>
      </c>
      <c r="E177" s="336">
        <v>98</v>
      </c>
      <c r="F177" s="327">
        <f>IF(E177&gt;D177, 1, 0)</f>
        <v>0</v>
      </c>
      <c r="G177" s="177" t="str">
        <f>MID(B177,FIND("@",B177)+2,LEN(B177)-FIND("@",B177)-1)</f>
        <v>Phoenix Suns</v>
      </c>
      <c r="H177" s="177">
        <v>118</v>
      </c>
      <c r="I177" s="336">
        <v>133</v>
      </c>
      <c r="J177" s="327">
        <f>IF(I177&gt;H177, 1, 0)</f>
        <v>1</v>
      </c>
      <c r="K177" s="177">
        <f>+D177+H177</f>
        <v>230</v>
      </c>
      <c r="L177" s="336">
        <f>E177+I177</f>
        <v>231</v>
      </c>
      <c r="M177" s="327">
        <f>IF(L177&gt;K177, 1, 0)</f>
        <v>1</v>
      </c>
      <c r="N177" s="337">
        <f>(+H177-D177)</f>
        <v>6</v>
      </c>
      <c r="O177" s="355">
        <f>I177-E177</f>
        <v>35</v>
      </c>
      <c r="P177" s="405">
        <f>IF(OR(AND(N177&gt;0,O177&gt;0),AND(N177&lt;0,O177&lt;0)),1,0)</f>
        <v>1</v>
      </c>
      <c r="Q177" s="289">
        <f>WEEKNUM(tblResultadosNBA[[#This Row],[Fecha]],2)</f>
        <v>46</v>
      </c>
      <c r="R177" t="str">
        <f>TEXT(tblResultadosNBA[[#This Row],[Fecha]],"mmm")</f>
        <v>nov</v>
      </c>
    </row>
    <row r="178" spans="1:18">
      <c r="A178" s="445">
        <v>45974</v>
      </c>
      <c r="B178" s="331" t="s">
        <v>50</v>
      </c>
      <c r="C178" s="286" t="str">
        <f>LEFT(B178,FIND("@",B178)-2)</f>
        <v>Atlanta Hawks</v>
      </c>
      <c r="D178" s="286">
        <v>111</v>
      </c>
      <c r="E178" s="431">
        <v>132</v>
      </c>
      <c r="F178" s="332">
        <f>IF(E178&gt;D178, 1, 0)</f>
        <v>1</v>
      </c>
      <c r="G178" s="286" t="str">
        <f>MID(B178,FIND("@",B178)+2,LEN(B178)-FIND("@",B178)-1)</f>
        <v>Utah Jazz</v>
      </c>
      <c r="H178" s="286">
        <v>117</v>
      </c>
      <c r="I178" s="431">
        <v>122</v>
      </c>
      <c r="J178" s="332">
        <f>IF(I178&gt;H178, 1, 0)</f>
        <v>1</v>
      </c>
      <c r="K178" s="286">
        <f>+D178+H178</f>
        <v>228</v>
      </c>
      <c r="L178" s="431">
        <f>E178+I178</f>
        <v>254</v>
      </c>
      <c r="M178" s="332">
        <f>IF(L178&gt;K178, 1, 0)</f>
        <v>1</v>
      </c>
      <c r="N178" s="432">
        <f>(+H178-D178)</f>
        <v>6</v>
      </c>
      <c r="O178" s="447">
        <f>I178-E178</f>
        <v>-10</v>
      </c>
      <c r="P178" s="406">
        <f>IF(OR(AND(N178&gt;0,O178&gt;0),AND(N178&lt;0,O178&lt;0)),1,0)</f>
        <v>0</v>
      </c>
      <c r="Q178" s="433">
        <f>WEEKNUM(tblResultadosNBA[[#This Row],[Fecha]],2)</f>
        <v>46</v>
      </c>
      <c r="R178" s="433" t="str">
        <f>TEXT(tblResultadosNBA[[#This Row],[Fecha]],"mmm")</f>
        <v>nov</v>
      </c>
    </row>
    <row r="179" spans="1:18">
      <c r="A179" s="439">
        <v>45975</v>
      </c>
      <c r="B179" s="422" t="s">
        <v>54</v>
      </c>
      <c r="C179" s="341" t="str">
        <f>LEFT(B179,FIND("@",B179)-2)</f>
        <v>Miami Heat</v>
      </c>
      <c r="D179" s="341">
        <v>125</v>
      </c>
      <c r="E179" s="342">
        <v>132</v>
      </c>
      <c r="F179" s="333">
        <f>IF(E179&gt;D179, 1, 0)</f>
        <v>1</v>
      </c>
      <c r="G179" s="341" t="str">
        <f>MID(B179,FIND("@",B179)+2,LEN(B179)-FIND("@",B179)-1)</f>
        <v>New York Knicks</v>
      </c>
      <c r="H179" s="341">
        <v>118</v>
      </c>
      <c r="I179" s="342">
        <v>140</v>
      </c>
      <c r="J179" s="333">
        <f>IF(I179&gt;H179, 1, 0)</f>
        <v>1</v>
      </c>
      <c r="K179" s="341">
        <f>+D179+H179</f>
        <v>243</v>
      </c>
      <c r="L179" s="342">
        <f>E179+I179</f>
        <v>272</v>
      </c>
      <c r="M179" s="333">
        <f>IF(L179&gt;K179, 1, 0)</f>
        <v>1</v>
      </c>
      <c r="N179" s="343">
        <f>(+H179-D179)</f>
        <v>-7</v>
      </c>
      <c r="O179" s="448">
        <f>I179-E179</f>
        <v>8</v>
      </c>
      <c r="P179" s="407">
        <f>IF(OR(AND(N179&gt;0,O179&gt;0),AND(N179&lt;0,O179&lt;0)),1,0)</f>
        <v>0</v>
      </c>
      <c r="Q179" s="289">
        <f>WEEKNUM(tblResultadosNBA[[#This Row],[Fecha]],2)</f>
        <v>46</v>
      </c>
      <c r="R179" t="str">
        <f>TEXT(tblResultadosNBA[[#This Row],[Fecha]],"mmm")</f>
        <v>nov</v>
      </c>
    </row>
    <row r="180" spans="1:18">
      <c r="A180" s="419">
        <v>45975</v>
      </c>
      <c r="B180" s="302" t="s">
        <v>336</v>
      </c>
      <c r="C180" s="177" t="str">
        <f>LEFT(B180,FIND("@",B180)-2)</f>
        <v>Brooklyn Nets</v>
      </c>
      <c r="D180" s="177">
        <v>105</v>
      </c>
      <c r="E180" s="336">
        <v>98</v>
      </c>
      <c r="F180" s="327">
        <f>IF(E180&gt;D180, 1, 0)</f>
        <v>0</v>
      </c>
      <c r="G180" s="177" t="str">
        <f>MID(B180,FIND("@",B180)+2,LEN(B180)-FIND("@",B180)-1)</f>
        <v>Orlando Magic</v>
      </c>
      <c r="H180" s="177">
        <v>110</v>
      </c>
      <c r="I180" s="336">
        <v>105</v>
      </c>
      <c r="J180" s="327">
        <f>IF(I180&gt;H180, 1, 0)</f>
        <v>0</v>
      </c>
      <c r="K180" s="177">
        <f>+D180+H180</f>
        <v>215</v>
      </c>
      <c r="L180" s="336">
        <f>E180+I180</f>
        <v>203</v>
      </c>
      <c r="M180" s="327">
        <f>IF(L180&gt;K180, 1, 0)</f>
        <v>0</v>
      </c>
      <c r="N180" s="337">
        <f>(+H180-D180)</f>
        <v>5</v>
      </c>
      <c r="O180" s="355">
        <f>I180-E180</f>
        <v>7</v>
      </c>
      <c r="P180" s="405">
        <f>IF(OR(AND(N180&gt;0,O180&gt;0),AND(N180&lt;0,O180&lt;0)),1,0)</f>
        <v>1</v>
      </c>
      <c r="Q180" s="289">
        <f>WEEKNUM(tblResultadosNBA[[#This Row],[Fecha]],2)</f>
        <v>46</v>
      </c>
      <c r="R180" t="str">
        <f>TEXT(tblResultadosNBA[[#This Row],[Fecha]],"mmm")</f>
        <v>nov</v>
      </c>
    </row>
    <row r="181" spans="1:18">
      <c r="A181" s="419">
        <v>45975</v>
      </c>
      <c r="B181" s="302" t="s">
        <v>538</v>
      </c>
      <c r="C181" s="177" t="str">
        <f>LEFT(B181,FIND("@",B181)-2)</f>
        <v>Philadelphia 76ers</v>
      </c>
      <c r="D181" s="177">
        <v>113</v>
      </c>
      <c r="E181" s="336">
        <v>105</v>
      </c>
      <c r="F181" s="327">
        <f>IF(E181&gt;D181, 1, 0)</f>
        <v>0</v>
      </c>
      <c r="G181" s="177" t="str">
        <f>MID(B181,FIND("@",B181)+2,LEN(B181)-FIND("@",B181)-1)</f>
        <v>Detroit Pistons</v>
      </c>
      <c r="H181" s="177">
        <v>109</v>
      </c>
      <c r="I181" s="336">
        <v>114</v>
      </c>
      <c r="J181" s="327">
        <f>IF(I181&gt;H181, 1, 0)</f>
        <v>1</v>
      </c>
      <c r="K181" s="177">
        <f>+D181+H181</f>
        <v>222</v>
      </c>
      <c r="L181" s="336">
        <f>E181+I181</f>
        <v>219</v>
      </c>
      <c r="M181" s="327">
        <f>IF(L181&gt;K181, 1, 0)</f>
        <v>0</v>
      </c>
      <c r="N181" s="337">
        <f>(+H181-D181)</f>
        <v>-4</v>
      </c>
      <c r="O181" s="355">
        <f>I181-E181</f>
        <v>9</v>
      </c>
      <c r="P181" s="405">
        <f>IF(OR(AND(N181&gt;0,O181&gt;0),AND(N181&lt;0,O181&lt;0)),1,0)</f>
        <v>0</v>
      </c>
      <c r="Q181" s="289">
        <f>WEEKNUM(tblResultadosNBA[[#This Row],[Fecha]],2)</f>
        <v>46</v>
      </c>
      <c r="R181" t="str">
        <f>TEXT(tblResultadosNBA[[#This Row],[Fecha]],"mmm")</f>
        <v>nov</v>
      </c>
    </row>
    <row r="182" spans="1:18">
      <c r="A182" s="419">
        <v>45975</v>
      </c>
      <c r="B182" s="302" t="s">
        <v>55</v>
      </c>
      <c r="C182" s="177" t="str">
        <f>LEFT(B182,FIND("@",B182)-2)</f>
        <v>Portland Trail Blazers</v>
      </c>
      <c r="D182" s="177">
        <v>116</v>
      </c>
      <c r="E182" s="336">
        <v>116</v>
      </c>
      <c r="F182" s="327">
        <f>IF(E182&gt;D182, 1, 0)</f>
        <v>0</v>
      </c>
      <c r="G182" s="177" t="str">
        <f>MID(B182,FIND("@",B182)+2,LEN(B182)-FIND("@",B182)-1)</f>
        <v>Houston Rockets</v>
      </c>
      <c r="H182" s="177">
        <v>122</v>
      </c>
      <c r="I182" s="336">
        <v>140</v>
      </c>
      <c r="J182" s="327">
        <f>IF(I182&gt;H182, 1, 0)</f>
        <v>1</v>
      </c>
      <c r="K182" s="177">
        <f>+D182+H182</f>
        <v>238</v>
      </c>
      <c r="L182" s="336">
        <f>E182+I182</f>
        <v>256</v>
      </c>
      <c r="M182" s="327">
        <f>IF(L182&gt;K182, 1, 0)</f>
        <v>1</v>
      </c>
      <c r="N182" s="337">
        <f>(+H182-D182)</f>
        <v>6</v>
      </c>
      <c r="O182" s="355">
        <f>I182-E182</f>
        <v>24</v>
      </c>
      <c r="P182" s="405">
        <f>IF(OR(AND(N182&gt;0,O182&gt;0),AND(N182&lt;0,O182&lt;0)),1,0)</f>
        <v>1</v>
      </c>
      <c r="Q182" s="289">
        <f>WEEKNUM(tblResultadosNBA[[#This Row],[Fecha]],2)</f>
        <v>46</v>
      </c>
      <c r="R182" t="str">
        <f>TEXT(tblResultadosNBA[[#This Row],[Fecha]],"mmm")</f>
        <v>nov</v>
      </c>
    </row>
    <row r="183" spans="1:18">
      <c r="A183" s="419">
        <v>45975</v>
      </c>
      <c r="B183" s="302" t="s">
        <v>539</v>
      </c>
      <c r="C183" s="177" t="str">
        <f>LEFT(B183,FIND("@",B183)-2)</f>
        <v>Charlotte Hornets</v>
      </c>
      <c r="D183" s="177">
        <v>105</v>
      </c>
      <c r="E183" s="336">
        <v>134</v>
      </c>
      <c r="F183" s="327">
        <f>IF(E183&gt;D183, 1, 0)</f>
        <v>1</v>
      </c>
      <c r="G183" s="177" t="str">
        <f>MID(B183,FIND("@",B183)+2,LEN(B183)-FIND("@",B183)-1)</f>
        <v>Milwaukee Bucks</v>
      </c>
      <c r="H183" s="177">
        <v>117</v>
      </c>
      <c r="I183" s="336">
        <v>147</v>
      </c>
      <c r="J183" s="327">
        <f>IF(I183&gt;H183, 1, 0)</f>
        <v>1</v>
      </c>
      <c r="K183" s="177">
        <f>+D183+H183</f>
        <v>222</v>
      </c>
      <c r="L183" s="336">
        <f>E183+I183</f>
        <v>281</v>
      </c>
      <c r="M183" s="327">
        <f>IF(L183&gt;K183, 1, 0)</f>
        <v>1</v>
      </c>
      <c r="N183" s="337">
        <f>(+H183-D183)</f>
        <v>12</v>
      </c>
      <c r="O183" s="355">
        <f>I183-E183</f>
        <v>13</v>
      </c>
      <c r="P183" s="405">
        <f>IF(OR(AND(N183&gt;0,O183&gt;0),AND(N183&lt;0,O183&lt;0)),1,0)</f>
        <v>1</v>
      </c>
      <c r="Q183" s="289">
        <f>WEEKNUM(tblResultadosNBA[[#This Row],[Fecha]],2)</f>
        <v>46</v>
      </c>
      <c r="R183" t="str">
        <f>TEXT(tblResultadosNBA[[#This Row],[Fecha]],"mmm")</f>
        <v>nov</v>
      </c>
    </row>
    <row r="184" spans="1:18">
      <c r="A184" s="419">
        <v>45975</v>
      </c>
      <c r="B184" s="302" t="s">
        <v>180</v>
      </c>
      <c r="C184" s="177" t="str">
        <f>LEFT(B184,FIND("@",B184)-2)</f>
        <v>Sacramento Kings</v>
      </c>
      <c r="D184" s="177">
        <v>112</v>
      </c>
      <c r="E184" s="336">
        <v>110</v>
      </c>
      <c r="F184" s="327">
        <f>IF(E184&gt;D184, 1, 0)</f>
        <v>0</v>
      </c>
      <c r="G184" s="177" t="str">
        <f>MID(B184,FIND("@",B184)+2,LEN(B184)-FIND("@",B184)-1)</f>
        <v>Minnesota Timberwolves</v>
      </c>
      <c r="H184" s="177">
        <v>117</v>
      </c>
      <c r="I184" s="336">
        <v>124</v>
      </c>
      <c r="J184" s="327">
        <f>IF(I184&gt;H184, 1, 0)</f>
        <v>1</v>
      </c>
      <c r="K184" s="177">
        <f>+D184+H184</f>
        <v>229</v>
      </c>
      <c r="L184" s="336">
        <f>E184+I184</f>
        <v>234</v>
      </c>
      <c r="M184" s="327">
        <f>IF(L184&gt;K184, 1, 0)</f>
        <v>1</v>
      </c>
      <c r="N184" s="337">
        <f>(+H184-D184)</f>
        <v>5</v>
      </c>
      <c r="O184" s="355">
        <f>I184-E184</f>
        <v>14</v>
      </c>
      <c r="P184" s="405">
        <f>IF(OR(AND(N184&gt;0,O184&gt;0),AND(N184&lt;0,O184&lt;0)),1,0)</f>
        <v>1</v>
      </c>
      <c r="Q184" s="289">
        <f>WEEKNUM(tblResultadosNBA[[#This Row],[Fecha]],2)</f>
        <v>46</v>
      </c>
      <c r="R184" t="str">
        <f>TEXT(tblResultadosNBA[[#This Row],[Fecha]],"mmm")</f>
        <v>nov</v>
      </c>
    </row>
    <row r="185" spans="1:18">
      <c r="A185" s="419">
        <v>45975</v>
      </c>
      <c r="B185" s="302" t="s">
        <v>56</v>
      </c>
      <c r="C185" s="177" t="str">
        <f>LEFT(B185,FIND("@",B185)-2)</f>
        <v>Los Angeles Lakers</v>
      </c>
      <c r="D185" s="177">
        <v>110</v>
      </c>
      <c r="E185" s="336">
        <v>118</v>
      </c>
      <c r="F185" s="327">
        <f>IF(E185&gt;D185, 1, 0)</f>
        <v>1</v>
      </c>
      <c r="G185" s="177" t="str">
        <f>MID(B185,FIND("@",B185)+2,LEN(B185)-FIND("@",B185)-1)</f>
        <v>New Orleans Pelicans</v>
      </c>
      <c r="H185" s="177">
        <v>114</v>
      </c>
      <c r="I185" s="336">
        <v>104</v>
      </c>
      <c r="J185" s="327">
        <f>IF(I185&gt;H185, 1, 0)</f>
        <v>0</v>
      </c>
      <c r="K185" s="177">
        <f>+D185+H185</f>
        <v>224</v>
      </c>
      <c r="L185" s="336">
        <f>E185+I185</f>
        <v>222</v>
      </c>
      <c r="M185" s="327">
        <f>IF(L185&gt;K185, 1, 0)</f>
        <v>0</v>
      </c>
      <c r="N185" s="337">
        <f>(+H185-D185)</f>
        <v>4</v>
      </c>
      <c r="O185" s="355">
        <f>I185-E185</f>
        <v>-14</v>
      </c>
      <c r="P185" s="405">
        <f>IF(OR(AND(N185&gt;0,O185&gt;0),AND(N185&lt;0,O185&lt;0)),1,0)</f>
        <v>0</v>
      </c>
      <c r="Q185" s="289">
        <f>WEEKNUM(tblResultadosNBA[[#This Row],[Fecha]],2)</f>
        <v>46</v>
      </c>
      <c r="R185" t="str">
        <f>TEXT(tblResultadosNBA[[#This Row],[Fecha]],"mmm")</f>
        <v>nov</v>
      </c>
    </row>
    <row r="186" spans="1:18">
      <c r="A186" s="419">
        <v>45975</v>
      </c>
      <c r="B186" s="302" t="s">
        <v>57</v>
      </c>
      <c r="C186" s="177" t="str">
        <f>LEFT(B186,FIND("@",B186)-2)</f>
        <v>LA Clippers</v>
      </c>
      <c r="D186" s="177">
        <v>105</v>
      </c>
      <c r="E186" s="336">
        <v>133</v>
      </c>
      <c r="F186" s="327">
        <f>IF(E186&gt;D186, 1, 0)</f>
        <v>1</v>
      </c>
      <c r="G186" s="177" t="str">
        <f>MID(B186,FIND("@",B186)+2,LEN(B186)-FIND("@",B186)-1)</f>
        <v>Dallas Mavericks</v>
      </c>
      <c r="H186" s="177">
        <v>111</v>
      </c>
      <c r="I186" s="336">
        <v>127</v>
      </c>
      <c r="J186" s="327">
        <f>IF(I186&gt;H186, 1, 0)</f>
        <v>1</v>
      </c>
      <c r="K186" s="177">
        <f>+D186+H186</f>
        <v>216</v>
      </c>
      <c r="L186" s="336">
        <f>E186+I186</f>
        <v>260</v>
      </c>
      <c r="M186" s="327">
        <f>IF(L186&gt;K186, 1, 0)</f>
        <v>1</v>
      </c>
      <c r="N186" s="337">
        <f>(+H186-D186)</f>
        <v>6</v>
      </c>
      <c r="O186" s="355">
        <f>I186-E186</f>
        <v>-6</v>
      </c>
      <c r="P186" s="405">
        <f>IF(OR(AND(N186&gt;0,O186&gt;0),AND(N186&lt;0,O186&lt;0)),1,0)</f>
        <v>0</v>
      </c>
      <c r="Q186" s="289">
        <f>WEEKNUM(tblResultadosNBA[[#This Row],[Fecha]],2)</f>
        <v>46</v>
      </c>
      <c r="R186" t="str">
        <f>TEXT(tblResultadosNBA[[#This Row],[Fecha]],"mmm")</f>
        <v>nov</v>
      </c>
    </row>
    <row r="187" spans="1:18">
      <c r="A187" s="445">
        <v>45975</v>
      </c>
      <c r="B187" s="331" t="s">
        <v>58</v>
      </c>
      <c r="C187" s="286" t="str">
        <f>LEFT(B187,FIND("@",B187)-2)</f>
        <v>Golden State Warriors</v>
      </c>
      <c r="D187" s="286">
        <v>125</v>
      </c>
      <c r="E187" s="431">
        <v>109</v>
      </c>
      <c r="F187" s="332">
        <f>IF(E187&gt;D187, 1, 0)</f>
        <v>0</v>
      </c>
      <c r="G187" s="286" t="str">
        <f>MID(B187,FIND("@",B187)+2,LEN(B187)-FIND("@",B187)-1)</f>
        <v>San Antonio Spurs</v>
      </c>
      <c r="H187" s="286">
        <v>119</v>
      </c>
      <c r="I187" s="431">
        <v>108</v>
      </c>
      <c r="J187" s="332">
        <f>IF(I187&gt;H187, 1, 0)</f>
        <v>0</v>
      </c>
      <c r="K187" s="286">
        <f>+D187+H187</f>
        <v>244</v>
      </c>
      <c r="L187" s="431">
        <f>E187+I187</f>
        <v>217</v>
      </c>
      <c r="M187" s="332">
        <f>IF(L187&gt;K187, 1, 0)</f>
        <v>0</v>
      </c>
      <c r="N187" s="432">
        <f>(+H187-D187)</f>
        <v>-6</v>
      </c>
      <c r="O187" s="447">
        <f>I187-E187</f>
        <v>-1</v>
      </c>
      <c r="P187" s="406">
        <f>IF(OR(AND(N187&gt;0,O187&gt;0),AND(N187&lt;0,O187&lt;0)),1,0)</f>
        <v>1</v>
      </c>
      <c r="Q187" s="433">
        <f>WEEKNUM(tblResultadosNBA[[#This Row],[Fecha]],2)</f>
        <v>46</v>
      </c>
      <c r="R187" s="433" t="str">
        <f>TEXT(tblResultadosNBA[[#This Row],[Fecha]],"mmm")</f>
        <v>nov</v>
      </c>
    </row>
    <row r="188" spans="1:18">
      <c r="A188" s="439">
        <v>45976</v>
      </c>
      <c r="B188" s="422" t="s">
        <v>61</v>
      </c>
      <c r="C188" s="341" t="str">
        <f>LEFT(B188,FIND("@",B188)-2)</f>
        <v>Memphis Grizzlies</v>
      </c>
      <c r="D188" s="341">
        <v>124</v>
      </c>
      <c r="E188" s="342">
        <v>100</v>
      </c>
      <c r="F188" s="333">
        <f>IF(E188&gt;D188, 1, 0)</f>
        <v>0</v>
      </c>
      <c r="G188" s="341" t="str">
        <f>MID(B188,FIND("@",B188)+2,LEN(B188)-FIND("@",B188)-1)</f>
        <v>Cleveland Cavaliers</v>
      </c>
      <c r="H188" s="341">
        <v>122</v>
      </c>
      <c r="I188" s="342">
        <v>108</v>
      </c>
      <c r="J188" s="333">
        <f>IF(I188&gt;H188, 1, 0)</f>
        <v>0</v>
      </c>
      <c r="K188" s="341">
        <f>+D188+H188</f>
        <v>246</v>
      </c>
      <c r="L188" s="342">
        <f>E188+I188</f>
        <v>208</v>
      </c>
      <c r="M188" s="333">
        <f>IF(L188&gt;K188, 1, 0)</f>
        <v>0</v>
      </c>
      <c r="N188" s="343">
        <f>(+H188-D188)</f>
        <v>-2</v>
      </c>
      <c r="O188" s="448">
        <f>I188-E188</f>
        <v>8</v>
      </c>
      <c r="P188" s="407">
        <f>IF(OR(AND(N188&gt;0,O188&gt;0),AND(N188&lt;0,O188&lt;0)),1,0)</f>
        <v>0</v>
      </c>
      <c r="Q188" s="289">
        <f>WEEKNUM(tblResultadosNBA[[#This Row],[Fecha]],2)</f>
        <v>46</v>
      </c>
      <c r="R188" t="str">
        <f>TEXT(tblResultadosNBA[[#This Row],[Fecha]],"mmm")</f>
        <v>nov</v>
      </c>
    </row>
    <row r="189" spans="1:18">
      <c r="A189" s="419">
        <v>45976</v>
      </c>
      <c r="B189" s="302" t="s">
        <v>62</v>
      </c>
      <c r="C189" s="177" t="str">
        <f>LEFT(B189,FIND("@",B189)-2)</f>
        <v>Oklahoma City Thunder</v>
      </c>
      <c r="D189" s="177">
        <v>118</v>
      </c>
      <c r="E189" s="336">
        <v>109</v>
      </c>
      <c r="F189" s="327">
        <f>IF(E189&gt;D189, 1, 0)</f>
        <v>0</v>
      </c>
      <c r="G189" s="177" t="str">
        <f>MID(B189,FIND("@",B189)+2,LEN(B189)-FIND("@",B189)-1)</f>
        <v>Charlotte Hornets</v>
      </c>
      <c r="H189" s="177">
        <v>114</v>
      </c>
      <c r="I189" s="336">
        <v>96</v>
      </c>
      <c r="J189" s="327">
        <f>IF(I189&gt;H189, 1, 0)</f>
        <v>0</v>
      </c>
      <c r="K189" s="177">
        <f>+D189+H189</f>
        <v>232</v>
      </c>
      <c r="L189" s="336">
        <f>E189+I189</f>
        <v>205</v>
      </c>
      <c r="M189" s="327">
        <f>IF(L189&gt;K189, 1, 0)</f>
        <v>0</v>
      </c>
      <c r="N189" s="337">
        <f>(+H189-D189)</f>
        <v>-4</v>
      </c>
      <c r="O189" s="355">
        <f>I189-E189</f>
        <v>-13</v>
      </c>
      <c r="P189" s="405">
        <f>IF(OR(AND(N189&gt;0,O189&gt;0),AND(N189&lt;0,O189&lt;0)),1,0)</f>
        <v>1</v>
      </c>
      <c r="Q189" s="289">
        <f>WEEKNUM(tblResultadosNBA[[#This Row],[Fecha]],2)</f>
        <v>46</v>
      </c>
      <c r="R189" t="str">
        <f>TEXT(tblResultadosNBA[[#This Row],[Fecha]],"mmm")</f>
        <v>nov</v>
      </c>
    </row>
    <row r="190" spans="1:18">
      <c r="A190" s="419">
        <v>45976</v>
      </c>
      <c r="B190" s="302" t="s">
        <v>540</v>
      </c>
      <c r="C190" s="177" t="str">
        <f>LEFT(B190,FIND("@",B190)-2)</f>
        <v>Toronto Raptors</v>
      </c>
      <c r="D190" s="177">
        <v>113</v>
      </c>
      <c r="E190" s="336">
        <v>129</v>
      </c>
      <c r="F190" s="327">
        <f>IF(E190&gt;D190, 1, 0)</f>
        <v>1</v>
      </c>
      <c r="G190" s="177" t="str">
        <f>MID(B190,FIND("@",B190)+2,LEN(B190)-FIND("@",B190)-1)</f>
        <v>Indiana Pacers</v>
      </c>
      <c r="H190" s="177">
        <v>113</v>
      </c>
      <c r="I190" s="336">
        <v>111</v>
      </c>
      <c r="J190" s="327">
        <f>IF(I190&gt;H190, 1, 0)</f>
        <v>0</v>
      </c>
      <c r="K190" s="177">
        <f>+D190+H190</f>
        <v>226</v>
      </c>
      <c r="L190" s="336">
        <f>E190+I190</f>
        <v>240</v>
      </c>
      <c r="M190" s="327">
        <f>IF(L190&gt;K190, 1, 0)</f>
        <v>1</v>
      </c>
      <c r="N190" s="337">
        <f>(+H190-D190)</f>
        <v>0</v>
      </c>
      <c r="O190" s="355">
        <f>I190-E190</f>
        <v>-18</v>
      </c>
      <c r="P190" s="405">
        <f>IF(OR(AND(N190&gt;0,O190&gt;0),AND(N190&lt;0,O190&lt;0)),1,0)</f>
        <v>0</v>
      </c>
      <c r="Q190" s="289">
        <f>WEEKNUM(tblResultadosNBA[[#This Row],[Fecha]],2)</f>
        <v>46</v>
      </c>
      <c r="R190" t="str">
        <f>TEXT(tblResultadosNBA[[#This Row],[Fecha]],"mmm")</f>
        <v>nov</v>
      </c>
    </row>
    <row r="191" spans="1:18">
      <c r="A191" s="419">
        <v>45976</v>
      </c>
      <c r="B191" s="302" t="s">
        <v>63</v>
      </c>
      <c r="C191" s="177" t="str">
        <f>LEFT(B191,FIND("@",B191)-2)</f>
        <v>Los Angeles Lakers</v>
      </c>
      <c r="D191" s="177">
        <v>114</v>
      </c>
      <c r="E191" s="336">
        <v>119</v>
      </c>
      <c r="F191" s="327">
        <f>IF(E191&gt;D191, 1, 0)</f>
        <v>1</v>
      </c>
      <c r="G191" s="177" t="str">
        <f>MID(B191,FIND("@",B191)+2,LEN(B191)-FIND("@",B191)-1)</f>
        <v>Milwaukee Bucks</v>
      </c>
      <c r="H191" s="177">
        <v>124</v>
      </c>
      <c r="I191" s="336">
        <v>95</v>
      </c>
      <c r="J191" s="327">
        <f>IF(I191&gt;H191, 1, 0)</f>
        <v>0</v>
      </c>
      <c r="K191" s="177">
        <f>+D191+H191</f>
        <v>238</v>
      </c>
      <c r="L191" s="336">
        <f>E191+I191</f>
        <v>214</v>
      </c>
      <c r="M191" s="327">
        <f>IF(L191&gt;K191, 1, 0)</f>
        <v>0</v>
      </c>
      <c r="N191" s="337">
        <f>(+H191-D191)</f>
        <v>10</v>
      </c>
      <c r="O191" s="355">
        <f>I191-E191</f>
        <v>-24</v>
      </c>
      <c r="P191" s="405">
        <f>IF(OR(AND(N191&gt;0,O191&gt;0),AND(N191&lt;0,O191&lt;0)),1,0)</f>
        <v>0</v>
      </c>
      <c r="Q191" s="289">
        <f>WEEKNUM(tblResultadosNBA[[#This Row],[Fecha]],2)</f>
        <v>46</v>
      </c>
      <c r="R191" t="str">
        <f>TEXT(tblResultadosNBA[[#This Row],[Fecha]],"mmm")</f>
        <v>nov</v>
      </c>
    </row>
    <row r="192" spans="1:18">
      <c r="A192" s="445">
        <v>45976</v>
      </c>
      <c r="B192" s="331" t="s">
        <v>454</v>
      </c>
      <c r="C192" s="286" t="str">
        <f>LEFT(B192,FIND("@",B192)-2)</f>
        <v>Denver Nuggets</v>
      </c>
      <c r="D192" s="286">
        <v>120</v>
      </c>
      <c r="E192" s="431">
        <v>123</v>
      </c>
      <c r="F192" s="332">
        <f>IF(E192&gt;D192, 1, 0)</f>
        <v>1</v>
      </c>
      <c r="G192" s="286" t="str">
        <f>MID(B192,FIND("@",B192)+2,LEN(B192)-FIND("@",B192)-1)</f>
        <v>Minnesota Timberwolves</v>
      </c>
      <c r="H192" s="286">
        <v>109</v>
      </c>
      <c r="I192" s="431">
        <v>112</v>
      </c>
      <c r="J192" s="332">
        <f>IF(I192&gt;H192, 1, 0)</f>
        <v>1</v>
      </c>
      <c r="K192" s="286">
        <f>+D192+H192</f>
        <v>229</v>
      </c>
      <c r="L192" s="431">
        <f>E192+I192</f>
        <v>235</v>
      </c>
      <c r="M192" s="332">
        <f>IF(L192&gt;K192, 1, 0)</f>
        <v>1</v>
      </c>
      <c r="N192" s="432">
        <f>(+H192-D192)</f>
        <v>-11</v>
      </c>
      <c r="O192" s="447">
        <f>I192-E192</f>
        <v>-11</v>
      </c>
      <c r="P192" s="406">
        <f>IF(OR(AND(N192&gt;0,O192&gt;0),AND(N192&lt;0,O192&lt;0)),1,0)</f>
        <v>1</v>
      </c>
      <c r="Q192" s="433">
        <f>WEEKNUM(tblResultadosNBA[[#This Row],[Fecha]],2)</f>
        <v>46</v>
      </c>
      <c r="R192" s="433" t="str">
        <f>TEXT(tblResultadosNBA[[#This Row],[Fecha]],"mmm")</f>
        <v>nov</v>
      </c>
    </row>
    <row r="193" spans="1:18">
      <c r="A193" s="439">
        <v>45977</v>
      </c>
      <c r="B193" s="422" t="s">
        <v>65</v>
      </c>
      <c r="C193" s="341" t="str">
        <f>LEFT(B193,FIND("@",B193)-2)</f>
        <v>LA Clippers</v>
      </c>
      <c r="D193" s="341">
        <v>118</v>
      </c>
      <c r="E193" s="342">
        <v>118</v>
      </c>
      <c r="F193" s="333">
        <f>IF(E193&gt;D193, 1, 0)</f>
        <v>0</v>
      </c>
      <c r="G193" s="341" t="str">
        <f>MID(B193,FIND("@",B193)+2,LEN(B193)-FIND("@",B193)-1)</f>
        <v>Boston Celtics</v>
      </c>
      <c r="H193" s="341">
        <v>113</v>
      </c>
      <c r="I193" s="342">
        <v>121</v>
      </c>
      <c r="J193" s="333">
        <f>IF(I193&gt;H193, 1, 0)</f>
        <v>1</v>
      </c>
      <c r="K193" s="341">
        <f>+D193+H193</f>
        <v>231</v>
      </c>
      <c r="L193" s="342">
        <f>E193+I193</f>
        <v>239</v>
      </c>
      <c r="M193" s="333">
        <f>IF(L193&gt;K193, 1, 0)</f>
        <v>1</v>
      </c>
      <c r="N193" s="343">
        <f>(+H193-D193)</f>
        <v>-5</v>
      </c>
      <c r="O193" s="448">
        <f>I193-E193</f>
        <v>3</v>
      </c>
      <c r="P193" s="407">
        <f>IF(OR(AND(N193&gt;0,O193&gt;0),AND(N193&lt;0,O193&lt;0)),1,0)</f>
        <v>0</v>
      </c>
      <c r="Q193" s="289">
        <f>WEEKNUM(tblResultadosNBA[[#This Row],[Fecha]],2)</f>
        <v>46</v>
      </c>
      <c r="R193" t="str">
        <f>TEXT(tblResultadosNBA[[#This Row],[Fecha]],"mmm")</f>
        <v>nov</v>
      </c>
    </row>
    <row r="194" spans="1:18">
      <c r="A194" s="419">
        <v>45977</v>
      </c>
      <c r="B194" s="302" t="s">
        <v>541</v>
      </c>
      <c r="C194" s="177" t="str">
        <f>LEFT(B194,FIND("@",B194)-2)</f>
        <v>Sacramento Kings</v>
      </c>
      <c r="D194" s="177">
        <v>111</v>
      </c>
      <c r="E194" s="336">
        <v>110</v>
      </c>
      <c r="F194" s="327">
        <f>IF(E194&gt;D194, 1, 0)</f>
        <v>0</v>
      </c>
      <c r="G194" s="177" t="str">
        <f>MID(B194,FIND("@",B194)+2,LEN(B194)-FIND("@",B194)-1)</f>
        <v>San Antonio Spurs</v>
      </c>
      <c r="H194" s="177">
        <v>120</v>
      </c>
      <c r="I194" s="336">
        <v>123</v>
      </c>
      <c r="J194" s="327">
        <f>IF(I194&gt;H194, 1, 0)</f>
        <v>1</v>
      </c>
      <c r="K194" s="177">
        <f>+D194+H194</f>
        <v>231</v>
      </c>
      <c r="L194" s="336">
        <f>E194+I194</f>
        <v>233</v>
      </c>
      <c r="M194" s="327">
        <f>IF(L194&gt;K194, 1, 0)</f>
        <v>1</v>
      </c>
      <c r="N194" s="337">
        <f>(+H194-D194)</f>
        <v>9</v>
      </c>
      <c r="O194" s="355">
        <f>I194-E194</f>
        <v>13</v>
      </c>
      <c r="P194" s="405">
        <f>IF(OR(AND(N194&gt;0,O194&gt;0),AND(N194&lt;0,O194&lt;0)),1,0)</f>
        <v>1</v>
      </c>
      <c r="Q194" s="289">
        <f>WEEKNUM(tblResultadosNBA[[#This Row],[Fecha]],2)</f>
        <v>46</v>
      </c>
      <c r="R194" t="str">
        <f>TEXT(tblResultadosNBA[[#This Row],[Fecha]],"mmm")</f>
        <v>nov</v>
      </c>
    </row>
    <row r="195" spans="1:18">
      <c r="A195" s="419">
        <v>45977</v>
      </c>
      <c r="B195" s="302" t="s">
        <v>259</v>
      </c>
      <c r="C195" s="177" t="str">
        <f>LEFT(B195,FIND("@",B195)-2)</f>
        <v>Brooklyn Nets</v>
      </c>
      <c r="D195" s="177">
        <v>98</v>
      </c>
      <c r="E195" s="336">
        <v>129</v>
      </c>
      <c r="F195" s="327">
        <f>IF(E195&gt;D195, 1, 0)</f>
        <v>1</v>
      </c>
      <c r="G195" s="177" t="str">
        <f>MID(B195,FIND("@",B195)+2,LEN(B195)-FIND("@",B195)-1)</f>
        <v>Washington Wizards</v>
      </c>
      <c r="H195" s="177">
        <v>123</v>
      </c>
      <c r="I195" s="336">
        <v>106</v>
      </c>
      <c r="J195" s="327">
        <f>IF(I195&gt;H195, 1, 0)</f>
        <v>0</v>
      </c>
      <c r="K195" s="177">
        <f>+D195+H195</f>
        <v>221</v>
      </c>
      <c r="L195" s="336">
        <f>E195+I195</f>
        <v>235</v>
      </c>
      <c r="M195" s="327">
        <f>IF(L195&gt;K195, 1, 0)</f>
        <v>1</v>
      </c>
      <c r="N195" s="337">
        <f>(+H195-D195)</f>
        <v>25</v>
      </c>
      <c r="O195" s="355">
        <f>I195-E195</f>
        <v>-23</v>
      </c>
      <c r="P195" s="405">
        <f>IF(OR(AND(N195&gt;0,O195&gt;0),AND(N195&lt;0,O195&lt;0)),1,0)</f>
        <v>0</v>
      </c>
      <c r="Q195" s="289">
        <f>WEEKNUM(tblResultadosNBA[[#This Row],[Fecha]],2)</f>
        <v>46</v>
      </c>
      <c r="R195" t="str">
        <f>TEXT(tblResultadosNBA[[#This Row],[Fecha]],"mmm")</f>
        <v>nov</v>
      </c>
    </row>
    <row r="196" spans="1:18">
      <c r="A196" s="419">
        <v>45977</v>
      </c>
      <c r="B196" s="302" t="s">
        <v>66</v>
      </c>
      <c r="C196" s="177" t="str">
        <f>LEFT(B196,FIND("@",B196)-2)</f>
        <v>Orlando Magic</v>
      </c>
      <c r="D196" s="177">
        <v>111</v>
      </c>
      <c r="E196" s="336">
        <v>113</v>
      </c>
      <c r="F196" s="327">
        <f>IF(E196&gt;D196, 1, 0)</f>
        <v>1</v>
      </c>
      <c r="G196" s="177" t="str">
        <f>MID(B196,FIND("@",B196)+2,LEN(B196)-FIND("@",B196)-1)</f>
        <v>Houston Rockets</v>
      </c>
      <c r="H196" s="177">
        <v>119</v>
      </c>
      <c r="I196" s="336">
        <v>117</v>
      </c>
      <c r="J196" s="327">
        <f>IF(I196&gt;H196, 1, 0)</f>
        <v>0</v>
      </c>
      <c r="K196" s="177">
        <f>+D196+H196</f>
        <v>230</v>
      </c>
      <c r="L196" s="336">
        <f>E196+I196</f>
        <v>230</v>
      </c>
      <c r="M196" s="327">
        <f>IF(L196&gt;K196, 1, 0)</f>
        <v>0</v>
      </c>
      <c r="N196" s="337">
        <f>(+H196-D196)</f>
        <v>8</v>
      </c>
      <c r="O196" s="355">
        <f>I196-E196</f>
        <v>4</v>
      </c>
      <c r="P196" s="405">
        <f>IF(OR(AND(N196&gt;0,O196&gt;0),AND(N196&lt;0,O196&lt;0)),1,0)</f>
        <v>1</v>
      </c>
      <c r="Q196" s="289">
        <f>WEEKNUM(tblResultadosNBA[[#This Row],[Fecha]],2)</f>
        <v>46</v>
      </c>
      <c r="R196" t="str">
        <f>TEXT(tblResultadosNBA[[#This Row],[Fecha]],"mmm")</f>
        <v>nov</v>
      </c>
    </row>
    <row r="197" spans="1:18">
      <c r="A197" s="419">
        <v>45977</v>
      </c>
      <c r="B197" s="302" t="s">
        <v>67</v>
      </c>
      <c r="C197" s="177" t="str">
        <f>LEFT(B197,FIND("@",B197)-2)</f>
        <v>Golden State Warriors</v>
      </c>
      <c r="D197" s="177">
        <v>117</v>
      </c>
      <c r="E197" s="336">
        <v>124</v>
      </c>
      <c r="F197" s="327">
        <f>IF(E197&gt;D197, 1, 0)</f>
        <v>1</v>
      </c>
      <c r="G197" s="177" t="str">
        <f>MID(B197,FIND("@",B197)+2,LEN(B197)-FIND("@",B197)-1)</f>
        <v>New Orleans Pelicans</v>
      </c>
      <c r="H197" s="177">
        <v>108</v>
      </c>
      <c r="I197" s="336">
        <v>106</v>
      </c>
      <c r="J197" s="327">
        <f>IF(I197&gt;H197, 1, 0)</f>
        <v>0</v>
      </c>
      <c r="K197" s="177">
        <f>+D197+H197</f>
        <v>225</v>
      </c>
      <c r="L197" s="336">
        <f>E197+I197</f>
        <v>230</v>
      </c>
      <c r="M197" s="327">
        <f>IF(L197&gt;K197, 1, 0)</f>
        <v>1</v>
      </c>
      <c r="N197" s="337">
        <f>(+H197-D197)</f>
        <v>-9</v>
      </c>
      <c r="O197" s="355">
        <f>I197-E197</f>
        <v>-18</v>
      </c>
      <c r="P197" s="405">
        <f>IF(OR(AND(N197&gt;0,O197&gt;0),AND(N197&lt;0,O197&lt;0)),1,0)</f>
        <v>1</v>
      </c>
      <c r="Q197" s="289">
        <f>WEEKNUM(tblResultadosNBA[[#This Row],[Fecha]],2)</f>
        <v>46</v>
      </c>
      <c r="R197" t="str">
        <f>TEXT(tblResultadosNBA[[#This Row],[Fecha]],"mmm")</f>
        <v>nov</v>
      </c>
    </row>
    <row r="198" spans="1:18">
      <c r="A198" s="419">
        <v>45977</v>
      </c>
      <c r="B198" s="302" t="s">
        <v>68</v>
      </c>
      <c r="C198" s="177" t="str">
        <f>LEFT(B198,FIND("@",B198)-2)</f>
        <v>Portland Trail Blazers</v>
      </c>
      <c r="D198" s="177">
        <v>115</v>
      </c>
      <c r="E198" s="336">
        <v>133</v>
      </c>
      <c r="F198" s="327">
        <f>IF(E198&gt;D198, 1, 0)</f>
        <v>1</v>
      </c>
      <c r="G198" s="177" t="str">
        <f>MID(B198,FIND("@",B198)+2,LEN(B198)-FIND("@",B198)-1)</f>
        <v>Dallas Mavericks</v>
      </c>
      <c r="H198" s="177">
        <v>117</v>
      </c>
      <c r="I198" s="336">
        <v>138</v>
      </c>
      <c r="J198" s="327">
        <f>IF(I198&gt;H198, 1, 0)</f>
        <v>1</v>
      </c>
      <c r="K198" s="177">
        <f>+D198+H198</f>
        <v>232</v>
      </c>
      <c r="L198" s="336">
        <f>E198+I198</f>
        <v>271</v>
      </c>
      <c r="M198" s="327">
        <f>IF(L198&gt;K198, 1, 0)</f>
        <v>1</v>
      </c>
      <c r="N198" s="337">
        <f>(+H198-D198)</f>
        <v>2</v>
      </c>
      <c r="O198" s="355">
        <f>I198-E198</f>
        <v>5</v>
      </c>
      <c r="P198" s="405">
        <f>IF(OR(AND(N198&gt;0,O198&gt;0),AND(N198&lt;0,O198&lt;0)),1,0)</f>
        <v>1</v>
      </c>
      <c r="Q198" s="289">
        <f>WEEKNUM(tblResultadosNBA[[#This Row],[Fecha]],2)</f>
        <v>46</v>
      </c>
      <c r="R198" t="str">
        <f>TEXT(tblResultadosNBA[[#This Row],[Fecha]],"mmm")</f>
        <v>nov</v>
      </c>
    </row>
    <row r="199" spans="1:18">
      <c r="A199" s="419">
        <v>45977</v>
      </c>
      <c r="B199" s="302" t="s">
        <v>69</v>
      </c>
      <c r="C199" s="177" t="str">
        <f>LEFT(B199,FIND("@",B199)-2)</f>
        <v>Atlanta Hawks</v>
      </c>
      <c r="D199" s="177">
        <v>120</v>
      </c>
      <c r="E199" s="336">
        <v>124</v>
      </c>
      <c r="F199" s="327">
        <f>IF(E199&gt;D199, 1, 0)</f>
        <v>1</v>
      </c>
      <c r="G199" s="177" t="str">
        <f>MID(B199,FIND("@",B199)+2,LEN(B199)-FIND("@",B199)-1)</f>
        <v>Phoenix Suns</v>
      </c>
      <c r="H199" s="177">
        <v>115</v>
      </c>
      <c r="I199" s="336">
        <v>122</v>
      </c>
      <c r="J199" s="327">
        <f>IF(I199&gt;H199, 1, 0)</f>
        <v>1</v>
      </c>
      <c r="K199" s="177">
        <f>+D199+H199</f>
        <v>235</v>
      </c>
      <c r="L199" s="336">
        <f>E199+I199</f>
        <v>246</v>
      </c>
      <c r="M199" s="327">
        <f>IF(L199&gt;K199, 1, 0)</f>
        <v>1</v>
      </c>
      <c r="N199" s="337">
        <f>(+H199-D199)</f>
        <v>-5</v>
      </c>
      <c r="O199" s="355">
        <f>I199-E199</f>
        <v>-2</v>
      </c>
      <c r="P199" s="405">
        <f>IF(OR(AND(N199&gt;0,O199&gt;0),AND(N199&lt;0,O199&lt;0)),1,0)</f>
        <v>1</v>
      </c>
      <c r="Q199" s="289">
        <f>WEEKNUM(tblResultadosNBA[[#This Row],[Fecha]],2)</f>
        <v>46</v>
      </c>
      <c r="R199" t="str">
        <f>TEXT(tblResultadosNBA[[#This Row],[Fecha]],"mmm")</f>
        <v>nov</v>
      </c>
    </row>
    <row r="200" spans="1:18">
      <c r="A200" s="445">
        <v>45977</v>
      </c>
      <c r="B200" s="331" t="s">
        <v>542</v>
      </c>
      <c r="C200" s="286" t="str">
        <f>LEFT(B200,FIND("@",B200)-2)</f>
        <v>Chicago Bulls</v>
      </c>
      <c r="D200" s="286">
        <v>107</v>
      </c>
      <c r="E200" s="431">
        <v>147</v>
      </c>
      <c r="F200" s="332">
        <f>IF(E200&gt;D200, 1, 0)</f>
        <v>1</v>
      </c>
      <c r="G200" s="286" t="str">
        <f>MID(B200,FIND("@",B200)+2,LEN(B200)-FIND("@",B200)-1)</f>
        <v>Utah Jazz</v>
      </c>
      <c r="H200" s="286">
        <v>114</v>
      </c>
      <c r="I200" s="431">
        <v>150</v>
      </c>
      <c r="J200" s="332">
        <f>IF(I200&gt;H200, 1, 0)</f>
        <v>1</v>
      </c>
      <c r="K200" s="286">
        <f>+D200+H200</f>
        <v>221</v>
      </c>
      <c r="L200" s="431">
        <f>E200+I200</f>
        <v>297</v>
      </c>
      <c r="M200" s="332">
        <f>IF(L200&gt;K200, 1, 0)</f>
        <v>1</v>
      </c>
      <c r="N200" s="432">
        <f>(+H200-D200)</f>
        <v>7</v>
      </c>
      <c r="O200" s="447">
        <f>I200-E200</f>
        <v>3</v>
      </c>
      <c r="P200" s="406">
        <f>IF(OR(AND(N200&gt;0,O200&gt;0),AND(N200&lt;0,O200&lt;0)),1,0)</f>
        <v>1</v>
      </c>
      <c r="Q200" s="433">
        <f>WEEKNUM(tblResultadosNBA[[#This Row],[Fecha]],2)</f>
        <v>46</v>
      </c>
      <c r="R200" s="433" t="str">
        <f>TEXT(tblResultadosNBA[[#This Row],[Fecha]],"mmm")</f>
        <v>nov</v>
      </c>
    </row>
    <row r="201" spans="1:18">
      <c r="A201" s="439">
        <v>45978</v>
      </c>
      <c r="B201" s="422" t="s">
        <v>70</v>
      </c>
      <c r="C201" s="341" t="str">
        <f>LEFT(B201,FIND("@",B201)-2)</f>
        <v>Milwaukee Bucks</v>
      </c>
      <c r="D201" s="341">
        <v>127</v>
      </c>
      <c r="E201" s="342">
        <v>106</v>
      </c>
      <c r="F201" s="333">
        <f>IF(E201&gt;D201, 1, 0)</f>
        <v>0</v>
      </c>
      <c r="G201" s="341" t="str">
        <f>MID(B201,FIND("@",B201)+2,LEN(B201)-FIND("@",B201)-1)</f>
        <v>Cleveland Cavaliers</v>
      </c>
      <c r="H201" s="341">
        <v>120</v>
      </c>
      <c r="I201" s="342">
        <v>118</v>
      </c>
      <c r="J201" s="333">
        <f>IF(I201&gt;H201, 1, 0)</f>
        <v>0</v>
      </c>
      <c r="K201" s="341">
        <f>+D201+H201</f>
        <v>247</v>
      </c>
      <c r="L201" s="342">
        <f>E201+I201</f>
        <v>224</v>
      </c>
      <c r="M201" s="333">
        <f>IF(L201&gt;K201, 1, 0)</f>
        <v>0</v>
      </c>
      <c r="N201" s="343">
        <f>(+H201-D201)</f>
        <v>-7</v>
      </c>
      <c r="O201" s="448">
        <f>I201-E201</f>
        <v>12</v>
      </c>
      <c r="P201" s="407">
        <f>IF(OR(AND(N201&gt;0,O201&gt;0),AND(N201&lt;0,O201&lt;0)),1,0)</f>
        <v>0</v>
      </c>
      <c r="Q201" s="289">
        <f>WEEKNUM(tblResultadosNBA[[#This Row],[Fecha]],2)</f>
        <v>47</v>
      </c>
      <c r="R201" t="str">
        <f>TEXT(tblResultadosNBA[[#This Row],[Fecha]],"mmm")</f>
        <v>nov</v>
      </c>
    </row>
    <row r="202" spans="1:18">
      <c r="A202" s="419">
        <v>45978</v>
      </c>
      <c r="B202" s="302" t="s">
        <v>71</v>
      </c>
      <c r="C202" s="177" t="str">
        <f>LEFT(B202,FIND("@",B202)-2)</f>
        <v>Indiana Pacers</v>
      </c>
      <c r="D202" s="177">
        <v>113</v>
      </c>
      <c r="E202" s="336">
        <v>112</v>
      </c>
      <c r="F202" s="327">
        <f>IF(E202&gt;D202, 1, 0)</f>
        <v>0</v>
      </c>
      <c r="G202" s="177" t="str">
        <f>MID(B202,FIND("@",B202)+2,LEN(B202)-FIND("@",B202)-1)</f>
        <v>Detroit Pistons</v>
      </c>
      <c r="H202" s="177">
        <v>117</v>
      </c>
      <c r="I202" s="336">
        <v>127</v>
      </c>
      <c r="J202" s="327">
        <f>IF(I202&gt;H202, 1, 0)</f>
        <v>1</v>
      </c>
      <c r="K202" s="177">
        <f>+D202+H202</f>
        <v>230</v>
      </c>
      <c r="L202" s="336">
        <f>E202+I202</f>
        <v>239</v>
      </c>
      <c r="M202" s="327">
        <f>IF(L202&gt;K202, 1, 0)</f>
        <v>1</v>
      </c>
      <c r="N202" s="337">
        <f>(+H202-D202)</f>
        <v>4</v>
      </c>
      <c r="O202" s="355">
        <f>I202-E202</f>
        <v>15</v>
      </c>
      <c r="P202" s="405">
        <f>IF(OR(AND(N202&gt;0,O202&gt;0),AND(N202&lt;0,O202&lt;0)),1,0)</f>
        <v>1</v>
      </c>
      <c r="Q202" s="289">
        <f>WEEKNUM(tblResultadosNBA[[#This Row],[Fecha]],2)</f>
        <v>47</v>
      </c>
      <c r="R202" t="str">
        <f>TEXT(tblResultadosNBA[[#This Row],[Fecha]],"mmm")</f>
        <v>nov</v>
      </c>
    </row>
    <row r="203" spans="1:18">
      <c r="A203" s="419">
        <v>45978</v>
      </c>
      <c r="B203" s="302" t="s">
        <v>72</v>
      </c>
      <c r="C203" s="177" t="str">
        <f>LEFT(B203,FIND("@",B203)-2)</f>
        <v>LA Clippers</v>
      </c>
      <c r="D203" s="177">
        <v>108</v>
      </c>
      <c r="E203" s="336">
        <v>108</v>
      </c>
      <c r="F203" s="327">
        <f>IF(E203&gt;D203, 1, 0)</f>
        <v>0</v>
      </c>
      <c r="G203" s="177" t="str">
        <f>MID(B203,FIND("@",B203)+2,LEN(B203)-FIND("@",B203)-1)</f>
        <v>Philadelphia 76ers</v>
      </c>
      <c r="H203" s="177">
        <v>110</v>
      </c>
      <c r="I203" s="336">
        <v>110</v>
      </c>
      <c r="J203" s="327">
        <f>IF(I203&gt;H203, 1, 0)</f>
        <v>0</v>
      </c>
      <c r="K203" s="177">
        <f>+D203+H203</f>
        <v>218</v>
      </c>
      <c r="L203" s="336">
        <f>E203+I203</f>
        <v>218</v>
      </c>
      <c r="M203" s="327">
        <f>IF(L203&gt;K203, 1, 0)</f>
        <v>0</v>
      </c>
      <c r="N203" s="337">
        <f>(+H203-D203)</f>
        <v>2</v>
      </c>
      <c r="O203" s="355">
        <f>I203-E203</f>
        <v>2</v>
      </c>
      <c r="P203" s="405">
        <f>IF(OR(AND(N203&gt;0,O203&gt;0),AND(N203&lt;0,O203&lt;0)),1,0)</f>
        <v>1</v>
      </c>
      <c r="Q203" s="289">
        <f>WEEKNUM(tblResultadosNBA[[#This Row],[Fecha]],2)</f>
        <v>47</v>
      </c>
      <c r="R203" t="str">
        <f>TEXT(tblResultadosNBA[[#This Row],[Fecha]],"mmm")</f>
        <v>nov</v>
      </c>
    </row>
    <row r="204" spans="1:18">
      <c r="A204" s="419">
        <v>45978</v>
      </c>
      <c r="B204" s="302" t="s">
        <v>441</v>
      </c>
      <c r="C204" s="177" t="str">
        <f>LEFT(B204,FIND("@",B204)-2)</f>
        <v>New York Knicks</v>
      </c>
      <c r="D204" s="177">
        <v>111</v>
      </c>
      <c r="E204" s="336">
        <v>113</v>
      </c>
      <c r="F204" s="327">
        <f>IF(E204&gt;D204, 1, 0)</f>
        <v>1</v>
      </c>
      <c r="G204" s="177" t="str">
        <f>MID(B204,FIND("@",B204)+2,LEN(B204)-FIND("@",B204)-1)</f>
        <v>Miami Heat</v>
      </c>
      <c r="H204" s="177">
        <v>118</v>
      </c>
      <c r="I204" s="336">
        <v>115</v>
      </c>
      <c r="J204" s="327">
        <f>IF(I204&gt;H204, 1, 0)</f>
        <v>0</v>
      </c>
      <c r="K204" s="177">
        <f>+D204+H204</f>
        <v>229</v>
      </c>
      <c r="L204" s="336">
        <f>E204+I204</f>
        <v>228</v>
      </c>
      <c r="M204" s="327">
        <f>IF(L204&gt;K204, 1, 0)</f>
        <v>0</v>
      </c>
      <c r="N204" s="337">
        <f>(+H204-D204)</f>
        <v>7</v>
      </c>
      <c r="O204" s="355">
        <f>I204-E204</f>
        <v>2</v>
      </c>
      <c r="P204" s="405">
        <f>IF(OR(AND(N204&gt;0,O204&gt;0),AND(N204&lt;0,O204&lt;0)),1,0)</f>
        <v>1</v>
      </c>
      <c r="Q204" s="289">
        <f>WEEKNUM(tblResultadosNBA[[#This Row],[Fecha]],2)</f>
        <v>47</v>
      </c>
      <c r="R204" t="str">
        <f>TEXT(tblResultadosNBA[[#This Row],[Fecha]],"mmm")</f>
        <v>nov</v>
      </c>
    </row>
    <row r="205" spans="1:18">
      <c r="A205" s="419">
        <v>45978</v>
      </c>
      <c r="B205" s="302" t="s">
        <v>152</v>
      </c>
      <c r="C205" s="177" t="str">
        <f>LEFT(B205,FIND("@",B205)-2)</f>
        <v>Charlotte Hornets</v>
      </c>
      <c r="D205" s="177">
        <v>103</v>
      </c>
      <c r="E205" s="336">
        <v>108</v>
      </c>
      <c r="F205" s="327">
        <f>IF(E205&gt;D205, 1, 0)</f>
        <v>1</v>
      </c>
      <c r="G205" s="177" t="str">
        <f>MID(B205,FIND("@",B205)+2,LEN(B205)-FIND("@",B205)-1)</f>
        <v>Toronto Raptors</v>
      </c>
      <c r="H205" s="177">
        <v>113</v>
      </c>
      <c r="I205" s="336">
        <v>110</v>
      </c>
      <c r="J205" s="327">
        <f>IF(I205&gt;H205, 1, 0)</f>
        <v>0</v>
      </c>
      <c r="K205" s="177">
        <f>+D205+H205</f>
        <v>216</v>
      </c>
      <c r="L205" s="336">
        <f>E205+I205</f>
        <v>218</v>
      </c>
      <c r="M205" s="327">
        <f>IF(L205&gt;K205, 1, 0)</f>
        <v>1</v>
      </c>
      <c r="N205" s="337">
        <f>(+H205-D205)</f>
        <v>10</v>
      </c>
      <c r="O205" s="355">
        <f>I205-E205</f>
        <v>2</v>
      </c>
      <c r="P205" s="405">
        <f>IF(OR(AND(N205&gt;0,O205&gt;0),AND(N205&lt;0,O205&lt;0)),1,0)</f>
        <v>1</v>
      </c>
      <c r="Q205">
        <f>WEEKNUM(tblResultadosNBA[[#This Row],[Fecha]],2)</f>
        <v>47</v>
      </c>
      <c r="R205" t="str">
        <f>TEXT(tblResultadosNBA[[#This Row],[Fecha]],"mmm")</f>
        <v>nov</v>
      </c>
    </row>
    <row r="206" spans="1:18">
      <c r="A206" s="419">
        <v>45978</v>
      </c>
      <c r="B206" s="302" t="s">
        <v>73</v>
      </c>
      <c r="C206" s="177" t="str">
        <f>LEFT(B206,FIND("@",B206)-2)</f>
        <v>Dallas Mavericks</v>
      </c>
      <c r="D206" s="177">
        <v>110</v>
      </c>
      <c r="E206" s="336">
        <v>96</v>
      </c>
      <c r="F206" s="327">
        <f>IF(E206&gt;D206, 1, 0)</f>
        <v>0</v>
      </c>
      <c r="G206" s="177" t="str">
        <f>MID(B206,FIND("@",B206)+2,LEN(B206)-FIND("@",B206)-1)</f>
        <v>Minnesota Timberwolves</v>
      </c>
      <c r="H206" s="177">
        <v>116</v>
      </c>
      <c r="I206" s="336">
        <v>120</v>
      </c>
      <c r="J206" s="327">
        <f>IF(I206&gt;H206, 1, 0)</f>
        <v>1</v>
      </c>
      <c r="K206" s="177">
        <f>+D206+H206</f>
        <v>226</v>
      </c>
      <c r="L206" s="336">
        <f>E206+I206</f>
        <v>216</v>
      </c>
      <c r="M206" s="327">
        <f>IF(L206&gt;K206, 1, 0)</f>
        <v>0</v>
      </c>
      <c r="N206" s="337">
        <f>(+H206-D206)</f>
        <v>6</v>
      </c>
      <c r="O206" s="355">
        <f>I206-E206</f>
        <v>24</v>
      </c>
      <c r="P206" s="405">
        <f>IF(OR(AND(N206&gt;0,O206&gt;0),AND(N206&lt;0,O206&lt;0)),1,0)</f>
        <v>1</v>
      </c>
      <c r="Q206" s="289">
        <f>WEEKNUM(tblResultadosNBA[[#This Row],[Fecha]],2)</f>
        <v>47</v>
      </c>
      <c r="R206" t="str">
        <f>TEXT(tblResultadosNBA[[#This Row],[Fecha]],"mmm")</f>
        <v>nov</v>
      </c>
    </row>
    <row r="207" spans="1:18">
      <c r="A207" s="419">
        <v>45978</v>
      </c>
      <c r="B207" s="302" t="s">
        <v>74</v>
      </c>
      <c r="C207" s="177" t="str">
        <f>LEFT(B207,FIND("@",B207)-2)</f>
        <v>Oklahoma City Thunder</v>
      </c>
      <c r="D207" s="177">
        <v>112</v>
      </c>
      <c r="E207" s="336">
        <v>126</v>
      </c>
      <c r="F207" s="327">
        <f>IF(E207&gt;D207, 1, 0)</f>
        <v>1</v>
      </c>
      <c r="G207" s="177" t="str">
        <f>MID(B207,FIND("@",B207)+2,LEN(B207)-FIND("@",B207)-1)</f>
        <v>New Orleans Pelicans</v>
      </c>
      <c r="H207" s="177">
        <v>117</v>
      </c>
      <c r="I207" s="336">
        <v>109</v>
      </c>
      <c r="J207" s="327">
        <f>IF(I207&gt;H207, 1, 0)</f>
        <v>0</v>
      </c>
      <c r="K207" s="177">
        <f>+D207+H207</f>
        <v>229</v>
      </c>
      <c r="L207" s="336">
        <f>E207+I207</f>
        <v>235</v>
      </c>
      <c r="M207" s="327">
        <f>IF(L207&gt;K207, 1, 0)</f>
        <v>1</v>
      </c>
      <c r="N207" s="337">
        <f>(+H207-D207)</f>
        <v>5</v>
      </c>
      <c r="O207" s="355">
        <f>I207-E207</f>
        <v>-17</v>
      </c>
      <c r="P207" s="405">
        <f>IF(OR(AND(N207&gt;0,O207&gt;0),AND(N207&lt;0,O207&lt;0)),1,0)</f>
        <v>0</v>
      </c>
      <c r="Q207" s="289">
        <f>WEEKNUM(tblResultadosNBA[[#This Row],[Fecha]],2)</f>
        <v>47</v>
      </c>
      <c r="R207" t="str">
        <f>TEXT(tblResultadosNBA[[#This Row],[Fecha]],"mmm")</f>
        <v>nov</v>
      </c>
    </row>
    <row r="208" spans="1:18">
      <c r="A208" s="445">
        <v>45978</v>
      </c>
      <c r="B208" s="331" t="s">
        <v>543</v>
      </c>
      <c r="C208" s="286" t="str">
        <f>LEFT(B208,FIND("@",B208)-2)</f>
        <v>Chicago Bulls</v>
      </c>
      <c r="D208" s="286">
        <v>106</v>
      </c>
      <c r="E208" s="431">
        <v>130</v>
      </c>
      <c r="F208" s="332">
        <f>IF(E208&gt;D208, 1, 0)</f>
        <v>1</v>
      </c>
      <c r="G208" s="286" t="str">
        <f>MID(B208,FIND("@",B208)+2,LEN(B208)-FIND("@",B208)-1)</f>
        <v>Denver Nuggets</v>
      </c>
      <c r="H208" s="286">
        <v>121</v>
      </c>
      <c r="I208" s="431">
        <v>127</v>
      </c>
      <c r="J208" s="332">
        <f>IF(I208&gt;H208, 1, 0)</f>
        <v>1</v>
      </c>
      <c r="K208" s="286">
        <f>+D208+H208</f>
        <v>227</v>
      </c>
      <c r="L208" s="431">
        <f>E208+I208</f>
        <v>257</v>
      </c>
      <c r="M208" s="332">
        <f>IF(L208&gt;K208, 1, 0)</f>
        <v>1</v>
      </c>
      <c r="N208" s="432">
        <f>(+H208-D208)</f>
        <v>15</v>
      </c>
      <c r="O208" s="447">
        <f>I208-E208</f>
        <v>-3</v>
      </c>
      <c r="P208" s="406">
        <f>IF(OR(AND(N208&gt;0,O208&gt;0),AND(N208&lt;0,O208&lt;0)),1,0)</f>
        <v>0</v>
      </c>
      <c r="Q208" s="433">
        <f>WEEKNUM(tblResultadosNBA[[#This Row],[Fecha]],2)</f>
        <v>47</v>
      </c>
      <c r="R208" s="433" t="str">
        <f>TEXT(tblResultadosNBA[[#This Row],[Fecha]],"mmm")</f>
        <v>nov</v>
      </c>
    </row>
    <row r="209" spans="1:18">
      <c r="A209" s="439">
        <v>45979</v>
      </c>
      <c r="B209" s="422" t="s">
        <v>75</v>
      </c>
      <c r="C209" s="341" t="str">
        <f>LEFT(B209,FIND("@",B209)-2)</f>
        <v>Golden State Warriors</v>
      </c>
      <c r="D209" s="341">
        <v>119</v>
      </c>
      <c r="E209" s="342">
        <v>113</v>
      </c>
      <c r="F209" s="333">
        <f>IF(E209&gt;D209, 1, 0)</f>
        <v>0</v>
      </c>
      <c r="G209" s="341" t="str">
        <f>MID(B209,FIND("@",B209)+2,LEN(B209)-FIND("@",B209)-1)</f>
        <v>Orlando Magic</v>
      </c>
      <c r="H209" s="341">
        <v>110</v>
      </c>
      <c r="I209" s="342">
        <v>121</v>
      </c>
      <c r="J209" s="333">
        <f>IF(I209&gt;H209, 1, 0)</f>
        <v>1</v>
      </c>
      <c r="K209" s="341">
        <f>+D209+H209</f>
        <v>229</v>
      </c>
      <c r="L209" s="342">
        <f>E209+I209</f>
        <v>234</v>
      </c>
      <c r="M209" s="333">
        <f>IF(L209&gt;K209, 1, 0)</f>
        <v>1</v>
      </c>
      <c r="N209" s="343">
        <f>(+H209-D209)</f>
        <v>-9</v>
      </c>
      <c r="O209" s="448">
        <f>I209-E209</f>
        <v>8</v>
      </c>
      <c r="P209" s="407">
        <f>IF(OR(AND(N209&gt;0,O209&gt;0),AND(N209&lt;0,O209&lt;0)),1,0)</f>
        <v>0</v>
      </c>
      <c r="Q209" s="289">
        <f>WEEKNUM(tblResultadosNBA[[#This Row],[Fecha]],2)</f>
        <v>47</v>
      </c>
      <c r="R209" t="str">
        <f>TEXT(tblResultadosNBA[[#This Row],[Fecha]],"mmm")</f>
        <v>nov</v>
      </c>
    </row>
    <row r="210" spans="1:18">
      <c r="A210" s="419">
        <v>45979</v>
      </c>
      <c r="B210" s="302" t="s">
        <v>76</v>
      </c>
      <c r="C210" s="177" t="str">
        <f>LEFT(B210,FIND("@",B210)-2)</f>
        <v>Boston Celtics</v>
      </c>
      <c r="D210" s="177">
        <v>114</v>
      </c>
      <c r="E210" s="336">
        <v>113</v>
      </c>
      <c r="F210" s="327">
        <f>IF(E210&gt;D210, 1, 0)</f>
        <v>0</v>
      </c>
      <c r="G210" s="177" t="str">
        <f>MID(B210,FIND("@",B210)+2,LEN(B210)-FIND("@",B210)-1)</f>
        <v>Brooklyn Nets</v>
      </c>
      <c r="H210" s="177">
        <v>110</v>
      </c>
      <c r="I210" s="336">
        <v>99</v>
      </c>
      <c r="J210" s="327">
        <f>IF(I210&gt;H210, 1, 0)</f>
        <v>0</v>
      </c>
      <c r="K210" s="177">
        <f>+D210+H210</f>
        <v>224</v>
      </c>
      <c r="L210" s="336">
        <f>E210+I210</f>
        <v>212</v>
      </c>
      <c r="M210" s="327">
        <f>IF(L210&gt;K210, 1, 0)</f>
        <v>0</v>
      </c>
      <c r="N210" s="337">
        <f>(+H210-D210)</f>
        <v>-4</v>
      </c>
      <c r="O210" s="355">
        <f>I210-E210</f>
        <v>-14</v>
      </c>
      <c r="P210" s="405">
        <f>IF(OR(AND(N210&gt;0,O210&gt;0),AND(N210&lt;0,O210&lt;0)),1,0)</f>
        <v>1</v>
      </c>
      <c r="Q210" s="289">
        <f>WEEKNUM(tblResultadosNBA[[#This Row],[Fecha]],2)</f>
        <v>47</v>
      </c>
      <c r="R210" t="str">
        <f>TEXT(tblResultadosNBA[[#This Row],[Fecha]],"mmm")</f>
        <v>nov</v>
      </c>
    </row>
    <row r="211" spans="1:18">
      <c r="A211" s="419">
        <v>45979</v>
      </c>
      <c r="B211" s="302" t="s">
        <v>77</v>
      </c>
      <c r="C211" s="177" t="str">
        <f>LEFT(B211,FIND("@",B211)-2)</f>
        <v>Detroit Pistons</v>
      </c>
      <c r="D211" s="177">
        <v>112</v>
      </c>
      <c r="E211" s="336">
        <v>120</v>
      </c>
      <c r="F211" s="327">
        <f>IF(E211&gt;D211, 1, 0)</f>
        <v>1</v>
      </c>
      <c r="G211" s="177" t="str">
        <f>MID(B211,FIND("@",B211)+2,LEN(B211)-FIND("@",B211)-1)</f>
        <v>Atlanta Hawks</v>
      </c>
      <c r="H211" s="177">
        <v>115</v>
      </c>
      <c r="I211" s="336">
        <v>112</v>
      </c>
      <c r="J211" s="327">
        <f>IF(I211&gt;H211, 1, 0)</f>
        <v>0</v>
      </c>
      <c r="K211" s="177">
        <f>+D211+H211</f>
        <v>227</v>
      </c>
      <c r="L211" s="336">
        <f>E211+I211</f>
        <v>232</v>
      </c>
      <c r="M211" s="327">
        <f>IF(L211&gt;K211, 1, 0)</f>
        <v>1</v>
      </c>
      <c r="N211" s="337">
        <f>(+H211-D211)</f>
        <v>3</v>
      </c>
      <c r="O211" s="355">
        <f>I211-E211</f>
        <v>-8</v>
      </c>
      <c r="P211" s="405">
        <f>IF(OR(AND(N211&gt;0,O211&gt;0),AND(N211&lt;0,O211&lt;0)),1,0)</f>
        <v>0</v>
      </c>
      <c r="Q211" s="289">
        <f>WEEKNUM(tblResultadosNBA[[#This Row],[Fecha]],2)</f>
        <v>47</v>
      </c>
      <c r="R211" t="str">
        <f>TEXT(tblResultadosNBA[[#This Row],[Fecha]],"mmm")</f>
        <v>nov</v>
      </c>
    </row>
    <row r="212" spans="1:18">
      <c r="A212" s="419">
        <v>45979</v>
      </c>
      <c r="B212" s="302" t="s">
        <v>78</v>
      </c>
      <c r="C212" s="177" t="str">
        <f>LEFT(B212,FIND("@",B212)-2)</f>
        <v>Memphis Grizzlies</v>
      </c>
      <c r="D212" s="177">
        <v>112</v>
      </c>
      <c r="E212" s="336">
        <v>101</v>
      </c>
      <c r="F212" s="327">
        <f>IF(E212&gt;D212, 1, 0)</f>
        <v>0</v>
      </c>
      <c r="G212" s="177" t="str">
        <f>MID(B212,FIND("@",B212)+2,LEN(B212)-FIND("@",B212)-1)</f>
        <v>San Antonio Spurs</v>
      </c>
      <c r="H212" s="177">
        <v>123</v>
      </c>
      <c r="I212" s="336">
        <v>111</v>
      </c>
      <c r="J212" s="327">
        <f>IF(I212&gt;H212, 1, 0)</f>
        <v>0</v>
      </c>
      <c r="K212" s="177">
        <f>+D212+H212</f>
        <v>235</v>
      </c>
      <c r="L212" s="336">
        <f>E212+I212</f>
        <v>212</v>
      </c>
      <c r="M212" s="327">
        <f>IF(L212&gt;K212, 1, 0)</f>
        <v>0</v>
      </c>
      <c r="N212" s="337">
        <f>(+H212-D212)</f>
        <v>11</v>
      </c>
      <c r="O212" s="355">
        <f>I212-E212</f>
        <v>10</v>
      </c>
      <c r="P212" s="405">
        <f>IF(OR(AND(N212&gt;0,O212&gt;0),AND(N212&lt;0,O212&lt;0)),1,0)</f>
        <v>1</v>
      </c>
      <c r="Q212" s="289">
        <f>WEEKNUM(tblResultadosNBA[[#This Row],[Fecha]],2)</f>
        <v>47</v>
      </c>
      <c r="R212" t="str">
        <f>TEXT(tblResultadosNBA[[#This Row],[Fecha]],"mmm")</f>
        <v>nov</v>
      </c>
    </row>
    <row r="213" spans="1:18">
      <c r="A213" s="419">
        <v>45979</v>
      </c>
      <c r="B213" s="302" t="s">
        <v>544</v>
      </c>
      <c r="C213" s="177" t="str">
        <f>LEFT(B213,FIND("@",B213)-2)</f>
        <v>Utah Jazz</v>
      </c>
      <c r="D213" s="177">
        <v>104</v>
      </c>
      <c r="E213" s="336">
        <v>126</v>
      </c>
      <c r="F213" s="327">
        <f>IF(E213&gt;D213, 1, 0)</f>
        <v>1</v>
      </c>
      <c r="G213" s="177" t="str">
        <f>MID(B213,FIND("@",B213)+2,LEN(B213)-FIND("@",B213)-1)</f>
        <v>Los Angeles Lakers</v>
      </c>
      <c r="H213" s="177">
        <v>112</v>
      </c>
      <c r="I213" s="336">
        <v>140</v>
      </c>
      <c r="J213" s="327">
        <f>IF(I213&gt;H213, 1, 0)</f>
        <v>1</v>
      </c>
      <c r="K213" s="177">
        <f>+D213+H213</f>
        <v>216</v>
      </c>
      <c r="L213" s="336">
        <f>E213+I213</f>
        <v>266</v>
      </c>
      <c r="M213" s="327">
        <f>IF(L213&gt;K213, 1, 0)</f>
        <v>1</v>
      </c>
      <c r="N213" s="337">
        <f>(+H213-D213)</f>
        <v>8</v>
      </c>
      <c r="O213" s="355">
        <f>I213-E213</f>
        <v>14</v>
      </c>
      <c r="P213" s="405">
        <f>IF(OR(AND(N213&gt;0,O213&gt;0),AND(N213&lt;0,O213&lt;0)),1,0)</f>
        <v>1</v>
      </c>
      <c r="Q213" s="289">
        <f>WEEKNUM(tblResultadosNBA[[#This Row],[Fecha]],2)</f>
        <v>47</v>
      </c>
      <c r="R213" t="str">
        <f>TEXT(tblResultadosNBA[[#This Row],[Fecha]],"mmm")</f>
        <v>nov</v>
      </c>
    </row>
    <row r="214" spans="1:18">
      <c r="A214" s="445">
        <v>45979</v>
      </c>
      <c r="B214" s="331" t="s">
        <v>335</v>
      </c>
      <c r="C214" s="286" t="str">
        <f>LEFT(B214,FIND("@",B214)-2)</f>
        <v>Phoenix Suns</v>
      </c>
      <c r="D214" s="286">
        <v>112</v>
      </c>
      <c r="E214" s="431">
        <v>127</v>
      </c>
      <c r="F214" s="332">
        <f>IF(E214&gt;D214, 1, 0)</f>
        <v>1</v>
      </c>
      <c r="G214" s="286" t="str">
        <f>MID(B214,FIND("@",B214)+2,LEN(B214)-FIND("@",B214)-1)</f>
        <v>Portland Trail Blazers</v>
      </c>
      <c r="H214" s="286">
        <v>116</v>
      </c>
      <c r="I214" s="431">
        <v>110</v>
      </c>
      <c r="J214" s="332">
        <f>IF(I214&gt;H214, 1, 0)</f>
        <v>0</v>
      </c>
      <c r="K214" s="286">
        <f>+D214+H214</f>
        <v>228</v>
      </c>
      <c r="L214" s="431">
        <f>E214+I214</f>
        <v>237</v>
      </c>
      <c r="M214" s="332">
        <f>IF(L214&gt;K214, 1, 0)</f>
        <v>1</v>
      </c>
      <c r="N214" s="432">
        <f>(+H214-D214)</f>
        <v>4</v>
      </c>
      <c r="O214" s="447">
        <f>I214-E214</f>
        <v>-17</v>
      </c>
      <c r="P214" s="406">
        <f>IF(OR(AND(N214&gt;0,O214&gt;0),AND(N214&lt;0,O214&lt;0)),1,0)</f>
        <v>0</v>
      </c>
      <c r="Q214" s="433">
        <f>WEEKNUM(tblResultadosNBA[[#This Row],[Fecha]],2)</f>
        <v>47</v>
      </c>
      <c r="R214" s="433" t="str">
        <f>TEXT(tblResultadosNBA[[#This Row],[Fecha]],"mmm")</f>
        <v>nov</v>
      </c>
    </row>
    <row r="215" spans="1:18">
      <c r="A215" s="439">
        <v>45980</v>
      </c>
      <c r="B215" s="422" t="s">
        <v>79</v>
      </c>
      <c r="C215" s="341" t="str">
        <f>LEFT(B215,FIND("@",B215)-2)</f>
        <v>Houston Rockets</v>
      </c>
      <c r="D215" s="341">
        <v>127</v>
      </c>
      <c r="E215" s="342">
        <v>114</v>
      </c>
      <c r="F215" s="333">
        <f>IF(E215&gt;D215, 1, 0)</f>
        <v>0</v>
      </c>
      <c r="G215" s="341" t="str">
        <f>MID(B215,FIND("@",B215)+2,LEN(B215)-FIND("@",B215)-1)</f>
        <v>Cleveland Cavaliers</v>
      </c>
      <c r="H215" s="341">
        <v>118</v>
      </c>
      <c r="I215" s="342">
        <v>104</v>
      </c>
      <c r="J215" s="333">
        <f>IF(I215&gt;H215, 1, 0)</f>
        <v>0</v>
      </c>
      <c r="K215" s="341">
        <f>+D215+H215</f>
        <v>245</v>
      </c>
      <c r="L215" s="342">
        <f>E215+I215</f>
        <v>218</v>
      </c>
      <c r="M215" s="333">
        <f>IF(L215&gt;K215, 1, 0)</f>
        <v>0</v>
      </c>
      <c r="N215" s="343">
        <f>(+H215-D215)</f>
        <v>-9</v>
      </c>
      <c r="O215" s="449">
        <f>I215-E215</f>
        <v>-10</v>
      </c>
      <c r="P215" s="450">
        <f>IF(OR(AND(N215&gt;0,O215&gt;0),AND(N215&lt;0,O215&lt;0)),1,0)</f>
        <v>1</v>
      </c>
      <c r="Q215" s="289">
        <f>WEEKNUM(tblResultadosNBA[[#This Row],[Fecha]],2)</f>
        <v>47</v>
      </c>
      <c r="R215" t="str">
        <f>TEXT(tblResultadosNBA[[#This Row],[Fecha]],"mmm")</f>
        <v>nov</v>
      </c>
    </row>
    <row r="216" spans="1:18">
      <c r="A216" s="419">
        <v>45980</v>
      </c>
      <c r="B216" s="302" t="s">
        <v>80</v>
      </c>
      <c r="C216" s="177" t="str">
        <f>LEFT(B216,FIND("@",B216)-2)</f>
        <v>Charlotte Hornets</v>
      </c>
      <c r="D216" s="177">
        <v>115</v>
      </c>
      <c r="E216" s="336">
        <v>118</v>
      </c>
      <c r="F216" s="327">
        <f>IF(E216&gt;D216, 1, 0)</f>
        <v>1</v>
      </c>
      <c r="G216" s="177" t="str">
        <f>MID(B216,FIND("@",B216)+2,LEN(B216)-FIND("@",B216)-1)</f>
        <v>Indiana Pacers</v>
      </c>
      <c r="H216" s="177">
        <v>119</v>
      </c>
      <c r="I216" s="336">
        <v>127</v>
      </c>
      <c r="J216" s="327">
        <f>IF(I216&gt;H216, 1, 0)</f>
        <v>1</v>
      </c>
      <c r="K216" s="177">
        <f>+D216+H216</f>
        <v>234</v>
      </c>
      <c r="L216" s="336">
        <f>E216+I216</f>
        <v>245</v>
      </c>
      <c r="M216" s="327">
        <f>IF(L216&gt;K216, 1, 0)</f>
        <v>1</v>
      </c>
      <c r="N216" s="337">
        <f>(+H216-D216)</f>
        <v>4</v>
      </c>
      <c r="O216" s="395">
        <f>I216-E216</f>
        <v>9</v>
      </c>
      <c r="P216" s="411">
        <f>IF(OR(AND(N216&gt;0,O216&gt;0),AND(N216&lt;0,O216&lt;0)),1,0)</f>
        <v>1</v>
      </c>
      <c r="Q216" s="289">
        <f>WEEKNUM(tblResultadosNBA[[#This Row],[Fecha]],2)</f>
        <v>47</v>
      </c>
      <c r="R216" t="str">
        <f>TEXT(tblResultadosNBA[[#This Row],[Fecha]],"mmm")</f>
        <v>nov</v>
      </c>
    </row>
    <row r="217" spans="1:18">
      <c r="A217" s="419">
        <v>45980</v>
      </c>
      <c r="B217" s="302" t="s">
        <v>522</v>
      </c>
      <c r="C217" s="177" t="str">
        <f>LEFT(B217,FIND("@",B217)-2)</f>
        <v>Toronto Raptors</v>
      </c>
      <c r="D217" s="177">
        <v>111</v>
      </c>
      <c r="E217" s="336">
        <v>121</v>
      </c>
      <c r="F217" s="327">
        <f>IF(E217&gt;D217, 1, 0)</f>
        <v>1</v>
      </c>
      <c r="G217" s="177" t="str">
        <f>MID(B217,FIND("@",B217)+2,LEN(B217)-FIND("@",B217)-1)</f>
        <v>Philadelphia 76ers</v>
      </c>
      <c r="H217" s="177">
        <v>115</v>
      </c>
      <c r="I217" s="336">
        <v>112</v>
      </c>
      <c r="J217" s="327">
        <f>IF(I217&gt;H217, 1, 0)</f>
        <v>0</v>
      </c>
      <c r="K217" s="177">
        <f>+D217+H217</f>
        <v>226</v>
      </c>
      <c r="L217" s="336">
        <f>E217+I217</f>
        <v>233</v>
      </c>
      <c r="M217" s="327">
        <f>IF(L217&gt;K217, 1, 0)</f>
        <v>1</v>
      </c>
      <c r="N217" s="337">
        <f>(+H217-D217)</f>
        <v>4</v>
      </c>
      <c r="O217" s="395">
        <f>I217-E217</f>
        <v>-9</v>
      </c>
      <c r="P217" s="411">
        <f>IF(OR(AND(N217&gt;0,O217&gt;0),AND(N217&lt;0,O217&lt;0)),1,0)</f>
        <v>0</v>
      </c>
      <c r="Q217" s="289">
        <f>WEEKNUM(tblResultadosNBA[[#This Row],[Fecha]],2)</f>
        <v>47</v>
      </c>
      <c r="R217" t="str">
        <f>TEXT(tblResultadosNBA[[#This Row],[Fecha]],"mmm")</f>
        <v>nov</v>
      </c>
    </row>
    <row r="218" spans="1:18">
      <c r="A218" s="419">
        <v>45980</v>
      </c>
      <c r="B218" s="302" t="s">
        <v>545</v>
      </c>
      <c r="C218" s="177" t="str">
        <f>LEFT(B218,FIND("@",B218)-2)</f>
        <v>Golden State Warriors</v>
      </c>
      <c r="D218" s="177">
        <v>110</v>
      </c>
      <c r="E218" s="336">
        <v>96</v>
      </c>
      <c r="F218" s="327">
        <f>IF(E218&gt;D218, 1, 0)</f>
        <v>0</v>
      </c>
      <c r="G218" s="177" t="str">
        <f>MID(B218,FIND("@",B218)+2,LEN(B218)-FIND("@",B218)-1)</f>
        <v>Miami Heat</v>
      </c>
      <c r="H218" s="177">
        <v>119</v>
      </c>
      <c r="I218" s="336">
        <v>110</v>
      </c>
      <c r="J218" s="327">
        <f>IF(I218&gt;H218, 1, 0)</f>
        <v>0</v>
      </c>
      <c r="K218" s="177">
        <f>+D218+H218</f>
        <v>229</v>
      </c>
      <c r="L218" s="336">
        <f>E218+I218</f>
        <v>206</v>
      </c>
      <c r="M218" s="327">
        <f>IF(L218&gt;K218, 1, 0)</f>
        <v>0</v>
      </c>
      <c r="N218" s="337">
        <f>(+H218-D218)</f>
        <v>9</v>
      </c>
      <c r="O218" s="395">
        <f>I218-E218</f>
        <v>14</v>
      </c>
      <c r="P218" s="411">
        <f>IF(OR(AND(N218&gt;0,O218&gt;0),AND(N218&lt;0,O218&lt;0)),1,0)</f>
        <v>1</v>
      </c>
      <c r="Q218" s="289">
        <f>WEEKNUM(tblResultadosNBA[[#This Row],[Fecha]],2)</f>
        <v>47</v>
      </c>
      <c r="R218" t="str">
        <f>TEXT(tblResultadosNBA[[#This Row],[Fecha]],"mmm")</f>
        <v>nov</v>
      </c>
    </row>
    <row r="219" spans="1:18">
      <c r="A219" s="419">
        <v>45980</v>
      </c>
      <c r="B219" s="302" t="s">
        <v>546</v>
      </c>
      <c r="C219" s="177" t="str">
        <f>LEFT(B219,FIND("@",B219)-2)</f>
        <v>Washington Wizards</v>
      </c>
      <c r="D219" s="177">
        <v>108</v>
      </c>
      <c r="E219" s="336">
        <v>109</v>
      </c>
      <c r="F219" s="327">
        <f>IF(E219&gt;D219, 1, 0)</f>
        <v>1</v>
      </c>
      <c r="G219" s="177" t="str">
        <f>MID(B219,FIND("@",B219)+2,LEN(B219)-FIND("@",B219)-1)</f>
        <v>Minnesota Timberwolves</v>
      </c>
      <c r="H219" s="177">
        <v>114</v>
      </c>
      <c r="I219" s="336">
        <v>120</v>
      </c>
      <c r="J219" s="327">
        <f>IF(I219&gt;H219, 1, 0)</f>
        <v>1</v>
      </c>
      <c r="K219" s="177">
        <f>+D219+H219</f>
        <v>222</v>
      </c>
      <c r="L219" s="336">
        <f>E219+I219</f>
        <v>229</v>
      </c>
      <c r="M219" s="327">
        <f>IF(L219&gt;K219, 1, 0)</f>
        <v>1</v>
      </c>
      <c r="N219" s="337">
        <f>(+H219-D219)</f>
        <v>6</v>
      </c>
      <c r="O219" s="395">
        <f>I219-E219</f>
        <v>11</v>
      </c>
      <c r="P219" s="411">
        <f>IF(OR(AND(N219&gt;0,O219&gt;0),AND(N219&lt;0,O219&lt;0)),1,0)</f>
        <v>1</v>
      </c>
      <c r="Q219" s="289">
        <f>WEEKNUM(tblResultadosNBA[[#This Row],[Fecha]],2)</f>
        <v>47</v>
      </c>
      <c r="R219" t="str">
        <f>TEXT(tblResultadosNBA[[#This Row],[Fecha]],"mmm")</f>
        <v>nov</v>
      </c>
    </row>
    <row r="220" spans="1:18">
      <c r="A220" s="419">
        <v>45980</v>
      </c>
      <c r="B220" s="302" t="s">
        <v>547</v>
      </c>
      <c r="C220" s="177" t="str">
        <f>LEFT(B220,FIND("@",B220)-2)</f>
        <v>Denver Nuggets</v>
      </c>
      <c r="D220" s="177">
        <v>110</v>
      </c>
      <c r="E220" s="336">
        <v>125</v>
      </c>
      <c r="F220" s="327">
        <f>IF(E220&gt;D220, 1, 0)</f>
        <v>1</v>
      </c>
      <c r="G220" s="177" t="str">
        <f>MID(B220,FIND("@",B220)+2,LEN(B220)-FIND("@",B220)-1)</f>
        <v>New Orleans Pelicans</v>
      </c>
      <c r="H220" s="177">
        <v>114</v>
      </c>
      <c r="I220" s="336">
        <v>118</v>
      </c>
      <c r="J220" s="327">
        <f>IF(I220&gt;H220, 1, 0)</f>
        <v>1</v>
      </c>
      <c r="K220" s="177">
        <f>+D220+H220</f>
        <v>224</v>
      </c>
      <c r="L220" s="336">
        <f>E220+I220</f>
        <v>243</v>
      </c>
      <c r="M220" s="327">
        <f>IF(L220&gt;K220, 1, 0)</f>
        <v>1</v>
      </c>
      <c r="N220" s="337">
        <f>(+H220-D220)</f>
        <v>4</v>
      </c>
      <c r="O220" s="395">
        <f>I220-E220</f>
        <v>-7</v>
      </c>
      <c r="P220" s="411">
        <f>IF(OR(AND(N220&gt;0,O220&gt;0),AND(N220&lt;0,O220&lt;0)),1,0)</f>
        <v>0</v>
      </c>
      <c r="Q220" s="289">
        <f>WEEKNUM(tblResultadosNBA[[#This Row],[Fecha]],2)</f>
        <v>47</v>
      </c>
      <c r="R220" t="str">
        <f>TEXT(tblResultadosNBA[[#This Row],[Fecha]],"mmm")</f>
        <v>nov</v>
      </c>
    </row>
    <row r="221" spans="1:18">
      <c r="A221" s="419">
        <v>45980</v>
      </c>
      <c r="B221" s="396" t="s">
        <v>81</v>
      </c>
      <c r="C221" s="291" t="str">
        <f>LEFT(B221,FIND("@",B221)-2)</f>
        <v>Sacramento Kings</v>
      </c>
      <c r="D221" s="291">
        <v>114</v>
      </c>
      <c r="E221" s="397">
        <v>99</v>
      </c>
      <c r="F221" s="398">
        <f>IF(E221&gt;D221, 1, 0)</f>
        <v>0</v>
      </c>
      <c r="G221" s="291" t="str">
        <f>MID(B221,FIND("@",B221)+2,LEN(B221)-FIND("@",B221)-1)</f>
        <v>Oklahoma City Thunder</v>
      </c>
      <c r="H221" s="291">
        <v>121</v>
      </c>
      <c r="I221" s="397">
        <v>113</v>
      </c>
      <c r="J221" s="398">
        <f>IF(I221&gt;H221, 1, 0)</f>
        <v>0</v>
      </c>
      <c r="K221" s="291">
        <f>+D221+H221</f>
        <v>235</v>
      </c>
      <c r="L221" s="397">
        <f>E221+I221</f>
        <v>212</v>
      </c>
      <c r="M221" s="398">
        <f>IF(L221&gt;K221, 1, 0)</f>
        <v>0</v>
      </c>
      <c r="N221" s="399">
        <f>(+H221-D221)</f>
        <v>7</v>
      </c>
      <c r="O221" s="400">
        <f>I221-E221</f>
        <v>14</v>
      </c>
      <c r="P221" s="412">
        <f>IF(OR(AND(N221&gt;0,O221&gt;0),AND(N221&lt;0,O221&lt;0)),1,0)</f>
        <v>1</v>
      </c>
      <c r="Q221" s="289">
        <f>WEEKNUM(tblResultadosNBA[[#This Row],[Fecha]],2)</f>
        <v>47</v>
      </c>
      <c r="R221" t="str">
        <f>TEXT(tblResultadosNBA[[#This Row],[Fecha]],"mmm")</f>
        <v>nov</v>
      </c>
    </row>
    <row r="222" spans="1:18">
      <c r="A222" s="419">
        <v>45980</v>
      </c>
      <c r="B222" s="302" t="s">
        <v>548</v>
      </c>
      <c r="C222" s="177" t="str">
        <f>LEFT(B222,FIND("@",B222)-2)</f>
        <v>New York Knicks</v>
      </c>
      <c r="D222" s="177">
        <v>107</v>
      </c>
      <c r="E222" s="336">
        <v>113</v>
      </c>
      <c r="F222" s="327">
        <f>IF(E222&gt;D222, 1, 0)</f>
        <v>1</v>
      </c>
      <c r="G222" s="177" t="str">
        <f>MID(B222,FIND("@",B222)+2,LEN(B222)-FIND("@",B222)-1)</f>
        <v>Dallas Mavericks</v>
      </c>
      <c r="H222" s="177">
        <v>111</v>
      </c>
      <c r="I222" s="336">
        <v>111</v>
      </c>
      <c r="J222" s="327">
        <f>IF(I222&gt;H222, 1, 0)</f>
        <v>0</v>
      </c>
      <c r="K222" s="177">
        <f>+D222+H222</f>
        <v>218</v>
      </c>
      <c r="L222" s="336">
        <f>E222+I222</f>
        <v>224</v>
      </c>
      <c r="M222" s="327">
        <f>IF(L222&gt;K222, 1, 0)</f>
        <v>1</v>
      </c>
      <c r="N222" s="337">
        <f>(+H222-D222)</f>
        <v>4</v>
      </c>
      <c r="O222" s="395">
        <f>I222-E222</f>
        <v>-2</v>
      </c>
      <c r="P222" s="412">
        <f>IF(OR(AND(N222&gt;0,O222&gt;0),AND(N222&lt;0,O222&lt;0)),1,0)</f>
        <v>0</v>
      </c>
      <c r="Q222" s="289">
        <f>WEEKNUM(tblResultadosNBA[[#This Row],[Fecha]],2)</f>
        <v>47</v>
      </c>
      <c r="R222" t="str">
        <f>TEXT(tblResultadosNBA[[#This Row],[Fecha]],"mmm")</f>
        <v>nov</v>
      </c>
    </row>
    <row r="223" spans="1:18">
      <c r="A223" s="456">
        <v>45980</v>
      </c>
      <c r="B223" s="328" t="s">
        <v>549</v>
      </c>
      <c r="C223" s="299" t="str">
        <f>LEFT(B223,FIND("@",B223)-2)</f>
        <v>Chicago Bulls</v>
      </c>
      <c r="D223" s="299">
        <v>120</v>
      </c>
      <c r="E223" s="309">
        <v>122</v>
      </c>
      <c r="F223" s="334">
        <f>IF(E223&gt;D223, 1, 0)</f>
        <v>1</v>
      </c>
      <c r="G223" s="299" t="str">
        <f>MID(B223,FIND("@",B223)+2,LEN(B223)-FIND("@",B223)-1)</f>
        <v>Portland Trail Blazers</v>
      </c>
      <c r="H223" s="299">
        <v>117</v>
      </c>
      <c r="I223" s="309">
        <v>121</v>
      </c>
      <c r="J223" s="334">
        <f>IF(I223&gt;H223, 1, 0)</f>
        <v>1</v>
      </c>
      <c r="K223" s="299">
        <f>+D223+H223</f>
        <v>237</v>
      </c>
      <c r="L223" s="309">
        <f>E223+I223</f>
        <v>243</v>
      </c>
      <c r="M223" s="334">
        <f>IF(L223&gt;K223, 1, 0)</f>
        <v>1</v>
      </c>
      <c r="N223" s="321">
        <f>(+H223-D223)</f>
        <v>-3</v>
      </c>
      <c r="O223" s="457">
        <f>I223-E223</f>
        <v>-1</v>
      </c>
      <c r="P223" s="458">
        <f>IF(OR(AND(N223&gt;0,O223&gt;0),AND(N223&lt;0,O223&lt;0)),1,0)</f>
        <v>1</v>
      </c>
      <c r="Q223" s="289">
        <f>WEEKNUM(tblResultadosNBA[[#This Row],[Fecha]],2)</f>
        <v>47</v>
      </c>
      <c r="R223" s="289" t="str">
        <f>TEXT(tblResultadosNBA[[#This Row],[Fecha]],"mmm")</f>
        <v>nov</v>
      </c>
    </row>
    <row r="224" spans="1:18">
      <c r="A224" s="425">
        <v>45981</v>
      </c>
      <c r="B224" s="329" t="s">
        <v>82</v>
      </c>
      <c r="C224" s="244" t="str">
        <f t="shared" ref="C224:C227" si="0">LEFT(B224,FIND("@",B224)-2)</f>
        <v>LA Clippers</v>
      </c>
      <c r="D224" s="244">
        <v>121</v>
      </c>
      <c r="E224" s="292">
        <v>101</v>
      </c>
      <c r="F224" s="358">
        <f t="shared" ref="F224:F227" si="1">IF(E224&gt;D224, 1, 0)</f>
        <v>0</v>
      </c>
      <c r="G224" s="244" t="str">
        <f t="shared" ref="G224:G227" si="2">MID(B224,FIND("@",B224)+2,LEN(B224)-FIND("@",B224)-1)</f>
        <v>Orlando Magic</v>
      </c>
      <c r="H224" s="244">
        <v>110</v>
      </c>
      <c r="I224" s="292">
        <v>129</v>
      </c>
      <c r="J224" s="358">
        <f t="shared" ref="J224:J227" si="3">IF(I224&gt;H224, 1, 0)</f>
        <v>1</v>
      </c>
      <c r="K224" s="244">
        <f t="shared" ref="K224:K227" si="4">+D224+H224</f>
        <v>231</v>
      </c>
      <c r="L224" s="292">
        <f t="shared" ref="L224:L227" si="5">E224+I224</f>
        <v>230</v>
      </c>
      <c r="M224" s="358">
        <f t="shared" ref="M224:M227" si="6">IF(L224&gt;K224, 1, 0)</f>
        <v>0</v>
      </c>
      <c r="N224" s="320">
        <f t="shared" ref="N224:N227" si="7">(+H224-D224)</f>
        <v>-11</v>
      </c>
      <c r="O224" s="462">
        <f t="shared" ref="O224:O227" si="8">I224-E224</f>
        <v>28</v>
      </c>
      <c r="P224" s="463">
        <f t="shared" ref="P224:P227" si="9">IF(OR(AND(N224&gt;0,O224&gt;0),AND(N224&lt;0,O224&lt;0)),1,0)</f>
        <v>0</v>
      </c>
      <c r="Q224" s="440">
        <f>WEEKNUM(tblResultadosNBA[[#This Row],[Fecha]],2)</f>
        <v>47</v>
      </c>
      <c r="R224" s="378" t="str">
        <f>TEXT(tblResultadosNBA[[#This Row],[Fecha]],"mmm")</f>
        <v>nov</v>
      </c>
    </row>
    <row r="225" spans="1:18">
      <c r="A225" s="441">
        <v>45981</v>
      </c>
      <c r="B225" s="396" t="s">
        <v>83</v>
      </c>
      <c r="C225" s="291" t="str">
        <f t="shared" si="0"/>
        <v>Sacramento Kings</v>
      </c>
      <c r="D225" s="291">
        <v>115</v>
      </c>
      <c r="E225" s="397">
        <v>96</v>
      </c>
      <c r="F225" s="398">
        <f t="shared" si="1"/>
        <v>0</v>
      </c>
      <c r="G225" s="291" t="str">
        <f t="shared" si="2"/>
        <v>Memphis Grizzlies</v>
      </c>
      <c r="H225" s="291">
        <v>120</v>
      </c>
      <c r="I225" s="397">
        <v>137</v>
      </c>
      <c r="J225" s="398">
        <f t="shared" si="3"/>
        <v>1</v>
      </c>
      <c r="K225" s="291">
        <f t="shared" si="4"/>
        <v>235</v>
      </c>
      <c r="L225" s="397">
        <f t="shared" si="5"/>
        <v>233</v>
      </c>
      <c r="M225" s="398">
        <f t="shared" si="6"/>
        <v>0</v>
      </c>
      <c r="N225" s="399">
        <f t="shared" si="7"/>
        <v>5</v>
      </c>
      <c r="O225" s="400">
        <f t="shared" si="8"/>
        <v>41</v>
      </c>
      <c r="P225" s="412">
        <f t="shared" si="9"/>
        <v>1</v>
      </c>
      <c r="Q225" s="289">
        <f>WEEKNUM(tblResultadosNBA[[#This Row],[Fecha]],2)</f>
        <v>47</v>
      </c>
      <c r="R225" s="379" t="str">
        <f>TEXT(tblResultadosNBA[[#This Row],[Fecha]],"mmm")</f>
        <v>nov</v>
      </c>
    </row>
    <row r="226" spans="1:18">
      <c r="A226" s="441">
        <v>45981</v>
      </c>
      <c r="B226" s="302" t="s">
        <v>84</v>
      </c>
      <c r="C226" s="177" t="str">
        <f t="shared" si="0"/>
        <v>Philadelphia 76ers</v>
      </c>
      <c r="D226" s="177">
        <v>110</v>
      </c>
      <c r="E226" s="336">
        <v>123</v>
      </c>
      <c r="F226" s="327">
        <f t="shared" si="1"/>
        <v>1</v>
      </c>
      <c r="G226" s="177" t="str">
        <f t="shared" si="2"/>
        <v>Milwaukee Bucks</v>
      </c>
      <c r="H226" s="177">
        <v>115</v>
      </c>
      <c r="I226" s="336">
        <v>114</v>
      </c>
      <c r="J226" s="327">
        <f t="shared" si="3"/>
        <v>0</v>
      </c>
      <c r="K226" s="177">
        <f t="shared" si="4"/>
        <v>225</v>
      </c>
      <c r="L226" s="336">
        <f t="shared" si="5"/>
        <v>237</v>
      </c>
      <c r="M226" s="327">
        <f t="shared" si="6"/>
        <v>1</v>
      </c>
      <c r="N226" s="337">
        <f t="shared" si="7"/>
        <v>5</v>
      </c>
      <c r="O226" s="395">
        <f t="shared" si="8"/>
        <v>-9</v>
      </c>
      <c r="P226" s="412">
        <f t="shared" si="9"/>
        <v>0</v>
      </c>
      <c r="Q226" s="289">
        <f>WEEKNUM(tblResultadosNBA[[#This Row],[Fecha]],2)</f>
        <v>47</v>
      </c>
      <c r="R226" s="379" t="str">
        <f>TEXT(tblResultadosNBA[[#This Row],[Fecha]],"mmm")</f>
        <v>nov</v>
      </c>
    </row>
    <row r="227" spans="1:18">
      <c r="A227" s="442">
        <v>45981</v>
      </c>
      <c r="B227" s="328" t="s">
        <v>85</v>
      </c>
      <c r="C227" s="299" t="str">
        <f t="shared" si="0"/>
        <v>Atlanta Hawks</v>
      </c>
      <c r="D227" s="299">
        <v>116</v>
      </c>
      <c r="E227" s="309">
        <v>126</v>
      </c>
      <c r="F227" s="334">
        <f t="shared" si="1"/>
        <v>1</v>
      </c>
      <c r="G227" s="299" t="str">
        <f t="shared" si="2"/>
        <v>San Antonio Spurs</v>
      </c>
      <c r="H227" s="299">
        <v>124</v>
      </c>
      <c r="I227" s="309">
        <v>135</v>
      </c>
      <c r="J227" s="334">
        <f t="shared" si="3"/>
        <v>1</v>
      </c>
      <c r="K227" s="299">
        <f t="shared" si="4"/>
        <v>240</v>
      </c>
      <c r="L227" s="309">
        <f t="shared" si="5"/>
        <v>261</v>
      </c>
      <c r="M227" s="334">
        <f t="shared" si="6"/>
        <v>1</v>
      </c>
      <c r="N227" s="321">
        <f t="shared" si="7"/>
        <v>8</v>
      </c>
      <c r="O227" s="457">
        <f t="shared" si="8"/>
        <v>9</v>
      </c>
      <c r="P227" s="458">
        <f t="shared" si="9"/>
        <v>1</v>
      </c>
      <c r="Q227" s="289">
        <f>WEEKNUM(tblResultadosNBA[[#This Row],[Fecha]],2)</f>
        <v>47</v>
      </c>
      <c r="R227" s="379" t="str">
        <f>TEXT(tblResultadosNBA[[#This Row],[Fecha]],"mmm")</f>
        <v>nov</v>
      </c>
    </row>
    <row r="228" spans="1:18">
      <c r="A228" s="465">
        <v>45982</v>
      </c>
      <c r="B228" s="329" t="s">
        <v>86</v>
      </c>
      <c r="C228" s="244" t="str">
        <f t="shared" ref="C228:C236" si="10">LEFT(B228,FIND("@",B228)-2)</f>
        <v>Indiana Pacers</v>
      </c>
      <c r="D228" s="244">
        <v>123</v>
      </c>
      <c r="E228" s="292">
        <v>109</v>
      </c>
      <c r="F228" s="358">
        <f t="shared" ref="F228:F236" si="11">IF(E228&gt;D228, 1, 0)</f>
        <v>0</v>
      </c>
      <c r="G228" s="244" t="str">
        <f t="shared" ref="G228:G236" si="12">MID(B228,FIND("@",B228)+2,LEN(B228)-FIND("@",B228)-1)</f>
        <v>Cleveland Cavaliers</v>
      </c>
      <c r="H228" s="244">
        <v>121</v>
      </c>
      <c r="I228" s="292">
        <v>120</v>
      </c>
      <c r="J228" s="358">
        <f t="shared" ref="J228:J236" si="13">IF(I228&gt;H228, 1, 0)</f>
        <v>0</v>
      </c>
      <c r="K228" s="244">
        <f t="shared" ref="K228:K236" si="14">+D228+H228</f>
        <v>244</v>
      </c>
      <c r="L228" s="292">
        <f t="shared" ref="L228:L235" si="15">E228+I228</f>
        <v>229</v>
      </c>
      <c r="M228" s="358">
        <f t="shared" ref="M228:M235" si="16">IF(L228&gt;K228, 1, 0)</f>
        <v>0</v>
      </c>
      <c r="N228" s="320">
        <f t="shared" ref="N228:N235" si="17">(+H228-D228)</f>
        <v>-2</v>
      </c>
      <c r="O228" s="462">
        <f t="shared" ref="O228:O235" si="18">I228-E228</f>
        <v>11</v>
      </c>
      <c r="P228" s="440">
        <f t="shared" ref="P228:P235" si="19">IF(OR(AND(N228&gt;0,O228&gt;0),AND(N228&lt;0,O228&lt;0)),1,0)</f>
        <v>0</v>
      </c>
      <c r="Q228" s="466">
        <f>WEEKNUM(tblResultadosNBA[[#This Row],[Fecha]],2)</f>
        <v>47</v>
      </c>
      <c r="R228" s="467" t="str">
        <f>TEXT(tblResultadosNBA[[#This Row],[Fecha]],"mmm")</f>
        <v>nov</v>
      </c>
    </row>
    <row r="229" spans="1:18">
      <c r="A229" s="441">
        <v>45982</v>
      </c>
      <c r="B229" s="302" t="s">
        <v>550</v>
      </c>
      <c r="C229" s="177" t="str">
        <f t="shared" si="10"/>
        <v>Brooklyn Nets</v>
      </c>
      <c r="D229" s="177">
        <v>105</v>
      </c>
      <c r="E229" s="336">
        <v>113</v>
      </c>
      <c r="F229" s="327">
        <f t="shared" si="11"/>
        <v>1</v>
      </c>
      <c r="G229" s="177" t="str">
        <f t="shared" si="12"/>
        <v>Boston Celtics</v>
      </c>
      <c r="H229" s="177">
        <v>119</v>
      </c>
      <c r="I229" s="336">
        <v>105</v>
      </c>
      <c r="J229" s="327">
        <f t="shared" si="13"/>
        <v>0</v>
      </c>
      <c r="K229" s="177">
        <f t="shared" si="14"/>
        <v>224</v>
      </c>
      <c r="L229" s="336">
        <f t="shared" si="15"/>
        <v>218</v>
      </c>
      <c r="M229" s="327">
        <f t="shared" si="16"/>
        <v>0</v>
      </c>
      <c r="N229" s="337">
        <f t="shared" si="17"/>
        <v>14</v>
      </c>
      <c r="O229" s="395">
        <f t="shared" si="18"/>
        <v>-8</v>
      </c>
      <c r="P229" s="289">
        <f t="shared" si="19"/>
        <v>0</v>
      </c>
      <c r="Q229" s="460">
        <f>WEEKNUM(tblResultadosNBA[[#This Row],[Fecha]],2)</f>
        <v>47</v>
      </c>
      <c r="R229" s="468" t="str">
        <f>TEXT(tblResultadosNBA[[#This Row],[Fecha]],"mmm")</f>
        <v>nov</v>
      </c>
    </row>
    <row r="230" spans="1:18">
      <c r="A230" s="441">
        <v>45982</v>
      </c>
      <c r="B230" s="302" t="s">
        <v>551</v>
      </c>
      <c r="C230" s="177" t="str">
        <f t="shared" si="10"/>
        <v>Washington Wizards</v>
      </c>
      <c r="D230" s="177">
        <v>106</v>
      </c>
      <c r="E230" s="336">
        <v>110</v>
      </c>
      <c r="F230" s="327">
        <f t="shared" si="11"/>
        <v>1</v>
      </c>
      <c r="G230" s="177" t="str">
        <f t="shared" si="12"/>
        <v>Toronto Raptors</v>
      </c>
      <c r="H230" s="177">
        <v>111</v>
      </c>
      <c r="I230" s="336">
        <v>140</v>
      </c>
      <c r="J230" s="327">
        <f t="shared" si="13"/>
        <v>1</v>
      </c>
      <c r="K230" s="177">
        <f t="shared" si="14"/>
        <v>217</v>
      </c>
      <c r="L230" s="336">
        <f t="shared" si="15"/>
        <v>250</v>
      </c>
      <c r="M230" s="327">
        <f t="shared" si="16"/>
        <v>1</v>
      </c>
      <c r="N230" s="337">
        <f t="shared" si="17"/>
        <v>5</v>
      </c>
      <c r="O230" s="395">
        <f t="shared" si="18"/>
        <v>30</v>
      </c>
      <c r="P230" s="289">
        <f t="shared" si="19"/>
        <v>1</v>
      </c>
      <c r="Q230" s="460">
        <f>WEEKNUM(tblResultadosNBA[[#This Row],[Fecha]],2)</f>
        <v>47</v>
      </c>
      <c r="R230" s="468" t="str">
        <f>TEXT(tblResultadosNBA[[#This Row],[Fecha]],"mmm")</f>
        <v>nov</v>
      </c>
    </row>
    <row r="231" spans="1:18">
      <c r="A231" s="441">
        <v>45982</v>
      </c>
      <c r="B231" s="302" t="s">
        <v>314</v>
      </c>
      <c r="C231" s="177" t="str">
        <f t="shared" si="10"/>
        <v>Miami Heat</v>
      </c>
      <c r="D231" s="177">
        <v>118</v>
      </c>
      <c r="E231" s="336">
        <v>143</v>
      </c>
      <c r="F231" s="327">
        <f t="shared" si="11"/>
        <v>1</v>
      </c>
      <c r="G231" s="177" t="str">
        <f t="shared" si="12"/>
        <v>Chicago Bulls</v>
      </c>
      <c r="H231" s="177">
        <v>123</v>
      </c>
      <c r="I231" s="336">
        <v>107</v>
      </c>
      <c r="J231" s="327">
        <f t="shared" si="13"/>
        <v>0</v>
      </c>
      <c r="K231" s="177">
        <f t="shared" si="14"/>
        <v>241</v>
      </c>
      <c r="L231" s="336">
        <f t="shared" si="15"/>
        <v>250</v>
      </c>
      <c r="M231" s="327">
        <f t="shared" si="16"/>
        <v>1</v>
      </c>
      <c r="N231" s="337">
        <f t="shared" si="17"/>
        <v>5</v>
      </c>
      <c r="O231" s="395">
        <f t="shared" si="18"/>
        <v>-36</v>
      </c>
      <c r="P231" s="289">
        <f t="shared" si="19"/>
        <v>0</v>
      </c>
      <c r="Q231" s="460">
        <f>WEEKNUM(tblResultadosNBA[[#This Row],[Fecha]],2)</f>
        <v>47</v>
      </c>
      <c r="R231" s="468" t="str">
        <f>TEXT(tblResultadosNBA[[#This Row],[Fecha]],"mmm")</f>
        <v>nov</v>
      </c>
    </row>
    <row r="232" spans="1:18">
      <c r="A232" s="441">
        <v>45982</v>
      </c>
      <c r="B232" s="302" t="s">
        <v>508</v>
      </c>
      <c r="C232" s="177" t="str">
        <f t="shared" si="10"/>
        <v>New Orleans Pelicans</v>
      </c>
      <c r="D232" s="177">
        <v>100</v>
      </c>
      <c r="E232" s="336">
        <v>115</v>
      </c>
      <c r="F232" s="327">
        <f t="shared" si="11"/>
        <v>1</v>
      </c>
      <c r="G232" s="177" t="str">
        <f t="shared" si="12"/>
        <v>Dallas Mavericks</v>
      </c>
      <c r="H232" s="177">
        <v>105</v>
      </c>
      <c r="I232" s="336">
        <v>118</v>
      </c>
      <c r="J232" s="327">
        <f t="shared" si="13"/>
        <v>1</v>
      </c>
      <c r="K232" s="177">
        <f t="shared" si="14"/>
        <v>205</v>
      </c>
      <c r="L232" s="336">
        <f t="shared" si="15"/>
        <v>233</v>
      </c>
      <c r="M232" s="327">
        <f t="shared" si="16"/>
        <v>1</v>
      </c>
      <c r="N232" s="337">
        <f t="shared" si="17"/>
        <v>5</v>
      </c>
      <c r="O232" s="395">
        <f t="shared" si="18"/>
        <v>3</v>
      </c>
      <c r="P232" s="289">
        <f t="shared" si="19"/>
        <v>1</v>
      </c>
      <c r="Q232" s="460">
        <f>WEEKNUM(tblResultadosNBA[[#This Row],[Fecha]],2)</f>
        <v>47</v>
      </c>
      <c r="R232" s="468" t="str">
        <f>TEXT(tblResultadosNBA[[#This Row],[Fecha]],"mmm")</f>
        <v>nov</v>
      </c>
    </row>
    <row r="233" spans="1:18">
      <c r="A233" s="441">
        <v>45982</v>
      </c>
      <c r="B233" s="302" t="s">
        <v>87</v>
      </c>
      <c r="C233" s="177" t="str">
        <f t="shared" si="10"/>
        <v>Minnesota Timberwolves</v>
      </c>
      <c r="D233" s="177">
        <v>115</v>
      </c>
      <c r="E233" s="336">
        <v>113</v>
      </c>
      <c r="F233" s="327">
        <f t="shared" si="11"/>
        <v>0</v>
      </c>
      <c r="G233" s="177" t="str">
        <f t="shared" si="12"/>
        <v>Phoenix Suns</v>
      </c>
      <c r="H233" s="177">
        <v>119</v>
      </c>
      <c r="I233" s="336">
        <v>114</v>
      </c>
      <c r="J233" s="327">
        <f t="shared" si="13"/>
        <v>0</v>
      </c>
      <c r="K233" s="177">
        <f t="shared" si="14"/>
        <v>234</v>
      </c>
      <c r="L233" s="336">
        <f t="shared" si="15"/>
        <v>227</v>
      </c>
      <c r="M233" s="327">
        <f t="shared" si="16"/>
        <v>0</v>
      </c>
      <c r="N233" s="337">
        <f t="shared" si="17"/>
        <v>4</v>
      </c>
      <c r="O233" s="395">
        <f t="shared" si="18"/>
        <v>1</v>
      </c>
      <c r="P233" s="289">
        <f t="shared" si="19"/>
        <v>1</v>
      </c>
      <c r="Q233" s="460">
        <f>WEEKNUM(tblResultadosNBA[[#This Row],[Fecha]],2)</f>
        <v>47</v>
      </c>
      <c r="R233" s="468" t="str">
        <f>TEXT(tblResultadosNBA[[#This Row],[Fecha]],"mmm")</f>
        <v>nov</v>
      </c>
    </row>
    <row r="234" spans="1:18">
      <c r="A234" s="441">
        <v>45982</v>
      </c>
      <c r="B234" s="302" t="s">
        <v>552</v>
      </c>
      <c r="C234" s="177" t="str">
        <f t="shared" si="10"/>
        <v>Denver Nuggets</v>
      </c>
      <c r="D234" s="177">
        <v>115</v>
      </c>
      <c r="E234" s="336">
        <v>112</v>
      </c>
      <c r="F234" s="327">
        <f t="shared" si="11"/>
        <v>0</v>
      </c>
      <c r="G234" s="177" t="str">
        <f t="shared" si="12"/>
        <v>Houston Rockets</v>
      </c>
      <c r="H234" s="177">
        <v>107</v>
      </c>
      <c r="I234" s="336">
        <v>109</v>
      </c>
      <c r="J234" s="327">
        <f t="shared" si="13"/>
        <v>1</v>
      </c>
      <c r="K234" s="177">
        <f t="shared" si="14"/>
        <v>222</v>
      </c>
      <c r="L234" s="336">
        <f t="shared" si="15"/>
        <v>221</v>
      </c>
      <c r="M234" s="327">
        <f t="shared" si="16"/>
        <v>0</v>
      </c>
      <c r="N234" s="337">
        <f t="shared" si="17"/>
        <v>-8</v>
      </c>
      <c r="O234" s="395">
        <f t="shared" si="18"/>
        <v>-3</v>
      </c>
      <c r="P234" s="289">
        <f t="shared" si="19"/>
        <v>1</v>
      </c>
      <c r="Q234" s="460">
        <f>WEEKNUM(tblResultadosNBA[[#This Row],[Fecha]],2)</f>
        <v>47</v>
      </c>
      <c r="R234" s="468" t="str">
        <f>TEXT(tblResultadosNBA[[#This Row],[Fecha]],"mmm")</f>
        <v>nov</v>
      </c>
    </row>
    <row r="235" spans="1:18">
      <c r="A235" s="442">
        <v>45982</v>
      </c>
      <c r="B235" s="328" t="s">
        <v>164</v>
      </c>
      <c r="C235" s="299" t="str">
        <f t="shared" si="10"/>
        <v>Oklahoma City Thunder</v>
      </c>
      <c r="D235" s="299">
        <v>107</v>
      </c>
      <c r="E235" s="309">
        <v>144</v>
      </c>
      <c r="F235" s="334">
        <f t="shared" si="11"/>
        <v>1</v>
      </c>
      <c r="G235" s="299" t="str">
        <f t="shared" si="12"/>
        <v>Utah Jazz</v>
      </c>
      <c r="H235" s="299">
        <v>103</v>
      </c>
      <c r="I235" s="309">
        <v>112</v>
      </c>
      <c r="J235" s="334">
        <f t="shared" si="13"/>
        <v>1</v>
      </c>
      <c r="K235" s="299">
        <f t="shared" si="14"/>
        <v>210</v>
      </c>
      <c r="L235" s="309">
        <f t="shared" si="15"/>
        <v>256</v>
      </c>
      <c r="M235" s="334">
        <f t="shared" si="16"/>
        <v>1</v>
      </c>
      <c r="N235" s="321">
        <f t="shared" si="17"/>
        <v>-4</v>
      </c>
      <c r="O235" s="457">
        <f t="shared" si="18"/>
        <v>-32</v>
      </c>
      <c r="P235" s="289">
        <f t="shared" si="19"/>
        <v>1</v>
      </c>
      <c r="Q235" s="460">
        <f>WEEKNUM(tblResultadosNBA[[#This Row],[Fecha]],2)</f>
        <v>47</v>
      </c>
      <c r="R235" s="468" t="str">
        <f>TEXT(tblResultadosNBA[[#This Row],[Fecha]],"mmm")</f>
        <v>nov</v>
      </c>
    </row>
    <row r="236" spans="1:18">
      <c r="A236" s="442">
        <v>45983</v>
      </c>
      <c r="B236" s="328" t="s">
        <v>88</v>
      </c>
      <c r="C236" s="299" t="str">
        <f t="shared" si="10"/>
        <v>Portland Trail Blazers</v>
      </c>
      <c r="D236" s="299">
        <v>118</v>
      </c>
      <c r="E236" s="309">
        <v>127</v>
      </c>
      <c r="F236" s="334">
        <f t="shared" si="11"/>
        <v>1</v>
      </c>
      <c r="G236" s="299" t="str">
        <f t="shared" si="12"/>
        <v>Golden State Warriors</v>
      </c>
      <c r="H236" s="299">
        <v>122</v>
      </c>
      <c r="I236" s="309">
        <v>123</v>
      </c>
      <c r="J236" s="334">
        <f t="shared" si="13"/>
        <v>1</v>
      </c>
      <c r="K236" s="299">
        <f t="shared" si="14"/>
        <v>240</v>
      </c>
      <c r="L236" s="309">
        <f t="shared" ref="L236" si="20">E236+I236</f>
        <v>250</v>
      </c>
      <c r="M236" s="334">
        <f t="shared" ref="M236" si="21">IF(L236&gt;K236, 1, 0)</f>
        <v>1</v>
      </c>
      <c r="N236" s="321">
        <f t="shared" ref="N236" si="22">(+H236-D236)</f>
        <v>4</v>
      </c>
      <c r="O236" s="457">
        <f t="shared" ref="O236" si="23">I236-E236</f>
        <v>-4</v>
      </c>
      <c r="P236" s="289">
        <f t="shared" ref="P236" si="24">IF(OR(AND(N236&gt;0,O236&gt;0),AND(N236&lt;0,O236&lt;0)),1,0)</f>
        <v>0</v>
      </c>
      <c r="Q236" s="460">
        <f>WEEKNUM(tblResultadosNBA[[#This Row],[Fecha]],2)</f>
        <v>47</v>
      </c>
      <c r="R236" s="468" t="str">
        <f>TEXT(tblResultadosNBA[[#This Row],[Fecha]],"mmm")</f>
        <v>nov</v>
      </c>
    </row>
    <row r="237" spans="1:18">
      <c r="A237" s="465">
        <v>45983</v>
      </c>
      <c r="B237" s="330" t="s">
        <v>89</v>
      </c>
      <c r="C237" s="312" t="str">
        <f>LEFT(B237,FIND("@",B237)-2)</f>
        <v>LA Clippers</v>
      </c>
      <c r="D237" s="312">
        <v>126</v>
      </c>
      <c r="E237" s="362">
        <v>131</v>
      </c>
      <c r="F237" s="339">
        <f>IF(E237&gt;D237, 1, 0)</f>
        <v>1</v>
      </c>
      <c r="G237" s="312" t="str">
        <f>MID(B237,FIND("@",B237)+2,LEN(B237)-FIND("@",B237)-1)</f>
        <v>Charlotte Hornets</v>
      </c>
      <c r="H237" s="312">
        <v>114</v>
      </c>
      <c r="I237" s="362">
        <v>116</v>
      </c>
      <c r="J237" s="339">
        <f>IF(I237&gt;H237, 1, 0)</f>
        <v>1</v>
      </c>
      <c r="K237" s="312">
        <f>+D237+H237</f>
        <v>240</v>
      </c>
      <c r="L237" s="362">
        <f>E237+I237</f>
        <v>247</v>
      </c>
      <c r="M237" s="339">
        <f>IF(L237&gt;K237, 1, 0)</f>
        <v>1</v>
      </c>
      <c r="N237" s="363">
        <f>(+H237-D237)</f>
        <v>-12</v>
      </c>
      <c r="O237" s="472">
        <f>I237-E237</f>
        <v>-15</v>
      </c>
      <c r="P237" s="440">
        <f>IF(OR(AND(N237&gt;0,O237&gt;0),AND(N237&lt;0,O237&lt;0)),1,0)</f>
        <v>1</v>
      </c>
      <c r="Q237" s="466">
        <f>WEEKNUM(tblResultadosNBA[[#This Row],[Fecha]],2)</f>
        <v>47</v>
      </c>
      <c r="R237" s="467" t="str">
        <f>TEXT(tblResultadosNBA[[#This Row],[Fecha]],"mmm")</f>
        <v>nov</v>
      </c>
    </row>
    <row r="238" spans="1:18">
      <c r="A238" s="441">
        <v>45983</v>
      </c>
      <c r="B238" s="302" t="s">
        <v>553</v>
      </c>
      <c r="C238" s="177" t="str">
        <f t="shared" ref="C238:C243" si="25">LEFT(B238,FIND("@",B238)-2)</f>
        <v>New York Knicks</v>
      </c>
      <c r="D238" s="177">
        <v>109</v>
      </c>
      <c r="E238" s="336">
        <v>121</v>
      </c>
      <c r="F238" s="327">
        <f t="shared" ref="F238:F243" si="26">IF(E238&gt;D238, 1, 0)</f>
        <v>1</v>
      </c>
      <c r="G238" s="177" t="str">
        <f t="shared" ref="G238:G243" si="27">MID(B238,FIND("@",B238)+2,LEN(B238)-FIND("@",B238)-1)</f>
        <v>Orlando Magic</v>
      </c>
      <c r="H238" s="177">
        <v>113</v>
      </c>
      <c r="I238" s="336">
        <v>133</v>
      </c>
      <c r="J238" s="327">
        <f t="shared" ref="J238:J243" si="28">IF(I238&gt;H238, 1, 0)</f>
        <v>1</v>
      </c>
      <c r="K238" s="177">
        <f t="shared" ref="K238:K243" si="29">+D238+H238</f>
        <v>222</v>
      </c>
      <c r="L238" s="336">
        <f t="shared" ref="L238:L243" si="30">E238+I238</f>
        <v>254</v>
      </c>
      <c r="M238" s="327">
        <f t="shared" ref="M238:M243" si="31">IF(L238&gt;K238, 1, 0)</f>
        <v>1</v>
      </c>
      <c r="N238" s="337">
        <f t="shared" ref="N238:N243" si="32">(+H238-D238)</f>
        <v>4</v>
      </c>
      <c r="O238" s="395">
        <f t="shared" ref="O238:O243" si="33">I238-E238</f>
        <v>12</v>
      </c>
      <c r="P238" s="289">
        <f t="shared" ref="P238:P243" si="34">IF(OR(AND(N238&gt;0,O238&gt;0),AND(N238&lt;0,O238&lt;0)),1,0)</f>
        <v>1</v>
      </c>
      <c r="Q238" s="460">
        <f>WEEKNUM(tblResultadosNBA[[#This Row],[Fecha]],2)</f>
        <v>47</v>
      </c>
      <c r="R238" s="468" t="str">
        <f>TEXT(tblResultadosNBA[[#This Row],[Fecha]],"mmm")</f>
        <v>nov</v>
      </c>
    </row>
    <row r="239" spans="1:18">
      <c r="A239" s="441">
        <v>45983</v>
      </c>
      <c r="B239" s="302" t="s">
        <v>90</v>
      </c>
      <c r="C239" s="177" t="str">
        <f t="shared" si="25"/>
        <v>Atlanta Hawks</v>
      </c>
      <c r="D239" s="177">
        <v>111</v>
      </c>
      <c r="E239" s="336">
        <v>115</v>
      </c>
      <c r="F239" s="327">
        <f t="shared" si="26"/>
        <v>1</v>
      </c>
      <c r="G239" s="177" t="str">
        <f t="shared" si="27"/>
        <v>New Orleans Pelicans</v>
      </c>
      <c r="H239" s="177">
        <v>117</v>
      </c>
      <c r="I239" s="336">
        <v>98</v>
      </c>
      <c r="J239" s="327">
        <f t="shared" si="28"/>
        <v>0</v>
      </c>
      <c r="K239" s="177">
        <f t="shared" si="29"/>
        <v>228</v>
      </c>
      <c r="L239" s="336">
        <f t="shared" si="30"/>
        <v>213</v>
      </c>
      <c r="M239" s="327">
        <f t="shared" si="31"/>
        <v>0</v>
      </c>
      <c r="N239" s="337">
        <f t="shared" si="32"/>
        <v>6</v>
      </c>
      <c r="O239" s="395">
        <f t="shared" si="33"/>
        <v>-17</v>
      </c>
      <c r="P239" s="289">
        <f t="shared" si="34"/>
        <v>0</v>
      </c>
      <c r="Q239" s="460">
        <f>WEEKNUM(tblResultadosNBA[[#This Row],[Fecha]],2)</f>
        <v>47</v>
      </c>
      <c r="R239" s="468" t="str">
        <f>TEXT(tblResultadosNBA[[#This Row],[Fecha]],"mmm")</f>
        <v>nov</v>
      </c>
    </row>
    <row r="240" spans="1:18">
      <c r="A240" s="441">
        <v>45983</v>
      </c>
      <c r="B240" s="302" t="s">
        <v>554</v>
      </c>
      <c r="C240" s="177" t="str">
        <f t="shared" si="25"/>
        <v>Washington Wizards</v>
      </c>
      <c r="D240" s="177">
        <v>117</v>
      </c>
      <c r="E240" s="336">
        <v>120</v>
      </c>
      <c r="F240" s="327">
        <f t="shared" si="26"/>
        <v>1</v>
      </c>
      <c r="G240" s="177" t="str">
        <f t="shared" si="27"/>
        <v>Chicago Bulls</v>
      </c>
      <c r="H240" s="177">
        <v>119</v>
      </c>
      <c r="I240" s="336">
        <v>121</v>
      </c>
      <c r="J240" s="327">
        <f t="shared" si="28"/>
        <v>1</v>
      </c>
      <c r="K240" s="177">
        <f t="shared" si="29"/>
        <v>236</v>
      </c>
      <c r="L240" s="336">
        <f t="shared" si="30"/>
        <v>241</v>
      </c>
      <c r="M240" s="327">
        <f t="shared" si="31"/>
        <v>1</v>
      </c>
      <c r="N240" s="337">
        <f t="shared" si="32"/>
        <v>2</v>
      </c>
      <c r="O240" s="395">
        <f t="shared" si="33"/>
        <v>1</v>
      </c>
      <c r="P240" s="289">
        <f t="shared" si="34"/>
        <v>1</v>
      </c>
      <c r="Q240" s="460">
        <f>WEEKNUM(tblResultadosNBA[[#This Row],[Fecha]],2)</f>
        <v>47</v>
      </c>
      <c r="R240" s="468" t="str">
        <f>TEXT(tblResultadosNBA[[#This Row],[Fecha]],"mmm")</f>
        <v>nov</v>
      </c>
    </row>
    <row r="241" spans="1:18">
      <c r="A241" s="441">
        <v>45983</v>
      </c>
      <c r="B241" s="302" t="s">
        <v>91</v>
      </c>
      <c r="C241" s="177" t="str">
        <f t="shared" si="25"/>
        <v>Detroit Pistons</v>
      </c>
      <c r="D241" s="177">
        <v>105</v>
      </c>
      <c r="E241" s="336">
        <v>129</v>
      </c>
      <c r="F241" s="327">
        <f t="shared" si="26"/>
        <v>1</v>
      </c>
      <c r="G241" s="177" t="str">
        <f t="shared" si="27"/>
        <v>Milwaukee Bucks</v>
      </c>
      <c r="H241" s="177">
        <v>117</v>
      </c>
      <c r="I241" s="336">
        <v>116</v>
      </c>
      <c r="J241" s="327">
        <f t="shared" si="28"/>
        <v>0</v>
      </c>
      <c r="K241" s="177">
        <f t="shared" si="29"/>
        <v>222</v>
      </c>
      <c r="L241" s="336">
        <f t="shared" si="30"/>
        <v>245</v>
      </c>
      <c r="M241" s="327">
        <f t="shared" si="31"/>
        <v>1</v>
      </c>
      <c r="N241" s="337">
        <f t="shared" si="32"/>
        <v>12</v>
      </c>
      <c r="O241" s="395">
        <f t="shared" si="33"/>
        <v>-13</v>
      </c>
      <c r="P241" s="289">
        <f t="shared" si="34"/>
        <v>0</v>
      </c>
      <c r="Q241" s="460">
        <f>WEEKNUM(tblResultadosNBA[[#This Row],[Fecha]],2)</f>
        <v>47</v>
      </c>
      <c r="R241" s="468" t="str">
        <f>TEXT(tblResultadosNBA[[#This Row],[Fecha]],"mmm")</f>
        <v>nov</v>
      </c>
    </row>
    <row r="242" spans="1:18">
      <c r="A242" s="441">
        <v>45983</v>
      </c>
      <c r="B242" s="302" t="s">
        <v>92</v>
      </c>
      <c r="C242" s="177" t="str">
        <f t="shared" si="25"/>
        <v>Memphis Grizzlies</v>
      </c>
      <c r="D242" s="177">
        <v>110</v>
      </c>
      <c r="E242" s="336">
        <v>103</v>
      </c>
      <c r="F242" s="327">
        <f t="shared" si="26"/>
        <v>0</v>
      </c>
      <c r="G242" s="177" t="str">
        <f t="shared" si="27"/>
        <v>Dallas Mavericks</v>
      </c>
      <c r="H242" s="177">
        <v>115</v>
      </c>
      <c r="I242" s="336">
        <v>96</v>
      </c>
      <c r="J242" s="327">
        <f t="shared" si="28"/>
        <v>0</v>
      </c>
      <c r="K242" s="177">
        <f t="shared" si="29"/>
        <v>225</v>
      </c>
      <c r="L242" s="336">
        <f t="shared" si="30"/>
        <v>199</v>
      </c>
      <c r="M242" s="327">
        <f t="shared" si="31"/>
        <v>0</v>
      </c>
      <c r="N242" s="337">
        <f t="shared" si="32"/>
        <v>5</v>
      </c>
      <c r="O242" s="395">
        <f t="shared" si="33"/>
        <v>-7</v>
      </c>
      <c r="P242" s="289">
        <f t="shared" si="34"/>
        <v>0</v>
      </c>
      <c r="Q242" s="460">
        <f>WEEKNUM(tblResultadosNBA[[#This Row],[Fecha]],2)</f>
        <v>47</v>
      </c>
      <c r="R242" s="468" t="str">
        <f>TEXT(tblResultadosNBA[[#This Row],[Fecha]],"mmm")</f>
        <v>nov</v>
      </c>
    </row>
    <row r="243" spans="1:18">
      <c r="A243" s="429">
        <v>45983</v>
      </c>
      <c r="B243" s="331" t="s">
        <v>495</v>
      </c>
      <c r="C243" s="286" t="str">
        <f t="shared" si="25"/>
        <v>Sacramento Kings</v>
      </c>
      <c r="D243" s="286">
        <v>110</v>
      </c>
      <c r="E243" s="431">
        <v>128</v>
      </c>
      <c r="F243" s="332">
        <f t="shared" si="26"/>
        <v>1</v>
      </c>
      <c r="G243" s="286" t="str">
        <f t="shared" si="27"/>
        <v>Denver Nuggets</v>
      </c>
      <c r="H243" s="286">
        <v>122</v>
      </c>
      <c r="I243" s="431">
        <v>123</v>
      </c>
      <c r="J243" s="332">
        <f t="shared" si="28"/>
        <v>1</v>
      </c>
      <c r="K243" s="286">
        <f t="shared" si="29"/>
        <v>232</v>
      </c>
      <c r="L243" s="431">
        <f t="shared" si="30"/>
        <v>251</v>
      </c>
      <c r="M243" s="332">
        <f t="shared" si="31"/>
        <v>1</v>
      </c>
      <c r="N243" s="432">
        <f t="shared" si="32"/>
        <v>12</v>
      </c>
      <c r="O243" s="451">
        <f t="shared" si="33"/>
        <v>-5</v>
      </c>
      <c r="P243" s="433">
        <f t="shared" si="34"/>
        <v>0</v>
      </c>
      <c r="Q243" s="469">
        <f>WEEKNUM(tblResultadosNBA[[#This Row],[Fecha]],2)</f>
        <v>47</v>
      </c>
      <c r="R243" s="470" t="str">
        <f>TEXT(tblResultadosNBA[[#This Row],[Fecha]],"mmm")</f>
        <v>nov</v>
      </c>
    </row>
    <row r="244" spans="1:18">
      <c r="A244" s="439">
        <v>45984</v>
      </c>
      <c r="B244" s="422" t="s">
        <v>555</v>
      </c>
      <c r="C244" s="341" t="str">
        <f>LEFT(B244,FIND("@",B244)-2)</f>
        <v>Miami Heat</v>
      </c>
      <c r="D244" s="341">
        <v>126</v>
      </c>
      <c r="E244" s="342">
        <v>127</v>
      </c>
      <c r="F244" s="333">
        <f>IF(E244&gt;D244, 1, 0)</f>
        <v>1</v>
      </c>
      <c r="G244" s="341" t="str">
        <f>MID(B244,FIND("@",B244)+2,LEN(B244)-FIND("@",B244)-1)</f>
        <v>Philadelphia 76ers</v>
      </c>
      <c r="H244" s="341">
        <v>119</v>
      </c>
      <c r="I244" s="342">
        <v>117</v>
      </c>
      <c r="J244" s="333">
        <f>IF(I244&gt;H244, 1, 0)</f>
        <v>0</v>
      </c>
      <c r="K244" s="341">
        <f>+D244+H244</f>
        <v>245</v>
      </c>
      <c r="L244" s="342">
        <f>E244+I244</f>
        <v>244</v>
      </c>
      <c r="M244" s="333">
        <f>IF(L244&gt;K244, 1, 0)</f>
        <v>0</v>
      </c>
      <c r="N244" s="343">
        <f>(+H244-D244)</f>
        <v>-7</v>
      </c>
      <c r="O244" s="449">
        <f>I244-E244</f>
        <v>-10</v>
      </c>
      <c r="P244" s="289">
        <f>IF(OR(AND(N244&gt;0,O244&gt;0),AND(N244&lt;0,O244&lt;0)),1,0)</f>
        <v>1</v>
      </c>
      <c r="Q244" s="460">
        <f>WEEKNUM(tblResultadosNBA[[#This Row],[Fecha]],2)</f>
        <v>47</v>
      </c>
      <c r="R244" s="460" t="str">
        <f>TEXT(tblResultadosNBA[[#This Row],[Fecha]],"mmm")</f>
        <v>nov</v>
      </c>
    </row>
    <row r="245" spans="1:18">
      <c r="A245" s="419">
        <v>45984</v>
      </c>
      <c r="B245" s="302" t="s">
        <v>93</v>
      </c>
      <c r="C245" s="177" t="str">
        <f t="shared" ref="C245:C250" si="35">LEFT(B245,FIND("@",B245)-2)</f>
        <v>Charlotte Hornets</v>
      </c>
      <c r="D245" s="177">
        <v>116</v>
      </c>
      <c r="E245" s="336">
        <v>110</v>
      </c>
      <c r="F245" s="327">
        <f t="shared" ref="F245:F250" si="36">IF(E245&gt;D245, 1, 0)</f>
        <v>0</v>
      </c>
      <c r="G245" s="177" t="str">
        <f t="shared" ref="G245:G250" si="37">MID(B245,FIND("@",B245)+2,LEN(B245)-FIND("@",B245)-1)</f>
        <v>Atlanta Hawks</v>
      </c>
      <c r="H245" s="177">
        <v>121</v>
      </c>
      <c r="I245" s="336">
        <v>113</v>
      </c>
      <c r="J245" s="327">
        <f t="shared" ref="J245:J250" si="38">IF(I245&gt;H245, 1, 0)</f>
        <v>0</v>
      </c>
      <c r="K245" s="177">
        <f t="shared" ref="K245:K250" si="39">+D245+H245</f>
        <v>237</v>
      </c>
      <c r="L245" s="336">
        <f t="shared" ref="L245:L250" si="40">E245+I245</f>
        <v>223</v>
      </c>
      <c r="M245" s="327">
        <f t="shared" ref="M245:M250" si="41">IF(L245&gt;K245, 1, 0)</f>
        <v>0</v>
      </c>
      <c r="N245" s="337">
        <f t="shared" ref="N245:N250" si="42">(+H245-D245)</f>
        <v>5</v>
      </c>
      <c r="O245" s="395">
        <f t="shared" ref="O245:O250" si="43">I245-E245</f>
        <v>3</v>
      </c>
      <c r="P245" s="289">
        <f t="shared" ref="P245:P250" si="44">IF(OR(AND(N245&gt;0,O245&gt;0),AND(N245&lt;0,O245&lt;0)),1,0)</f>
        <v>1</v>
      </c>
      <c r="Q245" s="460">
        <f>WEEKNUM(tblResultadosNBA[[#This Row],[Fecha]],2)</f>
        <v>47</v>
      </c>
      <c r="R245" s="460" t="str">
        <f>TEXT(tblResultadosNBA[[#This Row],[Fecha]],"mmm")</f>
        <v>nov</v>
      </c>
    </row>
    <row r="246" spans="1:18">
      <c r="A246" s="419">
        <v>45984</v>
      </c>
      <c r="B246" s="302" t="s">
        <v>556</v>
      </c>
      <c r="C246" s="177" t="str">
        <f t="shared" si="35"/>
        <v>Orlando Magic</v>
      </c>
      <c r="D246" s="177">
        <v>101</v>
      </c>
      <c r="E246" s="336">
        <v>129</v>
      </c>
      <c r="F246" s="327">
        <f t="shared" si="36"/>
        <v>1</v>
      </c>
      <c r="G246" s="177" t="str">
        <f t="shared" si="37"/>
        <v>Boston Celtics</v>
      </c>
      <c r="H246" s="177">
        <v>114</v>
      </c>
      <c r="I246" s="336">
        <v>138</v>
      </c>
      <c r="J246" s="327">
        <f t="shared" si="38"/>
        <v>1</v>
      </c>
      <c r="K246" s="177">
        <f t="shared" si="39"/>
        <v>215</v>
      </c>
      <c r="L246" s="336">
        <f t="shared" si="40"/>
        <v>267</v>
      </c>
      <c r="M246" s="327">
        <f t="shared" si="41"/>
        <v>1</v>
      </c>
      <c r="N246" s="337">
        <f t="shared" si="42"/>
        <v>13</v>
      </c>
      <c r="O246" s="395">
        <f t="shared" si="43"/>
        <v>9</v>
      </c>
      <c r="P246" s="289">
        <f t="shared" si="44"/>
        <v>1</v>
      </c>
      <c r="Q246" s="460">
        <f>WEEKNUM(tblResultadosNBA[[#This Row],[Fecha]],2)</f>
        <v>47</v>
      </c>
      <c r="R246" s="460" t="str">
        <f>TEXT(tblResultadosNBA[[#This Row],[Fecha]],"mmm")</f>
        <v>nov</v>
      </c>
    </row>
    <row r="247" spans="1:18">
      <c r="A247" s="419">
        <v>45984</v>
      </c>
      <c r="B247" s="302" t="s">
        <v>94</v>
      </c>
      <c r="C247" s="177" t="str">
        <f t="shared" si="35"/>
        <v>LA Clippers</v>
      </c>
      <c r="D247" s="177">
        <v>114</v>
      </c>
      <c r="E247" s="336">
        <v>105</v>
      </c>
      <c r="F247" s="327">
        <f t="shared" si="36"/>
        <v>0</v>
      </c>
      <c r="G247" s="177" t="str">
        <f t="shared" si="37"/>
        <v>Cleveland Cavaliers</v>
      </c>
      <c r="H247" s="177">
        <v>119</v>
      </c>
      <c r="I247" s="336">
        <v>120</v>
      </c>
      <c r="J247" s="327">
        <f t="shared" si="38"/>
        <v>1</v>
      </c>
      <c r="K247" s="177">
        <f t="shared" si="39"/>
        <v>233</v>
      </c>
      <c r="L247" s="336">
        <f t="shared" si="40"/>
        <v>225</v>
      </c>
      <c r="M247" s="327">
        <f t="shared" si="41"/>
        <v>0</v>
      </c>
      <c r="N247" s="337">
        <f t="shared" si="42"/>
        <v>5</v>
      </c>
      <c r="O247" s="395">
        <f t="shared" si="43"/>
        <v>15</v>
      </c>
      <c r="P247" s="289">
        <f t="shared" si="44"/>
        <v>1</v>
      </c>
      <c r="Q247" s="460">
        <f>WEEKNUM(tblResultadosNBA[[#This Row],[Fecha]],2)</f>
        <v>47</v>
      </c>
      <c r="R247" s="460" t="str">
        <f>TEXT(tblResultadosNBA[[#This Row],[Fecha]],"mmm")</f>
        <v>nov</v>
      </c>
    </row>
    <row r="248" spans="1:18">
      <c r="A248" s="419">
        <v>45984</v>
      </c>
      <c r="B248" s="302" t="s">
        <v>557</v>
      </c>
      <c r="C248" s="177" t="str">
        <f t="shared" si="35"/>
        <v>Brooklyn Nets</v>
      </c>
      <c r="D248" s="177">
        <v>103</v>
      </c>
      <c r="E248" s="336">
        <v>109</v>
      </c>
      <c r="F248" s="327">
        <f t="shared" si="36"/>
        <v>1</v>
      </c>
      <c r="G248" s="177" t="str">
        <f t="shared" si="37"/>
        <v>Toronto Raptors</v>
      </c>
      <c r="H248" s="177">
        <v>112</v>
      </c>
      <c r="I248" s="336">
        <v>119</v>
      </c>
      <c r="J248" s="327">
        <f t="shared" si="38"/>
        <v>1</v>
      </c>
      <c r="K248" s="177">
        <f t="shared" si="39"/>
        <v>215</v>
      </c>
      <c r="L248" s="336">
        <f t="shared" si="40"/>
        <v>228</v>
      </c>
      <c r="M248" s="327">
        <f t="shared" si="41"/>
        <v>1</v>
      </c>
      <c r="N248" s="337">
        <f t="shared" si="42"/>
        <v>9</v>
      </c>
      <c r="O248" s="395">
        <f t="shared" si="43"/>
        <v>10</v>
      </c>
      <c r="P248" s="289">
        <f t="shared" si="44"/>
        <v>1</v>
      </c>
      <c r="Q248" s="460">
        <f>WEEKNUM(tblResultadosNBA[[#This Row],[Fecha]],2)</f>
        <v>47</v>
      </c>
      <c r="R248" s="460" t="str">
        <f>TEXT(tblResultadosNBA[[#This Row],[Fecha]],"mmm")</f>
        <v>nov</v>
      </c>
    </row>
    <row r="249" spans="1:18">
      <c r="A249" s="419">
        <v>45984</v>
      </c>
      <c r="B249" s="302" t="s">
        <v>95</v>
      </c>
      <c r="C249" s="177" t="str">
        <f t="shared" si="35"/>
        <v>Portland Trail Blazers</v>
      </c>
      <c r="D249" s="177">
        <v>108</v>
      </c>
      <c r="E249" s="336">
        <v>95</v>
      </c>
      <c r="F249" s="327">
        <f t="shared" si="36"/>
        <v>0</v>
      </c>
      <c r="G249" s="177" t="str">
        <f t="shared" si="37"/>
        <v>Oklahoma City Thunder</v>
      </c>
      <c r="H249" s="177">
        <v>121</v>
      </c>
      <c r="I249" s="336">
        <v>122</v>
      </c>
      <c r="J249" s="327">
        <f t="shared" si="38"/>
        <v>1</v>
      </c>
      <c r="K249" s="177">
        <f t="shared" si="39"/>
        <v>229</v>
      </c>
      <c r="L249" s="336">
        <f t="shared" si="40"/>
        <v>217</v>
      </c>
      <c r="M249" s="327">
        <f t="shared" si="41"/>
        <v>0</v>
      </c>
      <c r="N249" s="337">
        <f t="shared" si="42"/>
        <v>13</v>
      </c>
      <c r="O249" s="395">
        <f t="shared" si="43"/>
        <v>27</v>
      </c>
      <c r="P249" s="289">
        <f t="shared" si="44"/>
        <v>1</v>
      </c>
      <c r="Q249" s="460">
        <f>WEEKNUM(tblResultadosNBA[[#This Row],[Fecha]],2)</f>
        <v>47</v>
      </c>
      <c r="R249" s="460" t="str">
        <f>TEXT(tblResultadosNBA[[#This Row],[Fecha]],"mmm")</f>
        <v>nov</v>
      </c>
    </row>
    <row r="250" spans="1:18">
      <c r="A250" s="419">
        <v>45984</v>
      </c>
      <c r="B250" s="302" t="s">
        <v>96</v>
      </c>
      <c r="C250" s="177" t="str">
        <f t="shared" si="35"/>
        <v>San Antonio Spurs</v>
      </c>
      <c r="D250" s="177">
        <v>114</v>
      </c>
      <c r="E250" s="336">
        <v>102</v>
      </c>
      <c r="F250" s="327">
        <f t="shared" si="36"/>
        <v>0</v>
      </c>
      <c r="G250" s="177" t="str">
        <f t="shared" si="37"/>
        <v>Phoenix Suns</v>
      </c>
      <c r="H250" s="177">
        <v>119</v>
      </c>
      <c r="I250" s="336">
        <v>111</v>
      </c>
      <c r="J250" s="327">
        <f t="shared" si="38"/>
        <v>0</v>
      </c>
      <c r="K250" s="177">
        <f t="shared" si="39"/>
        <v>233</v>
      </c>
      <c r="L250" s="336">
        <f t="shared" si="40"/>
        <v>213</v>
      </c>
      <c r="M250" s="327">
        <f t="shared" si="41"/>
        <v>0</v>
      </c>
      <c r="N250" s="337">
        <f t="shared" si="42"/>
        <v>5</v>
      </c>
      <c r="O250" s="395">
        <f t="shared" si="43"/>
        <v>9</v>
      </c>
      <c r="P250" s="289">
        <f t="shared" si="44"/>
        <v>1</v>
      </c>
      <c r="Q250" s="460">
        <f>WEEKNUM(tblResultadosNBA[[#This Row],[Fecha]],2)</f>
        <v>47</v>
      </c>
      <c r="R250" s="460" t="str">
        <f>TEXT(tblResultadosNBA[[#This Row],[Fecha]],"mmm")</f>
        <v>nov</v>
      </c>
    </row>
    <row r="251" spans="1:18">
      <c r="A251" s="456">
        <v>45984</v>
      </c>
      <c r="B251" s="328" t="s">
        <v>194</v>
      </c>
      <c r="C251" s="286" t="str">
        <f>LEFT(B251,FIND("@",B251)-2)</f>
        <v>Los Angeles Lakers</v>
      </c>
      <c r="D251" s="286">
        <v>107</v>
      </c>
      <c r="E251" s="431">
        <v>108</v>
      </c>
      <c r="F251" s="332">
        <f>IF(E251&gt;D251, 1, 0)</f>
        <v>1</v>
      </c>
      <c r="G251" s="286" t="str">
        <f>MID(B251,FIND("@",B251)+2,LEN(B251)-FIND("@",B251)-1)</f>
        <v>Utah Jazz</v>
      </c>
      <c r="H251" s="286">
        <v>119</v>
      </c>
      <c r="I251" s="431">
        <v>106</v>
      </c>
      <c r="J251" s="332">
        <f>IF(I251&gt;H251, 1, 0)</f>
        <v>0</v>
      </c>
      <c r="K251" s="286">
        <f>+D251+H251</f>
        <v>226</v>
      </c>
      <c r="L251" s="431">
        <f>E251+I251</f>
        <v>214</v>
      </c>
      <c r="M251" s="332">
        <f>IF(L251&gt;K251, 1, 0)</f>
        <v>0</v>
      </c>
      <c r="N251" s="432">
        <f>(+H251-D251)</f>
        <v>12</v>
      </c>
      <c r="O251" s="451">
        <f>I251-E251</f>
        <v>-2</v>
      </c>
      <c r="P251" s="433">
        <f>IF(OR(AND(N251&gt;0,O251&gt;0),AND(N251&lt;0,O251&lt;0)),1,0)</f>
        <v>0</v>
      </c>
      <c r="Q251" s="460">
        <f>WEEKNUM(tblResultadosNBA[[#This Row],[Fecha]],2)</f>
        <v>47</v>
      </c>
      <c r="R251" s="460" t="str">
        <f>TEXT(tblResultadosNBA[[#This Row],[Fecha]],"mmm")</f>
        <v>nov</v>
      </c>
    </row>
    <row r="252" spans="1:18">
      <c r="A252" s="456">
        <v>45985</v>
      </c>
      <c r="B252" s="302" t="s">
        <v>98</v>
      </c>
      <c r="C252" s="341" t="str">
        <f>LEFT(B252,FIND("@",B252)-2)</f>
        <v>Detroit Pistons</v>
      </c>
      <c r="D252" s="341">
        <v>129</v>
      </c>
      <c r="E252" s="342">
        <v>122</v>
      </c>
      <c r="F252" s="333">
        <f>IF(E252&gt;D252, 1, 0)</f>
        <v>0</v>
      </c>
      <c r="G252" s="341" t="str">
        <f>MID(B252,FIND("@",B252)+2,LEN(B252)-FIND("@",B252)-1)</f>
        <v>Indiana Pacers</v>
      </c>
      <c r="H252" s="341">
        <v>119</v>
      </c>
      <c r="I252" s="342">
        <v>117</v>
      </c>
      <c r="J252" s="333">
        <f>IF(I252&gt;H252, 1, 0)</f>
        <v>0</v>
      </c>
      <c r="K252" s="341">
        <f>+D252+H252</f>
        <v>248</v>
      </c>
      <c r="L252" s="342">
        <f>E252+I252</f>
        <v>239</v>
      </c>
      <c r="M252" s="333">
        <f>IF(L252&gt;K252, 1, 0)</f>
        <v>0</v>
      </c>
      <c r="N252" s="343">
        <f>(+H252-D252)</f>
        <v>-10</v>
      </c>
      <c r="O252" s="449">
        <f>I252-E252</f>
        <v>-5</v>
      </c>
      <c r="P252" s="289">
        <f>IF(OR(AND(N252&gt;0,O252&gt;0),AND(N252&lt;0,O252&lt;0)),1,0)</f>
        <v>1</v>
      </c>
      <c r="Q252" s="460">
        <f>WEEKNUM(tblResultadosNBA[[#This Row],[Fecha]],2)</f>
        <v>48</v>
      </c>
      <c r="R252" s="460" t="str">
        <f>TEXT(tblResultadosNBA[[#This Row],[Fecha]],"mmm")</f>
        <v>nov</v>
      </c>
    </row>
    <row r="253" spans="1:18">
      <c r="A253" s="456">
        <v>45985</v>
      </c>
      <c r="B253" s="302" t="s">
        <v>558</v>
      </c>
      <c r="C253" s="177" t="str">
        <f t="shared" ref="C253:C260" si="45">LEFT(B253,FIND("@",B253)-2)</f>
        <v>Cleveland Cavaliers</v>
      </c>
      <c r="D253" s="177">
        <v>112</v>
      </c>
      <c r="E253" s="336">
        <v>99</v>
      </c>
      <c r="F253" s="327">
        <f t="shared" ref="F253:F260" si="46">IF(E253&gt;D253, 1, 0)</f>
        <v>0</v>
      </c>
      <c r="G253" s="177" t="str">
        <f t="shared" ref="G253:G260" si="47">MID(B253,FIND("@",B253)+2,LEN(B253)-FIND("@",B253)-1)</f>
        <v>Toronto Raptors</v>
      </c>
      <c r="H253" s="177">
        <v>118</v>
      </c>
      <c r="I253" s="336">
        <v>110</v>
      </c>
      <c r="J253" s="327">
        <f t="shared" ref="J253:J260" si="48">IF(I253&gt;H253, 1, 0)</f>
        <v>0</v>
      </c>
      <c r="K253" s="177">
        <f t="shared" ref="K253:K260" si="49">+D253+H253</f>
        <v>230</v>
      </c>
      <c r="L253" s="336">
        <f t="shared" ref="L253:L260" si="50">E253+I253</f>
        <v>209</v>
      </c>
      <c r="M253" s="327">
        <f t="shared" ref="M253:M260" si="51">IF(L253&gt;K253, 1, 0)</f>
        <v>0</v>
      </c>
      <c r="N253" s="337">
        <f t="shared" ref="N253:N260" si="52">(+H253-D253)</f>
        <v>6</v>
      </c>
      <c r="O253" s="395">
        <f t="shared" ref="O253:O260" si="53">I253-E253</f>
        <v>11</v>
      </c>
      <c r="P253" s="289">
        <f t="shared" ref="P253:P260" si="54">IF(OR(AND(N253&gt;0,O253&gt;0),AND(N253&lt;0,O253&lt;0)),1,0)</f>
        <v>1</v>
      </c>
      <c r="Q253" s="460">
        <f>WEEKNUM(tblResultadosNBA[[#This Row],[Fecha]],2)</f>
        <v>48</v>
      </c>
      <c r="R253" s="460" t="str">
        <f>TEXT(tblResultadosNBA[[#This Row],[Fecha]],"mmm")</f>
        <v>nov</v>
      </c>
    </row>
    <row r="254" spans="1:18">
      <c r="A254" s="456">
        <v>45985</v>
      </c>
      <c r="B254" s="302" t="s">
        <v>559</v>
      </c>
      <c r="C254" s="177" t="str">
        <f t="shared" si="45"/>
        <v>New York Knicks</v>
      </c>
      <c r="D254" s="177">
        <v>110</v>
      </c>
      <c r="E254" s="336">
        <v>113</v>
      </c>
      <c r="F254" s="327">
        <f t="shared" si="46"/>
        <v>1</v>
      </c>
      <c r="G254" s="177" t="str">
        <f t="shared" si="47"/>
        <v>Brooklyn Nets</v>
      </c>
      <c r="H254" s="177">
        <v>108</v>
      </c>
      <c r="I254" s="336">
        <v>100</v>
      </c>
      <c r="J254" s="327">
        <f t="shared" si="48"/>
        <v>0</v>
      </c>
      <c r="K254" s="177">
        <f t="shared" si="49"/>
        <v>218</v>
      </c>
      <c r="L254" s="336">
        <f t="shared" si="50"/>
        <v>213</v>
      </c>
      <c r="M254" s="327">
        <f t="shared" si="51"/>
        <v>0</v>
      </c>
      <c r="N254" s="337">
        <f t="shared" si="52"/>
        <v>-2</v>
      </c>
      <c r="O254" s="395">
        <f t="shared" si="53"/>
        <v>-13</v>
      </c>
      <c r="P254" s="289">
        <f t="shared" si="54"/>
        <v>1</v>
      </c>
      <c r="Q254" s="460">
        <f>WEEKNUM(tblResultadosNBA[[#This Row],[Fecha]],2)</f>
        <v>48</v>
      </c>
      <c r="R254" s="460" t="str">
        <f>TEXT(tblResultadosNBA[[#This Row],[Fecha]],"mmm")</f>
        <v>nov</v>
      </c>
    </row>
    <row r="255" spans="1:18">
      <c r="A255" s="456">
        <v>45985</v>
      </c>
      <c r="B255" s="302" t="s">
        <v>560</v>
      </c>
      <c r="C255" s="177" t="str">
        <f t="shared" si="45"/>
        <v>Dallas Mavericks</v>
      </c>
      <c r="D255" s="177">
        <v>111</v>
      </c>
      <c r="E255" s="336">
        <v>102</v>
      </c>
      <c r="F255" s="327">
        <f t="shared" si="46"/>
        <v>0</v>
      </c>
      <c r="G255" s="177" t="str">
        <f t="shared" si="47"/>
        <v>Miami Heat</v>
      </c>
      <c r="H255" s="177">
        <v>121</v>
      </c>
      <c r="I255" s="336">
        <v>106</v>
      </c>
      <c r="J255" s="327">
        <f t="shared" si="48"/>
        <v>0</v>
      </c>
      <c r="K255" s="177">
        <f t="shared" si="49"/>
        <v>232</v>
      </c>
      <c r="L255" s="336">
        <f t="shared" si="50"/>
        <v>208</v>
      </c>
      <c r="M255" s="327">
        <f t="shared" si="51"/>
        <v>0</v>
      </c>
      <c r="N255" s="337">
        <f t="shared" si="52"/>
        <v>10</v>
      </c>
      <c r="O255" s="395">
        <f t="shared" si="53"/>
        <v>4</v>
      </c>
      <c r="P255" s="289">
        <f t="shared" si="54"/>
        <v>1</v>
      </c>
      <c r="Q255" s="460">
        <f>WEEKNUM(tblResultadosNBA[[#This Row],[Fecha]],2)</f>
        <v>48</v>
      </c>
      <c r="R255" s="460" t="str">
        <f>TEXT(tblResultadosNBA[[#This Row],[Fecha]],"mmm")</f>
        <v>nov</v>
      </c>
    </row>
    <row r="256" spans="1:18">
      <c r="A256" s="456">
        <v>45985</v>
      </c>
      <c r="B256" s="302" t="s">
        <v>561</v>
      </c>
      <c r="C256" s="177" t="str">
        <f t="shared" si="45"/>
        <v>Denver Nuggets</v>
      </c>
      <c r="D256" s="177">
        <v>111</v>
      </c>
      <c r="E256" s="336">
        <v>125</v>
      </c>
      <c r="F256" s="327">
        <f t="shared" si="46"/>
        <v>1</v>
      </c>
      <c r="G256" s="177" t="str">
        <f t="shared" si="47"/>
        <v>Memphis Grizzlies</v>
      </c>
      <c r="H256" s="177">
        <v>106</v>
      </c>
      <c r="I256" s="336">
        <v>115</v>
      </c>
      <c r="J256" s="327">
        <f t="shared" si="48"/>
        <v>1</v>
      </c>
      <c r="K256" s="177">
        <f t="shared" si="49"/>
        <v>217</v>
      </c>
      <c r="L256" s="336">
        <f t="shared" si="50"/>
        <v>240</v>
      </c>
      <c r="M256" s="327">
        <f t="shared" si="51"/>
        <v>1</v>
      </c>
      <c r="N256" s="337">
        <f t="shared" si="52"/>
        <v>-5</v>
      </c>
      <c r="O256" s="395">
        <f t="shared" si="53"/>
        <v>-10</v>
      </c>
      <c r="P256" s="289">
        <f t="shared" si="54"/>
        <v>1</v>
      </c>
      <c r="Q256" s="460">
        <f>WEEKNUM(tblResultadosNBA[[#This Row],[Fecha]],2)</f>
        <v>48</v>
      </c>
      <c r="R256" s="460" t="str">
        <f>TEXT(tblResultadosNBA[[#This Row],[Fecha]],"mmm")</f>
        <v>nov</v>
      </c>
    </row>
    <row r="257" spans="1:18">
      <c r="A257" s="456">
        <v>45985</v>
      </c>
      <c r="B257" s="302" t="s">
        <v>99</v>
      </c>
      <c r="C257" s="177" t="str">
        <f t="shared" si="45"/>
        <v>Portland Trail Blazers</v>
      </c>
      <c r="D257" s="177">
        <v>111</v>
      </c>
      <c r="E257" s="336">
        <v>115</v>
      </c>
      <c r="F257" s="327">
        <f t="shared" si="46"/>
        <v>1</v>
      </c>
      <c r="G257" s="177" t="str">
        <f t="shared" si="47"/>
        <v>Milwaukee Bucks</v>
      </c>
      <c r="H257" s="177">
        <v>120</v>
      </c>
      <c r="I257" s="336">
        <v>103</v>
      </c>
      <c r="J257" s="327">
        <f t="shared" si="48"/>
        <v>0</v>
      </c>
      <c r="K257" s="177">
        <f t="shared" si="49"/>
        <v>231</v>
      </c>
      <c r="L257" s="336">
        <f t="shared" si="50"/>
        <v>218</v>
      </c>
      <c r="M257" s="327">
        <f t="shared" si="51"/>
        <v>0</v>
      </c>
      <c r="N257" s="337">
        <f t="shared" si="52"/>
        <v>9</v>
      </c>
      <c r="O257" s="395">
        <f t="shared" si="53"/>
        <v>-12</v>
      </c>
      <c r="P257" s="289">
        <f t="shared" si="54"/>
        <v>0</v>
      </c>
      <c r="Q257" s="460">
        <f>WEEKNUM(tblResultadosNBA[[#This Row],[Fecha]],2)</f>
        <v>48</v>
      </c>
      <c r="R257" s="460" t="str">
        <f>TEXT(tblResultadosNBA[[#This Row],[Fecha]],"mmm")</f>
        <v>nov</v>
      </c>
    </row>
    <row r="258" spans="1:18">
      <c r="A258" s="456">
        <v>45985</v>
      </c>
      <c r="B258" s="302" t="s">
        <v>562</v>
      </c>
      <c r="C258" s="177" t="str">
        <f t="shared" si="45"/>
        <v>Chicago Bulls</v>
      </c>
      <c r="D258" s="177">
        <v>117</v>
      </c>
      <c r="E258" s="336">
        <v>130</v>
      </c>
      <c r="F258" s="327">
        <f t="shared" si="46"/>
        <v>1</v>
      </c>
      <c r="G258" s="177" t="str">
        <f t="shared" si="47"/>
        <v>New Orleans Pelicans</v>
      </c>
      <c r="H258" s="177">
        <v>113</v>
      </c>
      <c r="I258" s="336">
        <v>143</v>
      </c>
      <c r="J258" s="327">
        <f t="shared" si="48"/>
        <v>1</v>
      </c>
      <c r="K258" s="177">
        <f t="shared" si="49"/>
        <v>230</v>
      </c>
      <c r="L258" s="336">
        <f t="shared" si="50"/>
        <v>273</v>
      </c>
      <c r="M258" s="327">
        <f t="shared" si="51"/>
        <v>1</v>
      </c>
      <c r="N258" s="337">
        <f t="shared" si="52"/>
        <v>-4</v>
      </c>
      <c r="O258" s="395">
        <f t="shared" si="53"/>
        <v>13</v>
      </c>
      <c r="P258" s="289">
        <f t="shared" si="54"/>
        <v>0</v>
      </c>
      <c r="Q258" s="460">
        <f>WEEKNUM(tblResultadosNBA[[#This Row],[Fecha]],2)</f>
        <v>48</v>
      </c>
      <c r="R258" s="460" t="str">
        <f>TEXT(tblResultadosNBA[[#This Row],[Fecha]],"mmm")</f>
        <v>nov</v>
      </c>
    </row>
    <row r="259" spans="1:18">
      <c r="A259" s="456">
        <v>45985</v>
      </c>
      <c r="B259" s="302" t="s">
        <v>100</v>
      </c>
      <c r="C259" s="177" t="str">
        <f t="shared" si="45"/>
        <v>Houston Rockets</v>
      </c>
      <c r="D259" s="177">
        <v>110</v>
      </c>
      <c r="E259" s="336">
        <v>114</v>
      </c>
      <c r="F259" s="327">
        <f t="shared" si="46"/>
        <v>1</v>
      </c>
      <c r="G259" s="177" t="str">
        <f t="shared" si="47"/>
        <v>Phoenix Suns</v>
      </c>
      <c r="H259" s="177">
        <v>113</v>
      </c>
      <c r="I259" s="336">
        <v>92</v>
      </c>
      <c r="J259" s="327">
        <f t="shared" si="48"/>
        <v>0</v>
      </c>
      <c r="K259" s="177">
        <f t="shared" si="49"/>
        <v>223</v>
      </c>
      <c r="L259" s="336">
        <f t="shared" si="50"/>
        <v>206</v>
      </c>
      <c r="M259" s="327">
        <f t="shared" si="51"/>
        <v>0</v>
      </c>
      <c r="N259" s="337">
        <f t="shared" si="52"/>
        <v>3</v>
      </c>
      <c r="O259" s="395">
        <f t="shared" si="53"/>
        <v>-22</v>
      </c>
      <c r="P259" s="289">
        <f t="shared" si="54"/>
        <v>0</v>
      </c>
      <c r="Q259" s="460">
        <f>WEEKNUM(tblResultadosNBA[[#This Row],[Fecha]],2)</f>
        <v>48</v>
      </c>
      <c r="R259" s="460" t="str">
        <f>TEXT(tblResultadosNBA[[#This Row],[Fecha]],"mmm")</f>
        <v>nov</v>
      </c>
    </row>
    <row r="260" spans="1:18">
      <c r="A260" s="456">
        <v>45985</v>
      </c>
      <c r="B260" s="302" t="s">
        <v>263</v>
      </c>
      <c r="C260" s="177" t="str">
        <f t="shared" si="45"/>
        <v>Utah Jazz</v>
      </c>
      <c r="D260" s="177">
        <v>115</v>
      </c>
      <c r="E260" s="336">
        <v>117</v>
      </c>
      <c r="F260" s="327">
        <f t="shared" si="46"/>
        <v>1</v>
      </c>
      <c r="G260" s="177" t="str">
        <f t="shared" si="47"/>
        <v>Golden State Warriors</v>
      </c>
      <c r="H260" s="177">
        <v>112</v>
      </c>
      <c r="I260" s="336">
        <v>134</v>
      </c>
      <c r="J260" s="327">
        <f t="shared" si="48"/>
        <v>1</v>
      </c>
      <c r="K260" s="177">
        <f t="shared" si="49"/>
        <v>227</v>
      </c>
      <c r="L260" s="336">
        <f t="shared" si="50"/>
        <v>251</v>
      </c>
      <c r="M260" s="327">
        <f t="shared" si="51"/>
        <v>1</v>
      </c>
      <c r="N260" s="337">
        <f t="shared" si="52"/>
        <v>-3</v>
      </c>
      <c r="O260" s="395">
        <f t="shared" si="53"/>
        <v>17</v>
      </c>
      <c r="P260" s="289">
        <f t="shared" si="54"/>
        <v>0</v>
      </c>
      <c r="Q260" s="460">
        <f>WEEKNUM(tblResultadosNBA[[#This Row],[Fecha]],2)</f>
        <v>48</v>
      </c>
      <c r="R260" s="460" t="str">
        <f>TEXT(tblResultadosNBA[[#This Row],[Fecha]],"mmm")</f>
        <v>nov</v>
      </c>
    </row>
    <row r="261" spans="1:18">
      <c r="A261" s="445">
        <v>45985</v>
      </c>
      <c r="B261" s="331" t="s">
        <v>101</v>
      </c>
      <c r="C261" s="286" t="str">
        <f>LEFT(B261,FIND("@",B261)-2)</f>
        <v>Minnesota Timberwolves</v>
      </c>
      <c r="D261" s="286">
        <v>118</v>
      </c>
      <c r="E261" s="431">
        <v>112</v>
      </c>
      <c r="F261" s="332">
        <f>IF(E261&gt;D261, 1, 0)</f>
        <v>0</v>
      </c>
      <c r="G261" s="286" t="str">
        <f>MID(B261,FIND("@",B261)+2,LEN(B261)-FIND("@",B261)-1)</f>
        <v>Sacramento Kings</v>
      </c>
      <c r="H261" s="286">
        <v>121</v>
      </c>
      <c r="I261" s="431">
        <v>117</v>
      </c>
      <c r="J261" s="332">
        <f>IF(I261&gt;H261, 1, 0)</f>
        <v>0</v>
      </c>
      <c r="K261" s="286">
        <f>+D261+H261</f>
        <v>239</v>
      </c>
      <c r="L261" s="431">
        <f>E261+I261</f>
        <v>229</v>
      </c>
      <c r="M261" s="332">
        <f>IF(L261&gt;K261, 1, 0)</f>
        <v>0</v>
      </c>
      <c r="N261" s="432">
        <f>(+H261-D261)</f>
        <v>3</v>
      </c>
      <c r="O261" s="451">
        <f>I261-E261</f>
        <v>5</v>
      </c>
      <c r="P261" s="433">
        <f>IF(OR(AND(N261&gt;0,O261&gt;0),AND(N261&lt;0,O261&lt;0)),1,0)</f>
        <v>1</v>
      </c>
      <c r="Q261" s="460">
        <f>WEEKNUM(tblResultadosNBA[[#This Row],[Fecha]],2)</f>
        <v>48</v>
      </c>
      <c r="R261" s="460" t="str">
        <f>TEXT(tblResultadosNBA[[#This Row],[Fecha]],"mmm")</f>
        <v>nov</v>
      </c>
    </row>
    <row r="262" spans="1:18">
      <c r="A262" s="476">
        <v>45986</v>
      </c>
      <c r="B262" s="422" t="s">
        <v>102</v>
      </c>
      <c r="C262" s="341" t="str">
        <f>LEFT(B262,FIND("@",B262)-2)</f>
        <v>Atlanta Hawks</v>
      </c>
      <c r="D262" s="341">
        <v>127</v>
      </c>
      <c r="E262" s="342">
        <v>113</v>
      </c>
      <c r="F262" s="333">
        <f>IF(E262&gt;D262, 1, 0)</f>
        <v>0</v>
      </c>
      <c r="G262" s="341" t="str">
        <f>MID(B262,FIND("@",B262)+2,LEN(B262)-FIND("@",B262)-1)</f>
        <v>Washington Wizards</v>
      </c>
      <c r="H262" s="341">
        <v>122</v>
      </c>
      <c r="I262" s="342">
        <v>132</v>
      </c>
      <c r="J262" s="333">
        <f>IF(I262&gt;H262, 1, 0)</f>
        <v>1</v>
      </c>
      <c r="K262" s="341">
        <f>+D262+H262</f>
        <v>249</v>
      </c>
      <c r="L262" s="342">
        <f>E262+I262</f>
        <v>245</v>
      </c>
      <c r="M262" s="333">
        <f>IF(L262&gt;K262, 1, 0)</f>
        <v>0</v>
      </c>
      <c r="N262" s="343">
        <f>(+H262-D262)</f>
        <v>-5</v>
      </c>
      <c r="O262" s="449">
        <f>I262-E262</f>
        <v>19</v>
      </c>
      <c r="P262" s="289">
        <f>IF(OR(AND(N262&gt;0,O262&gt;0),AND(N262&lt;0,O262&lt;0)),1,0)</f>
        <v>0</v>
      </c>
      <c r="Q262" s="460">
        <f>WEEKNUM(tblResultadosNBA[[#This Row],[Fecha]],2)</f>
        <v>48</v>
      </c>
      <c r="R262" s="460" t="str">
        <f>TEXT(tblResultadosNBA[[#This Row],[Fecha]],"mmm")</f>
        <v>nov</v>
      </c>
    </row>
    <row r="263" spans="1:18">
      <c r="A263" s="456">
        <v>45986</v>
      </c>
      <c r="B263" s="328" t="s">
        <v>103</v>
      </c>
      <c r="C263" s="299" t="str">
        <f>LEFT(B263,FIND("@",B263)-2)</f>
        <v>Orlando Magic</v>
      </c>
      <c r="D263" s="299">
        <v>113</v>
      </c>
      <c r="E263" s="309">
        <v>144</v>
      </c>
      <c r="F263" s="334">
        <f>IF(E263&gt;D263, 1, 0)</f>
        <v>1</v>
      </c>
      <c r="G263" s="299" t="str">
        <f>MID(B263,FIND("@",B263)+2,LEN(B263)-FIND("@",B263)-1)</f>
        <v>Philadelphia 76ers</v>
      </c>
      <c r="H263" s="299">
        <v>120</v>
      </c>
      <c r="I263" s="309">
        <v>103</v>
      </c>
      <c r="J263" s="334">
        <f>IF(I263&gt;H263, 1, 0)</f>
        <v>0</v>
      </c>
      <c r="K263" s="299">
        <f>+D263+H263</f>
        <v>233</v>
      </c>
      <c r="L263" s="309">
        <f>E263+I263</f>
        <v>247</v>
      </c>
      <c r="M263" s="334">
        <f>IF(L263&gt;K263, 1, 0)</f>
        <v>1</v>
      </c>
      <c r="N263" s="321">
        <f>(+H263-D263)</f>
        <v>7</v>
      </c>
      <c r="O263" s="457">
        <f>I263-E263</f>
        <v>-41</v>
      </c>
      <c r="P263" s="289">
        <f>IF(OR(AND(N263&gt;0,O263&gt;0),AND(N263&lt;0,O263&lt;0)),1,0)</f>
        <v>0</v>
      </c>
      <c r="Q263" s="460">
        <f>WEEKNUM(tblResultadosNBA[[#This Row],[Fecha]],2)</f>
        <v>48</v>
      </c>
      <c r="R263" s="460" t="str">
        <f>TEXT(tblResultadosNBA[[#This Row],[Fecha]],"mmm")</f>
        <v>nov</v>
      </c>
    </row>
    <row r="264" spans="1:18">
      <c r="A264" s="445">
        <v>45986</v>
      </c>
      <c r="B264" s="331" t="s">
        <v>563</v>
      </c>
      <c r="C264" s="286" t="str">
        <f>LEFT(B264,FIND("@",B264)-2)</f>
        <v>LA Clippers</v>
      </c>
      <c r="D264" s="286">
        <v>107</v>
      </c>
      <c r="E264" s="431">
        <v>118</v>
      </c>
      <c r="F264" s="332">
        <f>IF(E264&gt;D264, 1, 0)</f>
        <v>1</v>
      </c>
      <c r="G264" s="286" t="str">
        <f>MID(B264,FIND("@",B264)+2,LEN(B264)-FIND("@",B264)-1)</f>
        <v>Los Angeles Lakers</v>
      </c>
      <c r="H264" s="286">
        <v>111</v>
      </c>
      <c r="I264" s="431">
        <v>135</v>
      </c>
      <c r="J264" s="332">
        <f>IF(I264&gt;H264, 1, 0)</f>
        <v>1</v>
      </c>
      <c r="K264" s="286">
        <f>+D264+H264</f>
        <v>218</v>
      </c>
      <c r="L264" s="431">
        <f>E264+I264</f>
        <v>253</v>
      </c>
      <c r="M264" s="332">
        <f>IF(L264&gt;K264, 1, 0)</f>
        <v>1</v>
      </c>
      <c r="N264" s="432">
        <f>(+H264-D264)</f>
        <v>4</v>
      </c>
      <c r="O264" s="451">
        <f>I264-E264</f>
        <v>17</v>
      </c>
      <c r="P264" s="433">
        <f>IF(OR(AND(N264&gt;0,O264&gt;0),AND(N264&lt;0,O264&lt;0)),1,0)</f>
        <v>1</v>
      </c>
      <c r="Q264" s="460">
        <f>WEEKNUM(tblResultadosNBA[[#This Row],[Fecha]],2)</f>
        <v>48</v>
      </c>
      <c r="R264" s="460" t="str">
        <f>TEXT(tblResultadosNBA[[#This Row],[Fecha]],"mmm")</f>
        <v>nov</v>
      </c>
    </row>
    <row r="265" spans="1:18">
      <c r="A265" s="476">
        <v>45987</v>
      </c>
      <c r="B265" s="422" t="s">
        <v>105</v>
      </c>
      <c r="C265" s="341" t="str">
        <f>LEFT(B265,FIND("@",B265)-2)</f>
        <v>Detroit Pistons</v>
      </c>
      <c r="D265" s="341">
        <v>119</v>
      </c>
      <c r="E265" s="342">
        <v>114</v>
      </c>
      <c r="F265" s="333">
        <f>IF(E265&gt;D265, 1, 0)</f>
        <v>0</v>
      </c>
      <c r="G265" s="341" t="str">
        <f>MID(B265,FIND("@",B265)+2,LEN(B265)-FIND("@",B265)-1)</f>
        <v>Boston Celtics</v>
      </c>
      <c r="H265" s="341">
        <v>114</v>
      </c>
      <c r="I265" s="342">
        <v>117</v>
      </c>
      <c r="J265" s="333">
        <f>IF(I265&gt;H265, 1, 0)</f>
        <v>1</v>
      </c>
      <c r="K265" s="341">
        <f>+D265+H265</f>
        <v>233</v>
      </c>
      <c r="L265" s="342">
        <f>E265+I265</f>
        <v>231</v>
      </c>
      <c r="M265" s="333">
        <f>IF(L265&gt;K265, 1, 0)</f>
        <v>0</v>
      </c>
      <c r="N265" s="343">
        <f>(+H265-D265)</f>
        <v>-5</v>
      </c>
      <c r="O265" s="449">
        <f>I265-E265</f>
        <v>3</v>
      </c>
      <c r="P265" s="289">
        <f>IF(OR(AND(N265&gt;0,O265&gt;0),AND(N265&lt;0,O265&lt;0)),1,0)</f>
        <v>0</v>
      </c>
      <c r="Q265" s="460">
        <f>WEEKNUM(tblResultadosNBA[[#This Row],[Fecha]],2)</f>
        <v>48</v>
      </c>
      <c r="R265" s="460" t="str">
        <f>TEXT(tblResultadosNBA[[#This Row],[Fecha]],"mmm")</f>
        <v>nov</v>
      </c>
    </row>
    <row r="266" spans="1:18">
      <c r="A266" s="456">
        <v>45987</v>
      </c>
      <c r="B266" s="302" t="s">
        <v>564</v>
      </c>
      <c r="C266" s="177" t="str">
        <f>LEFT(B266,FIND("@",B266)-2)</f>
        <v>New York Knicks</v>
      </c>
      <c r="D266" s="177">
        <v>113</v>
      </c>
      <c r="E266" s="336">
        <v>129</v>
      </c>
      <c r="F266" s="327">
        <f>IF(E266&gt;D266, 1, 0)</f>
        <v>1</v>
      </c>
      <c r="G266" s="177" t="str">
        <f>MID(B266,FIND("@",B266)+2,LEN(B266)-FIND("@",B266)-1)</f>
        <v>Charlotte Hornets</v>
      </c>
      <c r="H266" s="177">
        <v>115</v>
      </c>
      <c r="I266" s="336">
        <v>101</v>
      </c>
      <c r="J266" s="327">
        <f>IF(I266&gt;H266, 1, 0)</f>
        <v>0</v>
      </c>
      <c r="K266" s="177">
        <f>+D266+H266</f>
        <v>228</v>
      </c>
      <c r="L266" s="336">
        <f>E266+I266</f>
        <v>230</v>
      </c>
      <c r="M266" s="327">
        <f>IF(L266&gt;K266, 1, 0)</f>
        <v>1</v>
      </c>
      <c r="N266" s="337">
        <f>(+H266-D266)</f>
        <v>2</v>
      </c>
      <c r="O266" s="395">
        <f>I266-E266</f>
        <v>-28</v>
      </c>
      <c r="P266" s="289">
        <f>IF(OR(AND(N266&gt;0,O266&gt;0),AND(N266&lt;0,O266&lt;0)),1,0)</f>
        <v>0</v>
      </c>
      <c r="Q266" s="460">
        <f>WEEKNUM(tblResultadosNBA[[#This Row],[Fecha]],2)</f>
        <v>48</v>
      </c>
      <c r="R266" s="460" t="str">
        <f>TEXT(tblResultadosNBA[[#This Row],[Fecha]],"mmm")</f>
        <v>nov</v>
      </c>
    </row>
    <row r="267" spans="1:18">
      <c r="A267" s="456">
        <v>45987</v>
      </c>
      <c r="B267" s="302" t="s">
        <v>565</v>
      </c>
      <c r="C267" s="177" t="str">
        <f>LEFT(B267,FIND("@",B267)-2)</f>
        <v>Milwaukee Bucks</v>
      </c>
      <c r="D267" s="177">
        <v>101</v>
      </c>
      <c r="E267" s="336">
        <v>103</v>
      </c>
      <c r="F267" s="327">
        <f>IF(E267&gt;D267, 1, 0)</f>
        <v>1</v>
      </c>
      <c r="G267" s="177" t="str">
        <f>MID(B267,FIND("@",B267)+2,LEN(B267)-FIND("@",B267)-1)</f>
        <v>Miami Heat</v>
      </c>
      <c r="H267" s="177">
        <v>127</v>
      </c>
      <c r="I267" s="336">
        <v>106</v>
      </c>
      <c r="J267" s="327">
        <f>IF(I267&gt;H267, 1, 0)</f>
        <v>0</v>
      </c>
      <c r="K267" s="177">
        <f>+D267+H267</f>
        <v>228</v>
      </c>
      <c r="L267" s="336">
        <f>E267+I267</f>
        <v>209</v>
      </c>
      <c r="M267" s="327">
        <f>IF(L267&gt;K267, 1, 0)</f>
        <v>0</v>
      </c>
      <c r="N267" s="337">
        <f>(+H267-D267)</f>
        <v>26</v>
      </c>
      <c r="O267" s="395">
        <f>I267-E267</f>
        <v>3</v>
      </c>
      <c r="P267" s="289">
        <f>IF(OR(AND(N267&gt;0,O267&gt;0),AND(N267&lt;0,O267&lt;0)),1,0)</f>
        <v>1</v>
      </c>
      <c r="Q267" s="460">
        <f>WEEKNUM(tblResultadosNBA[[#This Row],[Fecha]],2)</f>
        <v>48</v>
      </c>
      <c r="R267" s="460" t="str">
        <f>TEXT(tblResultadosNBA[[#This Row],[Fecha]],"mmm")</f>
        <v>nov</v>
      </c>
    </row>
    <row r="268" spans="1:18">
      <c r="A268" s="456">
        <v>45987</v>
      </c>
      <c r="B268" s="302" t="s">
        <v>106</v>
      </c>
      <c r="C268" s="177" t="str">
        <f>LEFT(B268,FIND("@",B268)-2)</f>
        <v>Indiana Pacers</v>
      </c>
      <c r="D268" s="177">
        <v>114</v>
      </c>
      <c r="E268" s="336">
        <v>85</v>
      </c>
      <c r="F268" s="327">
        <f>IF(E268&gt;D268, 1, 0)</f>
        <v>0</v>
      </c>
      <c r="G268" s="177" t="str">
        <f>MID(B268,FIND("@",B268)+2,LEN(B268)-FIND("@",B268)-1)</f>
        <v>Toronto Raptors</v>
      </c>
      <c r="H268" s="177">
        <v>125</v>
      </c>
      <c r="I268" s="336">
        <v>97</v>
      </c>
      <c r="J268" s="327">
        <f>IF(I268&gt;H268, 1, 0)</f>
        <v>0</v>
      </c>
      <c r="K268" s="177">
        <f>+D268+H268</f>
        <v>239</v>
      </c>
      <c r="L268" s="336">
        <f>E268+I268</f>
        <v>182</v>
      </c>
      <c r="M268" s="327">
        <f>IF(L268&gt;K268, 1, 0)</f>
        <v>0</v>
      </c>
      <c r="N268" s="337">
        <f>(+H268-D268)</f>
        <v>11</v>
      </c>
      <c r="O268" s="395">
        <f>I268-E268</f>
        <v>12</v>
      </c>
      <c r="P268" s="289">
        <f>IF(OR(AND(N268&gt;0,O268&gt;0),AND(N268&lt;0,O268&lt;0)),1,0)</f>
        <v>1</v>
      </c>
      <c r="Q268" s="460">
        <f>WEEKNUM(tblResultadosNBA[[#This Row],[Fecha]],2)</f>
        <v>48</v>
      </c>
      <c r="R268" s="460" t="str">
        <f>TEXT(tblResultadosNBA[[#This Row],[Fecha]],"mmm")</f>
        <v>nov</v>
      </c>
    </row>
    <row r="269" spans="1:18">
      <c r="A269" s="456">
        <v>45987</v>
      </c>
      <c r="B269" s="478" t="s">
        <v>107</v>
      </c>
      <c r="C269" s="177" t="str">
        <f>LEFT(B269,FIND("@",B269)-2)</f>
        <v>Minnesota Timberwolves</v>
      </c>
      <c r="D269" s="177">
        <v>116</v>
      </c>
      <c r="E269" s="336">
        <v>105</v>
      </c>
      <c r="F269" s="327">
        <f>IF(E269&gt;D269, 1, 0)</f>
        <v>0</v>
      </c>
      <c r="G269" s="177" t="str">
        <f>MID(B269,FIND("@",B269)+2,LEN(B269)-FIND("@",B269)-1)</f>
        <v>Oklahoma City Thunder</v>
      </c>
      <c r="H269" s="177">
        <v>110</v>
      </c>
      <c r="I269" s="336">
        <v>113</v>
      </c>
      <c r="J269" s="327">
        <f>IF(I269&gt;H269, 1, 0)</f>
        <v>1</v>
      </c>
      <c r="K269" s="177">
        <f>+D269+H269</f>
        <v>226</v>
      </c>
      <c r="L269" s="336">
        <f>E269+I269</f>
        <v>218</v>
      </c>
      <c r="M269" s="327">
        <f>IF(L269&gt;K269, 1, 0)</f>
        <v>0</v>
      </c>
      <c r="N269" s="337">
        <f>(+H269-D269)</f>
        <v>-6</v>
      </c>
      <c r="O269" s="395">
        <f>I269-E269</f>
        <v>8</v>
      </c>
      <c r="P269" s="289">
        <f>IF(OR(AND(N269&gt;0,O269&gt;0),AND(N269&lt;0,O269&lt;0)),1,0)</f>
        <v>0</v>
      </c>
      <c r="Q269" s="460">
        <f>WEEKNUM(tblResultadosNBA[[#This Row],[Fecha]],2)</f>
        <v>48</v>
      </c>
      <c r="R269" s="460" t="str">
        <f>TEXT(tblResultadosNBA[[#This Row],[Fecha]],"mmm")</f>
        <v>nov</v>
      </c>
    </row>
    <row r="270" spans="1:18">
      <c r="A270" s="456">
        <v>45987</v>
      </c>
      <c r="B270" s="302" t="s">
        <v>108</v>
      </c>
      <c r="C270" s="177" t="str">
        <f>LEFT(B270,FIND("@",B270)-2)</f>
        <v>Memphis Grizzlies</v>
      </c>
      <c r="D270" s="177">
        <v>114</v>
      </c>
      <c r="E270" s="336">
        <v>133</v>
      </c>
      <c r="F270" s="327">
        <f>IF(E270&gt;D270, 1, 0)</f>
        <v>1</v>
      </c>
      <c r="G270" s="177" t="str">
        <f>MID(B270,FIND("@",B270)+2,LEN(B270)-FIND("@",B270)-1)</f>
        <v>New Orleans Pelicans</v>
      </c>
      <c r="H270" s="177">
        <v>120</v>
      </c>
      <c r="I270" s="336">
        <v>128</v>
      </c>
      <c r="J270" s="327">
        <f>IF(I270&gt;H270, 1, 0)</f>
        <v>1</v>
      </c>
      <c r="K270" s="177">
        <f>+D270+H270</f>
        <v>234</v>
      </c>
      <c r="L270" s="336">
        <f>E270+I270</f>
        <v>261</v>
      </c>
      <c r="M270" s="327">
        <f>IF(L270&gt;K270, 1, 0)</f>
        <v>1</v>
      </c>
      <c r="N270" s="337">
        <f>(+H270-D270)</f>
        <v>6</v>
      </c>
      <c r="O270" s="395">
        <f>I270-E270</f>
        <v>-5</v>
      </c>
      <c r="P270" s="289">
        <f>IF(OR(AND(N270&gt;0,O270&gt;0),AND(N270&lt;0,O270&lt;0)),1,0)</f>
        <v>0</v>
      </c>
      <c r="Q270" s="460">
        <f>WEEKNUM(tblResultadosNBA[[#This Row],[Fecha]],2)</f>
        <v>48</v>
      </c>
      <c r="R270" s="460" t="str">
        <f>TEXT(tblResultadosNBA[[#This Row],[Fecha]],"mmm")</f>
        <v>nov</v>
      </c>
    </row>
    <row r="271" spans="1:18">
      <c r="A271" s="456">
        <v>45987</v>
      </c>
      <c r="B271" s="302" t="s">
        <v>109</v>
      </c>
      <c r="C271" s="177" t="str">
        <f>LEFT(B271,FIND("@",B271)-2)</f>
        <v>Houston Rockets</v>
      </c>
      <c r="D271" s="177">
        <v>115</v>
      </c>
      <c r="E271" s="336">
        <v>104</v>
      </c>
      <c r="F271" s="327">
        <f>IF(E271&gt;D271, 1, 0)</f>
        <v>0</v>
      </c>
      <c r="G271" s="177" t="str">
        <f>MID(B271,FIND("@",B271)+2,LEN(B271)-FIND("@",B271)-1)</f>
        <v>Golden State Warriors</v>
      </c>
      <c r="H271" s="177">
        <v>108</v>
      </c>
      <c r="I271" s="336">
        <v>100</v>
      </c>
      <c r="J271" s="327">
        <f>IF(I271&gt;H271, 1, 0)</f>
        <v>0</v>
      </c>
      <c r="K271" s="177">
        <f>+D271+H271</f>
        <v>223</v>
      </c>
      <c r="L271" s="336">
        <f>E271+I271</f>
        <v>204</v>
      </c>
      <c r="M271" s="327">
        <f>IF(L271&gt;K271, 1, 0)</f>
        <v>0</v>
      </c>
      <c r="N271" s="337">
        <f>(+H271-D271)</f>
        <v>-7</v>
      </c>
      <c r="O271" s="395">
        <f>I271-E271</f>
        <v>-4</v>
      </c>
      <c r="P271" s="289">
        <f>IF(OR(AND(N271&gt;0,O271&gt;0),AND(N271&lt;0,O271&lt;0)),1,0)</f>
        <v>1</v>
      </c>
      <c r="Q271" s="460">
        <f>WEEKNUM(tblResultadosNBA[[#This Row],[Fecha]],2)</f>
        <v>48</v>
      </c>
      <c r="R271" s="460" t="str">
        <f>TEXT(tblResultadosNBA[[#This Row],[Fecha]],"mmm")</f>
        <v>nov</v>
      </c>
    </row>
    <row r="272" spans="1:18">
      <c r="A272" s="456">
        <v>45987</v>
      </c>
      <c r="B272" s="302" t="s">
        <v>566</v>
      </c>
      <c r="C272" s="177" t="str">
        <f>LEFT(B272,FIND("@",B272)-2)</f>
        <v>San Antonio Spurs</v>
      </c>
      <c r="D272" s="177">
        <v>108</v>
      </c>
      <c r="E272" s="336">
        <v>115</v>
      </c>
      <c r="F272" s="327">
        <f>IF(E272&gt;D272, 1, 0)</f>
        <v>1</v>
      </c>
      <c r="G272" s="177" t="str">
        <f>MID(B272,FIND("@",B272)+2,LEN(B272)-FIND("@",B272)-1)</f>
        <v>Portland Trail Blazers</v>
      </c>
      <c r="H272" s="177">
        <v>104</v>
      </c>
      <c r="I272" s="336">
        <v>102</v>
      </c>
      <c r="J272" s="327">
        <f>IF(I272&gt;H272, 1, 0)</f>
        <v>0</v>
      </c>
      <c r="K272" s="177">
        <f>+D272+H272</f>
        <v>212</v>
      </c>
      <c r="L272" s="336">
        <f>E272+I272</f>
        <v>217</v>
      </c>
      <c r="M272" s="327">
        <f>IF(L272&gt;K272, 1, 0)</f>
        <v>1</v>
      </c>
      <c r="N272" s="337">
        <f>(+H272-D272)</f>
        <v>-4</v>
      </c>
      <c r="O272" s="395">
        <f>I272-E272</f>
        <v>-13</v>
      </c>
      <c r="P272" s="289">
        <f>IF(OR(AND(N272&gt;0,O272&gt;0),AND(N272&lt;0,O272&lt;0)),1,0)</f>
        <v>1</v>
      </c>
      <c r="Q272" s="460">
        <f>WEEKNUM(tblResultadosNBA[[#This Row],[Fecha]],2)</f>
        <v>48</v>
      </c>
      <c r="R272" s="460" t="str">
        <f>TEXT(tblResultadosNBA[[#This Row],[Fecha]],"mmm")</f>
        <v>nov</v>
      </c>
    </row>
    <row r="273" spans="1:18">
      <c r="A273" s="445">
        <v>45987</v>
      </c>
      <c r="B273" s="331" t="s">
        <v>110</v>
      </c>
      <c r="C273" s="286" t="str">
        <f>LEFT(B273,FIND("@",B273)-2)</f>
        <v>Phoenix Suns</v>
      </c>
      <c r="D273" s="286">
        <v>121</v>
      </c>
      <c r="E273" s="431">
        <v>112</v>
      </c>
      <c r="F273" s="332">
        <f>IF(E273&gt;D273, 1, 0)</f>
        <v>0</v>
      </c>
      <c r="G273" s="286" t="str">
        <f>MID(B273,FIND("@",B273)+2,LEN(B273)-FIND("@",B273)-1)</f>
        <v>Sacramento Kings</v>
      </c>
      <c r="H273" s="286">
        <v>116</v>
      </c>
      <c r="I273" s="431">
        <v>100</v>
      </c>
      <c r="J273" s="332">
        <f>IF(I273&gt;H273, 1, 0)</f>
        <v>0</v>
      </c>
      <c r="K273" s="286">
        <f>+D273+H273</f>
        <v>237</v>
      </c>
      <c r="L273" s="431">
        <f>E273+I273</f>
        <v>212</v>
      </c>
      <c r="M273" s="332">
        <f>IF(L273&gt;K273, 1, 0)</f>
        <v>0</v>
      </c>
      <c r="N273" s="432">
        <f>(+H273-D273)</f>
        <v>-5</v>
      </c>
      <c r="O273" s="451">
        <f>I273-E273</f>
        <v>-12</v>
      </c>
      <c r="P273" s="433">
        <f>IF(OR(AND(N273&gt;0,O273&gt;0),AND(N273&lt;0,O273&lt;0)),1,0)</f>
        <v>1</v>
      </c>
      <c r="Q273" s="460">
        <f>WEEKNUM(tblResultadosNBA[[#This Row],[Fecha]],2)</f>
        <v>48</v>
      </c>
      <c r="R273" s="460" t="str">
        <f>TEXT(tblResultadosNBA[[#This Row],[Fecha]],"mmm")</f>
        <v>nov</v>
      </c>
    </row>
    <row r="274" spans="1:18">
      <c r="A274" s="476">
        <v>45989</v>
      </c>
      <c r="B274" s="422" t="s">
        <v>111</v>
      </c>
      <c r="C274" s="341" t="str">
        <f>LEFT(B274,FIND("@",B274)-2)</f>
        <v>Cleveland Cavaliers</v>
      </c>
      <c r="D274" s="341">
        <v>131</v>
      </c>
      <c r="E274" s="342">
        <v>123</v>
      </c>
      <c r="F274" s="333">
        <f>IF(E274&gt;D274, 1, 0)</f>
        <v>0</v>
      </c>
      <c r="G274" s="341" t="str">
        <f>MID(B274,FIND("@",B274)+2,LEN(B274)-FIND("@",B274)-1)</f>
        <v>Atlanta Hawks</v>
      </c>
      <c r="H274" s="341">
        <v>119</v>
      </c>
      <c r="I274" s="342">
        <v>130</v>
      </c>
      <c r="J274" s="333">
        <f>IF(I274&gt;H274, 1, 0)</f>
        <v>1</v>
      </c>
      <c r="K274" s="341">
        <f>+D274+H274</f>
        <v>250</v>
      </c>
      <c r="L274" s="342">
        <f>E274+I274</f>
        <v>253</v>
      </c>
      <c r="M274" s="333">
        <f>IF(L274&gt;K274, 1, 0)</f>
        <v>1</v>
      </c>
      <c r="N274" s="343">
        <f>(+H274-D274)</f>
        <v>-12</v>
      </c>
      <c r="O274" s="449">
        <f>I274-E274</f>
        <v>7</v>
      </c>
      <c r="P274" s="289">
        <f>IF(OR(AND(N274&gt;0,O274&gt;0),AND(N274&lt;0,O274&lt;0)),1,0)</f>
        <v>0</v>
      </c>
      <c r="Q274" s="460">
        <f>WEEKNUM(tblResultadosNBA[[#This Row],[Fecha]],2)</f>
        <v>48</v>
      </c>
      <c r="R274" s="460" t="str">
        <f>TEXT(tblResultadosNBA[[#This Row],[Fecha]],"mmm")</f>
        <v>nov</v>
      </c>
    </row>
    <row r="275" spans="1:18">
      <c r="A275" s="456">
        <v>45989</v>
      </c>
      <c r="B275" s="302" t="s">
        <v>112</v>
      </c>
      <c r="C275" s="177" t="str">
        <f t="shared" ref="C275:C282" si="55">LEFT(B275,FIND("@",B275)-2)</f>
        <v>Philadelphia 76ers</v>
      </c>
      <c r="D275" s="177">
        <v>116</v>
      </c>
      <c r="E275" s="336">
        <v>115</v>
      </c>
      <c r="F275" s="327">
        <f t="shared" ref="F275:F282" si="56">IF(E275&gt;D275, 1, 0)</f>
        <v>0</v>
      </c>
      <c r="G275" s="177" t="str">
        <f t="shared" ref="G275:G282" si="57">MID(B275,FIND("@",B275)+2,LEN(B275)-FIND("@",B275)-1)</f>
        <v>Brooklyn Nets</v>
      </c>
      <c r="H275" s="177">
        <v>112</v>
      </c>
      <c r="I275" s="336">
        <v>103</v>
      </c>
      <c r="J275" s="327">
        <f t="shared" ref="J275:J282" si="58">IF(I275&gt;H275, 1, 0)</f>
        <v>0</v>
      </c>
      <c r="K275" s="177">
        <f t="shared" ref="K275:K282" si="59">+D275+H275</f>
        <v>228</v>
      </c>
      <c r="L275" s="336">
        <f t="shared" ref="L275:L282" si="60">E275+I275</f>
        <v>218</v>
      </c>
      <c r="M275" s="327">
        <f t="shared" ref="M275:M282" si="61">IF(L275&gt;K275, 1, 0)</f>
        <v>0</v>
      </c>
      <c r="N275" s="337">
        <f t="shared" ref="N275:N282" si="62">(+H275-D275)</f>
        <v>-4</v>
      </c>
      <c r="O275" s="395">
        <f t="shared" ref="O275:O282" si="63">I275-E275</f>
        <v>-12</v>
      </c>
      <c r="P275" s="289">
        <f t="shared" ref="P275:P282" si="64">IF(OR(AND(N275&gt;0,O275&gt;0),AND(N275&lt;0,O275&lt;0)),1,0)</f>
        <v>1</v>
      </c>
      <c r="Q275" s="460">
        <f>WEEKNUM(tblResultadosNBA[[#This Row],[Fecha]],2)</f>
        <v>48</v>
      </c>
      <c r="R275" s="460" t="str">
        <f>TEXT(tblResultadosNBA[[#This Row],[Fecha]],"mmm")</f>
        <v>nov</v>
      </c>
    </row>
    <row r="276" spans="1:18">
      <c r="A276" s="456">
        <v>45989</v>
      </c>
      <c r="B276" s="302" t="s">
        <v>173</v>
      </c>
      <c r="C276" s="177" t="str">
        <f t="shared" si="55"/>
        <v>Chicago Bulls</v>
      </c>
      <c r="D276" s="177">
        <v>115</v>
      </c>
      <c r="E276" s="336">
        <v>116</v>
      </c>
      <c r="F276" s="327">
        <f t="shared" si="56"/>
        <v>1</v>
      </c>
      <c r="G276" s="177" t="str">
        <f t="shared" si="57"/>
        <v>Charlotte Hornets</v>
      </c>
      <c r="H276" s="177">
        <v>112</v>
      </c>
      <c r="I276" s="336">
        <v>123</v>
      </c>
      <c r="J276" s="327">
        <f t="shared" si="58"/>
        <v>1</v>
      </c>
      <c r="K276" s="177">
        <f t="shared" si="59"/>
        <v>227</v>
      </c>
      <c r="L276" s="336">
        <f t="shared" si="60"/>
        <v>239</v>
      </c>
      <c r="M276" s="327">
        <f t="shared" si="61"/>
        <v>1</v>
      </c>
      <c r="N276" s="337">
        <f t="shared" si="62"/>
        <v>-3</v>
      </c>
      <c r="O276" s="395">
        <f t="shared" si="63"/>
        <v>7</v>
      </c>
      <c r="P276" s="289">
        <f t="shared" si="64"/>
        <v>0</v>
      </c>
      <c r="Q276" s="460">
        <f>WEEKNUM(tblResultadosNBA[[#This Row],[Fecha]],2)</f>
        <v>48</v>
      </c>
      <c r="R276" s="460" t="str">
        <f>TEXT(tblResultadosNBA[[#This Row],[Fecha]],"mmm")</f>
        <v>nov</v>
      </c>
    </row>
    <row r="277" spans="1:18">
      <c r="A277" s="456">
        <v>45989</v>
      </c>
      <c r="B277" s="302" t="s">
        <v>113</v>
      </c>
      <c r="C277" s="177" t="str">
        <f t="shared" si="55"/>
        <v>Orlando Magic</v>
      </c>
      <c r="D277" s="177">
        <v>118</v>
      </c>
      <c r="E277" s="336">
        <v>112</v>
      </c>
      <c r="F277" s="327">
        <f t="shared" si="56"/>
        <v>0</v>
      </c>
      <c r="G277" s="177" t="str">
        <f t="shared" si="57"/>
        <v>Detroit Pistons</v>
      </c>
      <c r="H277" s="177">
        <v>123</v>
      </c>
      <c r="I277" s="336">
        <v>109</v>
      </c>
      <c r="J277" s="327">
        <f t="shared" si="58"/>
        <v>0</v>
      </c>
      <c r="K277" s="177">
        <f t="shared" si="59"/>
        <v>241</v>
      </c>
      <c r="L277" s="336">
        <f t="shared" si="60"/>
        <v>221</v>
      </c>
      <c r="M277" s="327">
        <f t="shared" si="61"/>
        <v>0</v>
      </c>
      <c r="N277" s="337">
        <f t="shared" si="62"/>
        <v>5</v>
      </c>
      <c r="O277" s="395">
        <f t="shared" si="63"/>
        <v>-3</v>
      </c>
      <c r="P277" s="289">
        <f t="shared" si="64"/>
        <v>0</v>
      </c>
      <c r="Q277" s="460">
        <f>WEEKNUM(tblResultadosNBA[[#This Row],[Fecha]],2)</f>
        <v>48</v>
      </c>
      <c r="R277" s="460" t="str">
        <f>TEXT(tblResultadosNBA[[#This Row],[Fecha]],"mmm")</f>
        <v>nov</v>
      </c>
    </row>
    <row r="278" spans="1:18">
      <c r="A278" s="456">
        <v>45989</v>
      </c>
      <c r="B278" s="302" t="s">
        <v>177</v>
      </c>
      <c r="C278" s="177" t="str">
        <f t="shared" si="55"/>
        <v>Washington Wizards</v>
      </c>
      <c r="D278" s="177">
        <v>120</v>
      </c>
      <c r="E278" s="336">
        <v>86</v>
      </c>
      <c r="F278" s="327">
        <f t="shared" si="56"/>
        <v>0</v>
      </c>
      <c r="G278" s="177" t="str">
        <f t="shared" si="57"/>
        <v>Indiana Pacers</v>
      </c>
      <c r="H278" s="177">
        <v>108</v>
      </c>
      <c r="I278" s="336">
        <v>119</v>
      </c>
      <c r="J278" s="327">
        <f t="shared" si="58"/>
        <v>1</v>
      </c>
      <c r="K278" s="177">
        <f t="shared" si="59"/>
        <v>228</v>
      </c>
      <c r="L278" s="336">
        <f t="shared" si="60"/>
        <v>205</v>
      </c>
      <c r="M278" s="327">
        <f t="shared" si="61"/>
        <v>0</v>
      </c>
      <c r="N278" s="337">
        <f t="shared" si="62"/>
        <v>-12</v>
      </c>
      <c r="O278" s="395">
        <f t="shared" si="63"/>
        <v>33</v>
      </c>
      <c r="P278" s="289">
        <f t="shared" si="64"/>
        <v>0</v>
      </c>
      <c r="Q278" s="460">
        <f>WEEKNUM(tblResultadosNBA[[#This Row],[Fecha]],2)</f>
        <v>48</v>
      </c>
      <c r="R278" s="460" t="str">
        <f>TEXT(tblResultadosNBA[[#This Row],[Fecha]],"mmm")</f>
        <v>nov</v>
      </c>
    </row>
    <row r="279" spans="1:18">
      <c r="A279" s="456">
        <v>45989</v>
      </c>
      <c r="B279" s="302" t="s">
        <v>567</v>
      </c>
      <c r="C279" s="177" t="str">
        <f t="shared" si="55"/>
        <v>Milwaukee Bucks</v>
      </c>
      <c r="D279" s="177">
        <v>114</v>
      </c>
      <c r="E279" s="336">
        <v>109</v>
      </c>
      <c r="F279" s="327">
        <f t="shared" si="56"/>
        <v>0</v>
      </c>
      <c r="G279" s="177" t="str">
        <f t="shared" si="57"/>
        <v>New York Knicks</v>
      </c>
      <c r="H279" s="177">
        <v>110</v>
      </c>
      <c r="I279" s="336">
        <v>118</v>
      </c>
      <c r="J279" s="327">
        <f t="shared" si="58"/>
        <v>1</v>
      </c>
      <c r="K279" s="177">
        <f t="shared" si="59"/>
        <v>224</v>
      </c>
      <c r="L279" s="336">
        <f t="shared" si="60"/>
        <v>227</v>
      </c>
      <c r="M279" s="327">
        <f t="shared" si="61"/>
        <v>1</v>
      </c>
      <c r="N279" s="337">
        <f t="shared" si="62"/>
        <v>-4</v>
      </c>
      <c r="O279" s="395">
        <f t="shared" si="63"/>
        <v>9</v>
      </c>
      <c r="P279" s="289">
        <f t="shared" si="64"/>
        <v>0</v>
      </c>
      <c r="Q279" s="460">
        <f>WEEKNUM(tblResultadosNBA[[#This Row],[Fecha]],2)</f>
        <v>48</v>
      </c>
      <c r="R279" s="460" t="str">
        <f>TEXT(tblResultadosNBA[[#This Row],[Fecha]],"mmm")</f>
        <v>nov</v>
      </c>
    </row>
    <row r="280" spans="1:18">
      <c r="A280" s="456">
        <v>45989</v>
      </c>
      <c r="B280" s="302" t="s">
        <v>568</v>
      </c>
      <c r="C280" s="177" t="str">
        <f t="shared" si="55"/>
        <v>Phoenix Suns</v>
      </c>
      <c r="D280" s="177">
        <v>102</v>
      </c>
      <c r="E280" s="336">
        <v>119</v>
      </c>
      <c r="F280" s="327">
        <f t="shared" si="56"/>
        <v>1</v>
      </c>
      <c r="G280" s="177" t="str">
        <f t="shared" si="57"/>
        <v>Oklahoma City Thunder</v>
      </c>
      <c r="H280" s="177">
        <v>109</v>
      </c>
      <c r="I280" s="336">
        <v>123</v>
      </c>
      <c r="J280" s="327">
        <f t="shared" si="58"/>
        <v>1</v>
      </c>
      <c r="K280" s="177">
        <f t="shared" si="59"/>
        <v>211</v>
      </c>
      <c r="L280" s="336">
        <f t="shared" si="60"/>
        <v>242</v>
      </c>
      <c r="M280" s="327">
        <f t="shared" si="61"/>
        <v>1</v>
      </c>
      <c r="N280" s="337">
        <f t="shared" si="62"/>
        <v>7</v>
      </c>
      <c r="O280" s="395">
        <f t="shared" si="63"/>
        <v>4</v>
      </c>
      <c r="P280" s="289">
        <f t="shared" si="64"/>
        <v>1</v>
      </c>
      <c r="Q280" s="460">
        <f>WEEKNUM(tblResultadosNBA[[#This Row],[Fecha]],2)</f>
        <v>48</v>
      </c>
      <c r="R280" s="460" t="str">
        <f>TEXT(tblResultadosNBA[[#This Row],[Fecha]],"mmm")</f>
        <v>nov</v>
      </c>
    </row>
    <row r="281" spans="1:18">
      <c r="A281" s="456">
        <v>45989</v>
      </c>
      <c r="B281" s="302" t="s">
        <v>114</v>
      </c>
      <c r="C281" s="177" t="str">
        <f t="shared" si="55"/>
        <v>San Antonio Spurs</v>
      </c>
      <c r="D281" s="177">
        <v>117</v>
      </c>
      <c r="E281" s="336">
        <v>139</v>
      </c>
      <c r="F281" s="327">
        <f t="shared" si="56"/>
        <v>1</v>
      </c>
      <c r="G281" s="177" t="str">
        <f t="shared" si="57"/>
        <v>Denver Nuggets</v>
      </c>
      <c r="H281" s="177">
        <v>121</v>
      </c>
      <c r="I281" s="336">
        <v>136</v>
      </c>
      <c r="J281" s="327">
        <f t="shared" si="58"/>
        <v>1</v>
      </c>
      <c r="K281" s="177">
        <f t="shared" si="59"/>
        <v>238</v>
      </c>
      <c r="L281" s="336">
        <f t="shared" si="60"/>
        <v>275</v>
      </c>
      <c r="M281" s="327">
        <f t="shared" si="61"/>
        <v>1</v>
      </c>
      <c r="N281" s="337">
        <f t="shared" si="62"/>
        <v>4</v>
      </c>
      <c r="O281" s="395">
        <f t="shared" si="63"/>
        <v>-3</v>
      </c>
      <c r="P281" s="289">
        <f t="shared" si="64"/>
        <v>0</v>
      </c>
      <c r="Q281" s="460">
        <f>WEEKNUM(tblResultadosNBA[[#This Row],[Fecha]],2)</f>
        <v>48</v>
      </c>
      <c r="R281" s="460" t="str">
        <f>TEXT(tblResultadosNBA[[#This Row],[Fecha]],"mmm")</f>
        <v>nov</v>
      </c>
    </row>
    <row r="282" spans="1:18">
      <c r="A282" s="456">
        <v>45989</v>
      </c>
      <c r="B282" s="302" t="s">
        <v>364</v>
      </c>
      <c r="C282" s="177" t="str">
        <f t="shared" si="55"/>
        <v>Sacramento Kings</v>
      </c>
      <c r="D282" s="177">
        <v>115</v>
      </c>
      <c r="E282" s="336">
        <v>119</v>
      </c>
      <c r="F282" s="327">
        <f t="shared" si="56"/>
        <v>1</v>
      </c>
      <c r="G282" s="177" t="str">
        <f t="shared" si="57"/>
        <v>Utah Jazz</v>
      </c>
      <c r="H282" s="177">
        <v>120</v>
      </c>
      <c r="I282" s="336">
        <v>128</v>
      </c>
      <c r="J282" s="327">
        <f t="shared" si="58"/>
        <v>1</v>
      </c>
      <c r="K282" s="177">
        <f t="shared" si="59"/>
        <v>235</v>
      </c>
      <c r="L282" s="336">
        <f t="shared" si="60"/>
        <v>247</v>
      </c>
      <c r="M282" s="327">
        <f t="shared" si="61"/>
        <v>1</v>
      </c>
      <c r="N282" s="337">
        <f t="shared" si="62"/>
        <v>5</v>
      </c>
      <c r="O282" s="395">
        <f t="shared" si="63"/>
        <v>9</v>
      </c>
      <c r="P282" s="289">
        <f t="shared" si="64"/>
        <v>1</v>
      </c>
      <c r="Q282" s="460">
        <f>WEEKNUM(tblResultadosNBA[[#This Row],[Fecha]],2)</f>
        <v>48</v>
      </c>
      <c r="R282" s="460" t="str">
        <f>TEXT(tblResultadosNBA[[#This Row],[Fecha]],"mmm")</f>
        <v>nov</v>
      </c>
    </row>
    <row r="283" spans="1:18">
      <c r="A283" s="456">
        <v>45989</v>
      </c>
      <c r="B283" s="302" t="s">
        <v>115</v>
      </c>
      <c r="C283" s="177" t="str">
        <f t="shared" ref="C283:C284" si="65">LEFT(B283,FIND("@",B283)-2)</f>
        <v>Dallas Mavericks</v>
      </c>
      <c r="D283" s="177">
        <v>113</v>
      </c>
      <c r="E283" s="336">
        <v>119</v>
      </c>
      <c r="F283" s="327">
        <f t="shared" ref="F283:F284" si="66">IF(E283&gt;D283, 1, 0)</f>
        <v>1</v>
      </c>
      <c r="G283" s="177" t="str">
        <f t="shared" ref="G283:G284" si="67">MID(B283,FIND("@",B283)+2,LEN(B283)-FIND("@",B283)-1)</f>
        <v>Los Angeles Lakers</v>
      </c>
      <c r="H283" s="177">
        <v>115</v>
      </c>
      <c r="I283" s="336">
        <v>129</v>
      </c>
      <c r="J283" s="327">
        <f t="shared" ref="J283:J284" si="68">IF(I283&gt;H283, 1, 0)</f>
        <v>1</v>
      </c>
      <c r="K283" s="177">
        <f t="shared" ref="K283:K284" si="69">+D283+H283</f>
        <v>228</v>
      </c>
      <c r="L283" s="336">
        <f t="shared" ref="L283:L284" si="70">E283+I283</f>
        <v>248</v>
      </c>
      <c r="M283" s="327">
        <f t="shared" ref="M283:M284" si="71">IF(L283&gt;K283, 1, 0)</f>
        <v>1</v>
      </c>
      <c r="N283" s="337">
        <f t="shared" ref="N283:N284" si="72">(+H283-D283)</f>
        <v>2</v>
      </c>
      <c r="O283" s="395">
        <f t="shared" ref="O283:O284" si="73">I283-E283</f>
        <v>10</v>
      </c>
      <c r="P283" s="289">
        <f t="shared" ref="P283:P284" si="74">IF(OR(AND(N283&gt;0,O283&gt;0),AND(N283&lt;0,O283&lt;0)),1,0)</f>
        <v>1</v>
      </c>
      <c r="Q283" s="460">
        <f>WEEKNUM(tblResultadosNBA[[#This Row],[Fecha]],2)</f>
        <v>48</v>
      </c>
      <c r="R283" s="460" t="str">
        <f>TEXT(tblResultadosNBA[[#This Row],[Fecha]],"mmm")</f>
        <v>nov</v>
      </c>
    </row>
    <row r="284" spans="1:18">
      <c r="A284" s="445">
        <v>45989</v>
      </c>
      <c r="B284" s="331" t="s">
        <v>116</v>
      </c>
      <c r="C284" s="286" t="str">
        <f t="shared" si="65"/>
        <v>Memphis Grizzlies</v>
      </c>
      <c r="D284" s="286">
        <v>122</v>
      </c>
      <c r="E284" s="431">
        <v>112</v>
      </c>
      <c r="F284" s="332">
        <f t="shared" si="66"/>
        <v>0</v>
      </c>
      <c r="G284" s="286" t="str">
        <f t="shared" si="67"/>
        <v>LA Clippers</v>
      </c>
      <c r="H284" s="286">
        <v>119</v>
      </c>
      <c r="I284" s="431">
        <v>107</v>
      </c>
      <c r="J284" s="332">
        <f t="shared" si="68"/>
        <v>0</v>
      </c>
      <c r="K284" s="286">
        <f t="shared" si="69"/>
        <v>241</v>
      </c>
      <c r="L284" s="431">
        <f t="shared" si="70"/>
        <v>219</v>
      </c>
      <c r="M284" s="332">
        <f t="shared" si="71"/>
        <v>0</v>
      </c>
      <c r="N284" s="432">
        <f t="shared" si="72"/>
        <v>-3</v>
      </c>
      <c r="O284" s="451">
        <f t="shared" si="73"/>
        <v>-5</v>
      </c>
      <c r="P284" s="433">
        <f t="shared" si="74"/>
        <v>1</v>
      </c>
      <c r="Q284" s="460">
        <f>WEEKNUM(tblResultadosNBA[[#This Row],[Fecha]],2)</f>
        <v>48</v>
      </c>
      <c r="R284" s="460" t="str">
        <f>TEXT(tblResultadosNBA[[#This Row],[Fecha]],"mmm")</f>
        <v>nov</v>
      </c>
    </row>
    <row r="285" spans="1:18">
      <c r="A285" s="476">
        <v>45990</v>
      </c>
      <c r="B285" s="422" t="s">
        <v>117</v>
      </c>
      <c r="C285" s="341" t="str">
        <f>LEFT(B285,FIND("@",B285)-2)</f>
        <v>Boston Celtics</v>
      </c>
      <c r="D285" s="341">
        <v>127</v>
      </c>
      <c r="E285" s="342">
        <v>115</v>
      </c>
      <c r="F285" s="333">
        <f>IF(E285&gt;D285, 1, 0)</f>
        <v>0</v>
      </c>
      <c r="G285" s="341" t="str">
        <f>MID(B285,FIND("@",B285)+2,LEN(B285)-FIND("@",B285)-1)</f>
        <v>Minnesota Timberwolves</v>
      </c>
      <c r="H285" s="341">
        <v>116</v>
      </c>
      <c r="I285" s="342">
        <v>119</v>
      </c>
      <c r="J285" s="333">
        <f>IF(I285&gt;H285, 1, 0)</f>
        <v>1</v>
      </c>
      <c r="K285" s="341">
        <f>+D285+H285</f>
        <v>243</v>
      </c>
      <c r="L285" s="342">
        <f>E285+I285</f>
        <v>234</v>
      </c>
      <c r="M285" s="333">
        <f>IF(L285&gt;K285, 1, 0)</f>
        <v>0</v>
      </c>
      <c r="N285" s="343">
        <f>(+H285-D285)</f>
        <v>-11</v>
      </c>
      <c r="O285" s="449">
        <f>I285-E285</f>
        <v>4</v>
      </c>
      <c r="P285" s="289">
        <f>IF(OR(AND(N285&gt;0,O285&gt;0),AND(N285&lt;0,O285&lt;0)),1,0)</f>
        <v>0</v>
      </c>
      <c r="Q285" s="460">
        <f>WEEKNUM(tblResultadosNBA[[#This Row],[Fecha]],2)</f>
        <v>48</v>
      </c>
      <c r="R285" s="460" t="str">
        <f>TEXT(tblResultadosNBA[[#This Row],[Fecha]],"mmm")</f>
        <v>nov</v>
      </c>
    </row>
    <row r="286" spans="1:18">
      <c r="A286" s="456">
        <v>45990</v>
      </c>
      <c r="B286" s="302" t="s">
        <v>118</v>
      </c>
      <c r="C286" s="177" t="str">
        <f t="shared" ref="C286:C289" si="75">LEFT(B286,FIND("@",B286)-2)</f>
        <v>Toronto Raptors</v>
      </c>
      <c r="D286" s="177">
        <v>120</v>
      </c>
      <c r="E286" s="336">
        <v>111</v>
      </c>
      <c r="F286" s="327">
        <f t="shared" ref="F286:F289" si="76">IF(E286&gt;D286, 1, 0)</f>
        <v>0</v>
      </c>
      <c r="G286" s="177" t="str">
        <f t="shared" ref="G286:G289" si="77">MID(B286,FIND("@",B286)+2,LEN(B286)-FIND("@",B286)-1)</f>
        <v>Charlotte Hornets</v>
      </c>
      <c r="H286" s="177">
        <v>117</v>
      </c>
      <c r="I286" s="336">
        <v>118</v>
      </c>
      <c r="J286" s="327">
        <f t="shared" ref="J286:J289" si="78">IF(I286&gt;H286, 1, 0)</f>
        <v>1</v>
      </c>
      <c r="K286" s="177">
        <f t="shared" ref="K286:K289" si="79">+D286+H286</f>
        <v>237</v>
      </c>
      <c r="L286" s="336">
        <f t="shared" ref="L286:L289" si="80">E286+I286</f>
        <v>229</v>
      </c>
      <c r="M286" s="327">
        <f t="shared" ref="M286:M289" si="81">IF(L286&gt;K286, 1, 0)</f>
        <v>0</v>
      </c>
      <c r="N286" s="337">
        <f t="shared" ref="N286:N289" si="82">(+H286-D286)</f>
        <v>-3</v>
      </c>
      <c r="O286" s="395">
        <f t="shared" ref="O286:O289" si="83">I286-E286</f>
        <v>7</v>
      </c>
      <c r="P286" s="289">
        <f t="shared" ref="P286:P289" si="84">IF(OR(AND(N286&gt;0,O286&gt;0),AND(N286&lt;0,O286&lt;0)),1,0)</f>
        <v>0</v>
      </c>
      <c r="Q286" s="460">
        <f>WEEKNUM(tblResultadosNBA[[#This Row],[Fecha]],2)</f>
        <v>48</v>
      </c>
      <c r="R286" s="460" t="str">
        <f>TEXT(tblResultadosNBA[[#This Row],[Fecha]],"mmm")</f>
        <v>nov</v>
      </c>
    </row>
    <row r="287" spans="1:18">
      <c r="A287" s="456">
        <v>45990</v>
      </c>
      <c r="B287" s="302" t="s">
        <v>308</v>
      </c>
      <c r="C287" s="177" t="str">
        <f t="shared" si="75"/>
        <v>Chicago Bulls</v>
      </c>
      <c r="D287" s="177">
        <v>115</v>
      </c>
      <c r="E287" s="336">
        <v>101</v>
      </c>
      <c r="F287" s="327">
        <f t="shared" si="76"/>
        <v>0</v>
      </c>
      <c r="G287" s="177" t="str">
        <f t="shared" si="77"/>
        <v>Indiana Pacers</v>
      </c>
      <c r="H287" s="177">
        <v>114</v>
      </c>
      <c r="I287" s="336">
        <v>103</v>
      </c>
      <c r="J287" s="327">
        <f t="shared" si="78"/>
        <v>0</v>
      </c>
      <c r="K287" s="177">
        <f t="shared" si="79"/>
        <v>229</v>
      </c>
      <c r="L287" s="336">
        <f t="shared" si="80"/>
        <v>204</v>
      </c>
      <c r="M287" s="327">
        <f t="shared" si="81"/>
        <v>0</v>
      </c>
      <c r="N287" s="337">
        <f t="shared" si="82"/>
        <v>-1</v>
      </c>
      <c r="O287" s="395">
        <f t="shared" si="83"/>
        <v>2</v>
      </c>
      <c r="P287" s="289">
        <f t="shared" si="84"/>
        <v>0</v>
      </c>
      <c r="Q287" s="460">
        <f>WEEKNUM(tblResultadosNBA[[#This Row],[Fecha]],2)</f>
        <v>48</v>
      </c>
      <c r="R287" s="460" t="str">
        <f>TEXT(tblResultadosNBA[[#This Row],[Fecha]],"mmm")</f>
        <v>nov</v>
      </c>
    </row>
    <row r="288" spans="1:18">
      <c r="A288" s="456">
        <v>45990</v>
      </c>
      <c r="B288" s="302" t="s">
        <v>569</v>
      </c>
      <c r="C288" s="177" t="str">
        <f t="shared" si="75"/>
        <v>Detroit Pistons</v>
      </c>
      <c r="D288" s="177">
        <v>111</v>
      </c>
      <c r="E288" s="336">
        <v>138</v>
      </c>
      <c r="F288" s="327">
        <f t="shared" si="76"/>
        <v>1</v>
      </c>
      <c r="G288" s="177" t="str">
        <f t="shared" si="77"/>
        <v>Miami Heat</v>
      </c>
      <c r="H288" s="177">
        <v>121</v>
      </c>
      <c r="I288" s="336">
        <v>135</v>
      </c>
      <c r="J288" s="327">
        <f t="shared" si="78"/>
        <v>1</v>
      </c>
      <c r="K288" s="177">
        <f t="shared" si="79"/>
        <v>232</v>
      </c>
      <c r="L288" s="336">
        <f t="shared" si="80"/>
        <v>273</v>
      </c>
      <c r="M288" s="327">
        <f t="shared" si="81"/>
        <v>1</v>
      </c>
      <c r="N288" s="337">
        <f t="shared" si="82"/>
        <v>10</v>
      </c>
      <c r="O288" s="395">
        <f t="shared" si="83"/>
        <v>-3</v>
      </c>
      <c r="P288" s="289">
        <f t="shared" si="84"/>
        <v>0</v>
      </c>
      <c r="Q288" s="460">
        <f>WEEKNUM(tblResultadosNBA[[#This Row],[Fecha]],2)</f>
        <v>48</v>
      </c>
      <c r="R288" s="460" t="str">
        <f>TEXT(tblResultadosNBA[[#This Row],[Fecha]],"mmm")</f>
        <v>nov</v>
      </c>
    </row>
    <row r="289" spans="1:19">
      <c r="A289" s="456">
        <v>45990</v>
      </c>
      <c r="B289" s="302" t="s">
        <v>119</v>
      </c>
      <c r="C289" s="177" t="str">
        <f t="shared" si="75"/>
        <v>Brooklyn Nets</v>
      </c>
      <c r="D289" s="177">
        <v>114</v>
      </c>
      <c r="E289" s="336">
        <v>99</v>
      </c>
      <c r="F289" s="327">
        <f t="shared" si="76"/>
        <v>0</v>
      </c>
      <c r="G289" s="177" t="str">
        <f t="shared" si="77"/>
        <v>Milwaukee Bucks</v>
      </c>
      <c r="H289" s="177">
        <v>109</v>
      </c>
      <c r="I289" s="336">
        <v>116</v>
      </c>
      <c r="J289" s="327">
        <f t="shared" si="78"/>
        <v>1</v>
      </c>
      <c r="K289" s="177">
        <f t="shared" si="79"/>
        <v>223</v>
      </c>
      <c r="L289" s="336">
        <f t="shared" si="80"/>
        <v>215</v>
      </c>
      <c r="M289" s="327">
        <f t="shared" si="81"/>
        <v>0</v>
      </c>
      <c r="N289" s="337">
        <f t="shared" si="82"/>
        <v>-5</v>
      </c>
      <c r="O289" s="395">
        <f t="shared" si="83"/>
        <v>17</v>
      </c>
      <c r="P289" s="289">
        <f t="shared" si="84"/>
        <v>0</v>
      </c>
      <c r="Q289" s="460">
        <f>WEEKNUM(tblResultadosNBA[[#This Row],[Fecha]],2)</f>
        <v>48</v>
      </c>
      <c r="R289" s="460" t="str">
        <f>TEXT(tblResultadosNBA[[#This Row],[Fecha]],"mmm")</f>
        <v>nov</v>
      </c>
    </row>
    <row r="290" spans="1:19">
      <c r="A290" s="456">
        <v>45990</v>
      </c>
      <c r="B290" s="302" t="s">
        <v>120</v>
      </c>
      <c r="C290" s="177" t="str">
        <f t="shared" ref="C290:C291" si="85">LEFT(B290,FIND("@",B290)-2)</f>
        <v>New Orleans Pelicans</v>
      </c>
      <c r="D290" s="177">
        <v>116</v>
      </c>
      <c r="E290" s="336">
        <v>96</v>
      </c>
      <c r="F290" s="327">
        <f t="shared" ref="F290:F291" si="86">IF(E290&gt;D290, 1, 0)</f>
        <v>0</v>
      </c>
      <c r="G290" s="177" t="str">
        <f t="shared" ref="G290:G291" si="87">MID(B290,FIND("@",B290)+2,LEN(B290)-FIND("@",B290)-1)</f>
        <v>Golden State Warriors</v>
      </c>
      <c r="H290" s="177">
        <v>119</v>
      </c>
      <c r="I290" s="336">
        <v>104</v>
      </c>
      <c r="J290" s="327">
        <f t="shared" ref="J290:J291" si="88">IF(I290&gt;H290, 1, 0)</f>
        <v>0</v>
      </c>
      <c r="K290" s="177">
        <f t="shared" ref="K290:K291" si="89">+D290+H290</f>
        <v>235</v>
      </c>
      <c r="L290" s="336">
        <f t="shared" ref="L290:L291" si="90">E290+I290</f>
        <v>200</v>
      </c>
      <c r="M290" s="327">
        <f t="shared" ref="M290:M291" si="91">IF(L290&gt;K290, 1, 0)</f>
        <v>0</v>
      </c>
      <c r="N290" s="337">
        <f t="shared" ref="N290:N291" si="92">(+H290-D290)</f>
        <v>3</v>
      </c>
      <c r="O290" s="395">
        <f t="shared" ref="O290:O291" si="93">I290-E290</f>
        <v>8</v>
      </c>
      <c r="P290" s="289">
        <f t="shared" ref="P290:P291" si="94">IF(OR(AND(N290&gt;0,O290&gt;0),AND(N290&lt;0,O290&lt;0)),1,0)</f>
        <v>1</v>
      </c>
      <c r="Q290" s="460">
        <f>WEEKNUM(tblResultadosNBA[[#This Row],[Fecha]],2)</f>
        <v>48</v>
      </c>
      <c r="R290" s="460" t="str">
        <f>TEXT(tblResultadosNBA[[#This Row],[Fecha]],"mmm")</f>
        <v>nov</v>
      </c>
    </row>
    <row r="291" spans="1:19">
      <c r="A291" s="456">
        <v>45990</v>
      </c>
      <c r="B291" s="302" t="s">
        <v>570</v>
      </c>
      <c r="C291" s="177" t="str">
        <f t="shared" si="85"/>
        <v>Denver Nuggets</v>
      </c>
      <c r="D291" s="177">
        <v>118</v>
      </c>
      <c r="E291" s="336">
        <v>130</v>
      </c>
      <c r="F291" s="327">
        <f t="shared" si="86"/>
        <v>1</v>
      </c>
      <c r="G291" s="177" t="str">
        <f t="shared" si="87"/>
        <v>Phoenix Suns</v>
      </c>
      <c r="H291" s="177">
        <v>108</v>
      </c>
      <c r="I291" s="336">
        <v>112</v>
      </c>
      <c r="J291" s="327">
        <f t="shared" si="88"/>
        <v>1</v>
      </c>
      <c r="K291" s="177">
        <f t="shared" si="89"/>
        <v>226</v>
      </c>
      <c r="L291" s="336">
        <f t="shared" si="90"/>
        <v>242</v>
      </c>
      <c r="M291" s="327">
        <f t="shared" si="91"/>
        <v>1</v>
      </c>
      <c r="N291" s="337">
        <f t="shared" si="92"/>
        <v>-10</v>
      </c>
      <c r="O291" s="395">
        <f t="shared" si="93"/>
        <v>-18</v>
      </c>
      <c r="P291" s="289">
        <f t="shared" si="94"/>
        <v>1</v>
      </c>
      <c r="Q291" s="460">
        <f>WEEKNUM(tblResultadosNBA[[#This Row],[Fecha]],2)</f>
        <v>48</v>
      </c>
      <c r="R291" s="460" t="str">
        <f>TEXT(tblResultadosNBA[[#This Row],[Fecha]],"mmm")</f>
        <v>nov</v>
      </c>
    </row>
    <row r="292" spans="1:19">
      <c r="A292" s="445">
        <v>45990</v>
      </c>
      <c r="B292" s="331" t="s">
        <v>571</v>
      </c>
      <c r="C292" s="286" t="str">
        <f>LEFT(B292,FIND("@",B292)-2)</f>
        <v>Dallas Mavericks</v>
      </c>
      <c r="D292" s="286">
        <v>99</v>
      </c>
      <c r="E292" s="431">
        <v>114</v>
      </c>
      <c r="F292" s="332">
        <f>IF(E292&gt;D292, 1, 0)</f>
        <v>1</v>
      </c>
      <c r="G292" s="286" t="str">
        <f>MID(B292,FIND("@",B292)+2,LEN(B292)-FIND("@",B292)-1)</f>
        <v>LA Clippers</v>
      </c>
      <c r="H292" s="286">
        <v>107</v>
      </c>
      <c r="I292" s="431">
        <v>110</v>
      </c>
      <c r="J292" s="332">
        <f>IF(I292&gt;H292, 1, 0)</f>
        <v>1</v>
      </c>
      <c r="K292" s="286">
        <f>+D292+H292</f>
        <v>206</v>
      </c>
      <c r="L292" s="431">
        <f>E292+I292</f>
        <v>224</v>
      </c>
      <c r="M292" s="332">
        <f>IF(L292&gt;K292, 1, 0)</f>
        <v>1</v>
      </c>
      <c r="N292" s="432">
        <f>(+H292-D292)</f>
        <v>8</v>
      </c>
      <c r="O292" s="451">
        <f>I292-E292</f>
        <v>-4</v>
      </c>
      <c r="P292" s="433">
        <f>IF(OR(AND(N292&gt;0,O292&gt;0),AND(N292&lt;0,O292&lt;0)),1,0)</f>
        <v>0</v>
      </c>
      <c r="Q292" s="460">
        <f>WEEKNUM(tblResultadosNBA[[#This Row],[Fecha]],2)</f>
        <v>48</v>
      </c>
      <c r="R292" s="460" t="str">
        <f>TEXT(tblResultadosNBA[[#This Row],[Fecha]],"mmm")</f>
        <v>nov</v>
      </c>
    </row>
    <row r="293" spans="1:19">
      <c r="A293" s="476">
        <v>45991</v>
      </c>
      <c r="B293" s="422" t="s">
        <v>121</v>
      </c>
      <c r="C293" s="341" t="str">
        <f>LEFT(B293,FIND("@",B293)-2)</f>
        <v>Houston Rockets</v>
      </c>
      <c r="D293" s="341">
        <v>126</v>
      </c>
      <c r="E293" s="342">
        <v>129</v>
      </c>
      <c r="F293" s="333">
        <f>IF(E293&gt;D293, 1, 0)</f>
        <v>1</v>
      </c>
      <c r="G293" s="341" t="str">
        <f>MID(B293,FIND("@",B293)+2,LEN(B293)-FIND("@",B293)-1)</f>
        <v>Utah Jazz</v>
      </c>
      <c r="H293" s="341">
        <v>117</v>
      </c>
      <c r="I293" s="342">
        <v>101</v>
      </c>
      <c r="J293" s="333">
        <f>IF(I293&gt;H293, 1, 0)</f>
        <v>0</v>
      </c>
      <c r="K293" s="341">
        <f>+D293+H293</f>
        <v>243</v>
      </c>
      <c r="L293" s="342">
        <f>E293+I293</f>
        <v>230</v>
      </c>
      <c r="M293" s="333">
        <f>IF(L293&gt;K293, 1, 0)</f>
        <v>0</v>
      </c>
      <c r="N293" s="343">
        <f>(+H293-D293)</f>
        <v>-9</v>
      </c>
      <c r="O293" s="449">
        <f>I293-E293</f>
        <v>-28</v>
      </c>
      <c r="P293" s="289">
        <f>IF(OR(AND(N293&gt;0,O293&gt;0),AND(N293&lt;0,O293&lt;0)),1,0)</f>
        <v>1</v>
      </c>
      <c r="Q293" s="460">
        <f>WEEKNUM(tblResultadosNBA[[#This Row],[Fecha]],2)</f>
        <v>48</v>
      </c>
      <c r="R293" s="460" t="str">
        <f>TEXT(tblResultadosNBA[[#This Row],[Fecha]],"mmm")</f>
        <v>nov</v>
      </c>
    </row>
    <row r="294" spans="1:19">
      <c r="A294" s="456">
        <v>45991</v>
      </c>
      <c r="B294" s="302" t="s">
        <v>572</v>
      </c>
      <c r="C294" s="177" t="str">
        <f t="shared" ref="C294:C299" si="95">LEFT(B294,FIND("@",B294)-2)</f>
        <v>Boston Celtics</v>
      </c>
      <c r="D294" s="177">
        <v>112</v>
      </c>
      <c r="E294" s="336">
        <v>117</v>
      </c>
      <c r="F294" s="327">
        <f t="shared" ref="F294:F299" si="96">IF(E294&gt;D294, 1, 0)</f>
        <v>1</v>
      </c>
      <c r="G294" s="177" t="str">
        <f t="shared" ref="G294:G299" si="97">MID(B294,FIND("@",B294)+2,LEN(B294)-FIND("@",B294)-1)</f>
        <v>Cleveland Cavaliers</v>
      </c>
      <c r="H294" s="177">
        <v>115</v>
      </c>
      <c r="I294" s="336">
        <v>115</v>
      </c>
      <c r="J294" s="327">
        <f t="shared" ref="J294:J299" si="98">IF(I294&gt;H294, 1, 0)</f>
        <v>0</v>
      </c>
      <c r="K294" s="177">
        <f t="shared" ref="K294:K299" si="99">+D294+H294</f>
        <v>227</v>
      </c>
      <c r="L294" s="336">
        <f t="shared" ref="L294:L299" si="100">E294+I294</f>
        <v>232</v>
      </c>
      <c r="M294" s="327">
        <f t="shared" ref="M294:M299" si="101">IF(L294&gt;K294, 1, 0)</f>
        <v>1</v>
      </c>
      <c r="N294" s="337">
        <f t="shared" ref="N294:N299" si="102">(+H294-D294)</f>
        <v>3</v>
      </c>
      <c r="O294" s="395">
        <f t="shared" ref="O294:O299" si="103">I294-E294</f>
        <v>-2</v>
      </c>
      <c r="P294" s="289">
        <f t="shared" ref="P294:P299" si="104">IF(OR(AND(N294&gt;0,O294&gt;0),AND(N294&lt;0,O294&lt;0)),1,0)</f>
        <v>0</v>
      </c>
      <c r="Q294" s="460">
        <f>WEEKNUM(tblResultadosNBA[[#This Row],[Fecha]],2)</f>
        <v>48</v>
      </c>
      <c r="R294" s="460" t="str">
        <f>TEXT(tblResultadosNBA[[#This Row],[Fecha]],"mmm")</f>
        <v>nov</v>
      </c>
    </row>
    <row r="295" spans="1:19">
      <c r="A295" s="456">
        <v>45991</v>
      </c>
      <c r="B295" s="302" t="s">
        <v>573</v>
      </c>
      <c r="C295" s="177" t="str">
        <f t="shared" si="95"/>
        <v>Toronto Raptors</v>
      </c>
      <c r="D295" s="177">
        <v>111</v>
      </c>
      <c r="E295" s="336">
        <v>94</v>
      </c>
      <c r="F295" s="327">
        <f t="shared" si="96"/>
        <v>0</v>
      </c>
      <c r="G295" s="177" t="str">
        <f t="shared" si="97"/>
        <v>New York Knicks</v>
      </c>
      <c r="H295" s="177">
        <v>114</v>
      </c>
      <c r="I295" s="336">
        <v>116</v>
      </c>
      <c r="J295" s="327">
        <f t="shared" si="98"/>
        <v>1</v>
      </c>
      <c r="K295" s="177">
        <f t="shared" si="99"/>
        <v>225</v>
      </c>
      <c r="L295" s="336">
        <f t="shared" si="100"/>
        <v>210</v>
      </c>
      <c r="M295" s="327">
        <f t="shared" si="101"/>
        <v>0</v>
      </c>
      <c r="N295" s="337">
        <f t="shared" si="102"/>
        <v>3</v>
      </c>
      <c r="O295" s="395">
        <f t="shared" si="103"/>
        <v>22</v>
      </c>
      <c r="P295" s="289">
        <f t="shared" si="104"/>
        <v>1</v>
      </c>
      <c r="Q295" s="460">
        <f>WEEKNUM(tblResultadosNBA[[#This Row],[Fecha]],2)</f>
        <v>48</v>
      </c>
      <c r="R295" s="460" t="str">
        <f>TEXT(tblResultadosNBA[[#This Row],[Fecha]],"mmm")</f>
        <v>nov</v>
      </c>
    </row>
    <row r="296" spans="1:19">
      <c r="A296" s="456">
        <v>45991</v>
      </c>
      <c r="B296" s="302" t="s">
        <v>122</v>
      </c>
      <c r="C296" s="177" t="str">
        <f t="shared" si="95"/>
        <v>Atlanta Hawks</v>
      </c>
      <c r="D296" s="177">
        <v>117</v>
      </c>
      <c r="E296" s="336">
        <v>142</v>
      </c>
      <c r="F296" s="327">
        <f t="shared" si="96"/>
        <v>1</v>
      </c>
      <c r="G296" s="177" t="str">
        <f t="shared" si="97"/>
        <v>Philadelphia 76ers</v>
      </c>
      <c r="H296" s="177">
        <v>125</v>
      </c>
      <c r="I296" s="336">
        <v>134</v>
      </c>
      <c r="J296" s="327">
        <f t="shared" si="98"/>
        <v>1</v>
      </c>
      <c r="K296" s="177">
        <f t="shared" si="99"/>
        <v>242</v>
      </c>
      <c r="L296" s="336">
        <f t="shared" si="100"/>
        <v>276</v>
      </c>
      <c r="M296" s="327">
        <f t="shared" si="101"/>
        <v>1</v>
      </c>
      <c r="N296" s="337">
        <f t="shared" si="102"/>
        <v>8</v>
      </c>
      <c r="O296" s="395">
        <f t="shared" si="103"/>
        <v>-8</v>
      </c>
      <c r="P296" s="289">
        <f t="shared" si="104"/>
        <v>0</v>
      </c>
      <c r="Q296" s="460">
        <f>WEEKNUM(tblResultadosNBA[[#This Row],[Fecha]],2)</f>
        <v>48</v>
      </c>
      <c r="R296" s="460" t="str">
        <f>TEXT(tblResultadosNBA[[#This Row],[Fecha]],"mmm")</f>
        <v>nov</v>
      </c>
    </row>
    <row r="297" spans="1:19">
      <c r="A297" s="456">
        <v>45991</v>
      </c>
      <c r="B297" s="302" t="s">
        <v>511</v>
      </c>
      <c r="C297" s="177" t="str">
        <f t="shared" si="95"/>
        <v>Oklahoma City Thunder</v>
      </c>
      <c r="D297" s="177">
        <v>110</v>
      </c>
      <c r="E297" s="336">
        <v>123</v>
      </c>
      <c r="F297" s="327">
        <f t="shared" si="96"/>
        <v>1</v>
      </c>
      <c r="G297" s="177" t="str">
        <f t="shared" si="97"/>
        <v>Portland Trail Blazers</v>
      </c>
      <c r="H297" s="177">
        <v>107</v>
      </c>
      <c r="I297" s="336">
        <v>115</v>
      </c>
      <c r="J297" s="327">
        <f t="shared" si="98"/>
        <v>1</v>
      </c>
      <c r="K297" s="177">
        <f t="shared" si="99"/>
        <v>217</v>
      </c>
      <c r="L297" s="336">
        <f t="shared" si="100"/>
        <v>238</v>
      </c>
      <c r="M297" s="327">
        <f t="shared" si="101"/>
        <v>1</v>
      </c>
      <c r="N297" s="337">
        <f t="shared" si="102"/>
        <v>-3</v>
      </c>
      <c r="O297" s="395">
        <f t="shared" si="103"/>
        <v>-8</v>
      </c>
      <c r="P297" s="289">
        <f t="shared" si="104"/>
        <v>1</v>
      </c>
      <c r="Q297" s="460">
        <f>WEEKNUM(tblResultadosNBA[[#This Row],[Fecha]],2)</f>
        <v>48</v>
      </c>
      <c r="R297" s="460" t="str">
        <f>TEXT(tblResultadosNBA[[#This Row],[Fecha]],"mmm")</f>
        <v>nov</v>
      </c>
    </row>
    <row r="298" spans="1:19">
      <c r="A298" s="456">
        <v>45991</v>
      </c>
      <c r="B298" s="302" t="s">
        <v>123</v>
      </c>
      <c r="C298" s="177" t="str">
        <f t="shared" si="95"/>
        <v>San Antonio Spurs</v>
      </c>
      <c r="D298" s="177">
        <v>113</v>
      </c>
      <c r="E298" s="336">
        <v>112</v>
      </c>
      <c r="F298" s="327">
        <f t="shared" si="96"/>
        <v>0</v>
      </c>
      <c r="G298" s="177" t="str">
        <f t="shared" si="97"/>
        <v>Minnesota Timberwolves</v>
      </c>
      <c r="H298" s="177">
        <v>116</v>
      </c>
      <c r="I298" s="336">
        <v>125</v>
      </c>
      <c r="J298" s="327">
        <f t="shared" si="98"/>
        <v>1</v>
      </c>
      <c r="K298" s="177">
        <f t="shared" si="99"/>
        <v>229</v>
      </c>
      <c r="L298" s="336">
        <f t="shared" si="100"/>
        <v>237</v>
      </c>
      <c r="M298" s="327">
        <f t="shared" si="101"/>
        <v>1</v>
      </c>
      <c r="N298" s="337">
        <f t="shared" si="102"/>
        <v>3</v>
      </c>
      <c r="O298" s="395">
        <f t="shared" si="103"/>
        <v>13</v>
      </c>
      <c r="P298" s="289">
        <f t="shared" si="104"/>
        <v>1</v>
      </c>
      <c r="Q298" s="460">
        <f>WEEKNUM(tblResultadosNBA[[#This Row],[Fecha]],2)</f>
        <v>48</v>
      </c>
      <c r="R298" s="460" t="str">
        <f>TEXT(tblResultadosNBA[[#This Row],[Fecha]],"mmm")</f>
        <v>nov</v>
      </c>
    </row>
    <row r="299" spans="1:19">
      <c r="A299" s="456">
        <v>45991</v>
      </c>
      <c r="B299" s="302" t="s">
        <v>124</v>
      </c>
      <c r="C299" s="177" t="str">
        <f t="shared" si="95"/>
        <v>Memphis Grizzlies</v>
      </c>
      <c r="D299" s="177">
        <v>120</v>
      </c>
      <c r="E299" s="336">
        <v>115</v>
      </c>
      <c r="F299" s="327">
        <f t="shared" si="96"/>
        <v>0</v>
      </c>
      <c r="G299" s="177" t="str">
        <f t="shared" si="97"/>
        <v>Sacramento Kings</v>
      </c>
      <c r="H299" s="177">
        <v>113</v>
      </c>
      <c r="I299" s="336">
        <v>107</v>
      </c>
      <c r="J299" s="327">
        <f t="shared" si="98"/>
        <v>0</v>
      </c>
      <c r="K299" s="177">
        <f t="shared" si="99"/>
        <v>233</v>
      </c>
      <c r="L299" s="336">
        <f t="shared" si="100"/>
        <v>222</v>
      </c>
      <c r="M299" s="327">
        <f t="shared" si="101"/>
        <v>0</v>
      </c>
      <c r="N299" s="337">
        <f t="shared" si="102"/>
        <v>-7</v>
      </c>
      <c r="O299" s="395">
        <f t="shared" si="103"/>
        <v>-8</v>
      </c>
      <c r="P299" s="289">
        <f t="shared" si="104"/>
        <v>1</v>
      </c>
      <c r="Q299" s="460">
        <f>WEEKNUM(tblResultadosNBA[[#This Row],[Fecha]],2)</f>
        <v>48</v>
      </c>
      <c r="R299" s="460" t="str">
        <f>TEXT(tblResultadosNBA[[#This Row],[Fecha]],"mmm")</f>
        <v>nov</v>
      </c>
    </row>
    <row r="300" spans="1:19">
      <c r="A300" s="445">
        <v>45991</v>
      </c>
      <c r="B300" s="331" t="s">
        <v>574</v>
      </c>
      <c r="C300" s="286" t="str">
        <f>LEFT(B300,FIND("@",B300)-2)</f>
        <v>New Orleans Pelicans</v>
      </c>
      <c r="D300" s="286">
        <v>104</v>
      </c>
      <c r="E300" s="431">
        <v>121</v>
      </c>
      <c r="F300" s="332">
        <f>IF(E300&gt;D300, 1, 0)</f>
        <v>1</v>
      </c>
      <c r="G300" s="286" t="str">
        <f>MID(B300,FIND("@",B300)+2,LEN(B300)-FIND("@",B300)-1)</f>
        <v>Los Angeles Lakers</v>
      </c>
      <c r="H300" s="286">
        <v>113</v>
      </c>
      <c r="I300" s="431">
        <v>133</v>
      </c>
      <c r="J300" s="332">
        <f>IF(I300&gt;H300, 1, 0)</f>
        <v>1</v>
      </c>
      <c r="K300" s="286">
        <f>+D300+H300</f>
        <v>217</v>
      </c>
      <c r="L300" s="431">
        <f>E300+I300</f>
        <v>254</v>
      </c>
      <c r="M300" s="332">
        <f>IF(L300&gt;K300, 1, 0)</f>
        <v>1</v>
      </c>
      <c r="N300" s="432">
        <f>(+H300-D300)</f>
        <v>9</v>
      </c>
      <c r="O300" s="451">
        <f>I300-E300</f>
        <v>12</v>
      </c>
      <c r="P300" s="433">
        <f>IF(OR(AND(N300&gt;0,O300&gt;0),AND(N300&lt;0,O300&lt;0)),1,0)</f>
        <v>1</v>
      </c>
      <c r="Q300" s="460">
        <f>WEEKNUM(tblResultadosNBA[[#This Row],[Fecha]],2)</f>
        <v>48</v>
      </c>
      <c r="R300" s="460" t="str">
        <f>TEXT(tblResultadosNBA[[#This Row],[Fecha]],"mmm")</f>
        <v>nov</v>
      </c>
      <c r="S300" s="489" t="s">
        <v>386</v>
      </c>
    </row>
    <row r="301" spans="1:19">
      <c r="A301" s="476">
        <v>45992</v>
      </c>
      <c r="B301" s="422" t="s">
        <v>126</v>
      </c>
      <c r="C301" s="341" t="str">
        <f>LEFT(B301,FIND("@",B301)-2)</f>
        <v>Atlanta Hawks</v>
      </c>
      <c r="D301" s="341">
        <v>132</v>
      </c>
      <c r="E301" s="342">
        <v>98</v>
      </c>
      <c r="F301" s="333">
        <f>IF(E301&gt;D301, 1, 0)</f>
        <v>0</v>
      </c>
      <c r="G301" s="341" t="str">
        <f>MID(B301,FIND("@",B301)+2,LEN(B301)-FIND("@",B301)-1)</f>
        <v>Detroit Pistons</v>
      </c>
      <c r="H301" s="341">
        <v>121</v>
      </c>
      <c r="I301" s="342">
        <v>99</v>
      </c>
      <c r="J301" s="333">
        <f>IF(I301&gt;H301, 1, 0)</f>
        <v>0</v>
      </c>
      <c r="K301" s="341">
        <f>+D301+H301</f>
        <v>253</v>
      </c>
      <c r="L301" s="342">
        <f>E301+I301</f>
        <v>197</v>
      </c>
      <c r="M301" s="333">
        <f>IF(L301&gt;K301, 1, 0)</f>
        <v>0</v>
      </c>
      <c r="N301" s="343">
        <f>(+H301-D301)</f>
        <v>-11</v>
      </c>
      <c r="O301" s="449">
        <f>I301-E301</f>
        <v>1</v>
      </c>
      <c r="P301" s="289">
        <f>IF(OR(AND(N301&gt;0,O301&gt;0),AND(N301&lt;0,O301&lt;0)),1,0)</f>
        <v>0</v>
      </c>
      <c r="Q301" s="460">
        <f>WEEKNUM(tblResultadosNBA[[#This Row],[Fecha]],2)</f>
        <v>49</v>
      </c>
      <c r="R301" s="460" t="str">
        <f>TEXT(tblResultadosNBA[[#This Row],[Fecha]],"mmm")</f>
        <v>dic</v>
      </c>
    </row>
    <row r="302" spans="1:19">
      <c r="A302" s="456">
        <v>45992</v>
      </c>
      <c r="B302" s="302" t="s">
        <v>127</v>
      </c>
      <c r="C302" s="177" t="str">
        <f t="shared" ref="C302:C309" si="105">LEFT(B302,FIND("@",B302)-2)</f>
        <v>Cleveland Cavaliers</v>
      </c>
      <c r="D302" s="177">
        <v>120</v>
      </c>
      <c r="E302" s="336">
        <v>135</v>
      </c>
      <c r="F302" s="327">
        <f t="shared" ref="F302:F309" si="106">IF(E302&gt;D302, 1, 0)</f>
        <v>1</v>
      </c>
      <c r="G302" s="177" t="str">
        <f t="shared" ref="G302:G309" si="107">MID(B302,FIND("@",B302)+2,LEN(B302)-FIND("@",B302)-1)</f>
        <v>Indiana Pacers</v>
      </c>
      <c r="H302" s="177">
        <v>116</v>
      </c>
      <c r="I302" s="336">
        <v>119</v>
      </c>
      <c r="J302" s="327">
        <f t="shared" ref="J302:J309" si="108">IF(I302&gt;H302, 1, 0)</f>
        <v>1</v>
      </c>
      <c r="K302" s="177">
        <f t="shared" ref="K302:K309" si="109">+D302+H302</f>
        <v>236</v>
      </c>
      <c r="L302" s="336">
        <f t="shared" ref="L302:L309" si="110">E302+I302</f>
        <v>254</v>
      </c>
      <c r="M302" s="327">
        <f t="shared" ref="M302:M309" si="111">IF(L302&gt;K302, 1, 0)</f>
        <v>1</v>
      </c>
      <c r="N302" s="337">
        <f t="shared" ref="N302:N309" si="112">(+H302-D302)</f>
        <v>-4</v>
      </c>
      <c r="O302" s="395">
        <f t="shared" ref="O302:O309" si="113">I302-E302</f>
        <v>-16</v>
      </c>
      <c r="P302" s="289">
        <f t="shared" ref="P302:P309" si="114">IF(OR(AND(N302&gt;0,O302&gt;0),AND(N302&lt;0,O302&lt;0)),1,0)</f>
        <v>1</v>
      </c>
      <c r="Q302" s="460">
        <f>WEEKNUM(tblResultadosNBA[[#This Row],[Fecha]],2)</f>
        <v>49</v>
      </c>
      <c r="R302" s="460" t="str">
        <f>TEXT(tblResultadosNBA[[#This Row],[Fecha]],"mmm")</f>
        <v>dic</v>
      </c>
    </row>
    <row r="303" spans="1:19">
      <c r="A303" s="456">
        <v>45992</v>
      </c>
      <c r="B303" s="302" t="s">
        <v>128</v>
      </c>
      <c r="C303" s="177" t="str">
        <f t="shared" si="105"/>
        <v>Milwaukee Bucks</v>
      </c>
      <c r="D303" s="177">
        <v>116</v>
      </c>
      <c r="E303" s="336">
        <v>126</v>
      </c>
      <c r="F303" s="327">
        <f t="shared" si="106"/>
        <v>1</v>
      </c>
      <c r="G303" s="177" t="str">
        <f t="shared" si="107"/>
        <v>Washington Wizards</v>
      </c>
      <c r="H303" s="177">
        <v>124</v>
      </c>
      <c r="I303" s="336">
        <v>129</v>
      </c>
      <c r="J303" s="327">
        <f t="shared" si="108"/>
        <v>1</v>
      </c>
      <c r="K303" s="177">
        <f t="shared" si="109"/>
        <v>240</v>
      </c>
      <c r="L303" s="336">
        <f t="shared" si="110"/>
        <v>255</v>
      </c>
      <c r="M303" s="327">
        <f t="shared" si="111"/>
        <v>1</v>
      </c>
      <c r="N303" s="337">
        <f t="shared" si="112"/>
        <v>8</v>
      </c>
      <c r="O303" s="395">
        <f t="shared" si="113"/>
        <v>3</v>
      </c>
      <c r="P303" s="289">
        <f t="shared" si="114"/>
        <v>1</v>
      </c>
      <c r="Q303" s="460">
        <f>WEEKNUM(tblResultadosNBA[[#This Row],[Fecha]],2)</f>
        <v>49</v>
      </c>
      <c r="R303" s="460" t="str">
        <f>TEXT(tblResultadosNBA[[#This Row],[Fecha]],"mmm")</f>
        <v>dic</v>
      </c>
    </row>
    <row r="304" spans="1:19">
      <c r="A304" s="456">
        <v>45992</v>
      </c>
      <c r="B304" s="302" t="s">
        <v>129</v>
      </c>
      <c r="C304" s="177" t="str">
        <f t="shared" si="105"/>
        <v>Charlotte Hornets</v>
      </c>
      <c r="D304" s="177">
        <v>115</v>
      </c>
      <c r="E304" s="336">
        <v>103</v>
      </c>
      <c r="F304" s="327">
        <f t="shared" si="106"/>
        <v>0</v>
      </c>
      <c r="G304" s="177" t="str">
        <f t="shared" si="107"/>
        <v>Brooklyn Nets</v>
      </c>
      <c r="H304" s="177">
        <v>113</v>
      </c>
      <c r="I304" s="336">
        <v>116</v>
      </c>
      <c r="J304" s="327">
        <f t="shared" si="108"/>
        <v>1</v>
      </c>
      <c r="K304" s="177">
        <f t="shared" si="109"/>
        <v>228</v>
      </c>
      <c r="L304" s="336">
        <f t="shared" si="110"/>
        <v>219</v>
      </c>
      <c r="M304" s="327">
        <f t="shared" si="111"/>
        <v>0</v>
      </c>
      <c r="N304" s="337">
        <f t="shared" si="112"/>
        <v>-2</v>
      </c>
      <c r="O304" s="395">
        <f t="shared" si="113"/>
        <v>13</v>
      </c>
      <c r="P304" s="289">
        <f t="shared" si="114"/>
        <v>0</v>
      </c>
      <c r="Q304" s="460">
        <f>WEEKNUM(tblResultadosNBA[[#This Row],[Fecha]],2)</f>
        <v>49</v>
      </c>
      <c r="R304" s="460" t="str">
        <f>TEXT(tblResultadosNBA[[#This Row],[Fecha]],"mmm")</f>
        <v>dic</v>
      </c>
    </row>
    <row r="305" spans="1:18">
      <c r="A305" s="456">
        <v>45992</v>
      </c>
      <c r="B305" s="302" t="s">
        <v>575</v>
      </c>
      <c r="C305" s="177" t="str">
        <f t="shared" si="105"/>
        <v>LA Clippers</v>
      </c>
      <c r="D305" s="177">
        <v>117</v>
      </c>
      <c r="E305" s="336">
        <v>123</v>
      </c>
      <c r="F305" s="327">
        <f t="shared" si="106"/>
        <v>1</v>
      </c>
      <c r="G305" s="177" t="str">
        <f t="shared" si="107"/>
        <v>Miami Heat</v>
      </c>
      <c r="H305" s="177">
        <v>111</v>
      </c>
      <c r="I305" s="336">
        <v>140</v>
      </c>
      <c r="J305" s="327">
        <f t="shared" si="108"/>
        <v>1</v>
      </c>
      <c r="K305" s="177">
        <f t="shared" si="109"/>
        <v>228</v>
      </c>
      <c r="L305" s="336">
        <f t="shared" si="110"/>
        <v>263</v>
      </c>
      <c r="M305" s="327">
        <f t="shared" si="111"/>
        <v>1</v>
      </c>
      <c r="N305" s="337">
        <f t="shared" si="112"/>
        <v>-6</v>
      </c>
      <c r="O305" s="395">
        <f t="shared" si="113"/>
        <v>17</v>
      </c>
      <c r="P305" s="289">
        <f t="shared" si="114"/>
        <v>0</v>
      </c>
      <c r="Q305" s="460">
        <f>WEEKNUM(tblResultadosNBA[[#This Row],[Fecha]],2)</f>
        <v>49</v>
      </c>
      <c r="R305" s="460" t="str">
        <f>TEXT(tblResultadosNBA[[#This Row],[Fecha]],"mmm")</f>
        <v>dic</v>
      </c>
    </row>
    <row r="306" spans="1:18">
      <c r="A306" s="456">
        <v>45992</v>
      </c>
      <c r="B306" s="302" t="s">
        <v>130</v>
      </c>
      <c r="C306" s="177" t="str">
        <f t="shared" si="105"/>
        <v>Chicago Bulls</v>
      </c>
      <c r="D306" s="177">
        <v>117</v>
      </c>
      <c r="E306" s="336">
        <v>120</v>
      </c>
      <c r="F306" s="327">
        <f t="shared" si="106"/>
        <v>1</v>
      </c>
      <c r="G306" s="177" t="str">
        <f t="shared" si="107"/>
        <v>Orlando Magic</v>
      </c>
      <c r="H306" s="177">
        <v>122</v>
      </c>
      <c r="I306" s="336">
        <v>125</v>
      </c>
      <c r="J306" s="327">
        <f t="shared" si="108"/>
        <v>1</v>
      </c>
      <c r="K306" s="177">
        <f t="shared" si="109"/>
        <v>239</v>
      </c>
      <c r="L306" s="336">
        <f t="shared" si="110"/>
        <v>245</v>
      </c>
      <c r="M306" s="327">
        <f t="shared" si="111"/>
        <v>1</v>
      </c>
      <c r="N306" s="337">
        <f t="shared" si="112"/>
        <v>5</v>
      </c>
      <c r="O306" s="395">
        <f t="shared" si="113"/>
        <v>5</v>
      </c>
      <c r="P306" s="289">
        <f t="shared" si="114"/>
        <v>1</v>
      </c>
      <c r="Q306" s="460">
        <f>WEEKNUM(tblResultadosNBA[[#This Row],[Fecha]],2)</f>
        <v>49</v>
      </c>
      <c r="R306" s="460" t="str">
        <f>TEXT(tblResultadosNBA[[#This Row],[Fecha]],"mmm")</f>
        <v>dic</v>
      </c>
    </row>
    <row r="307" spans="1:18">
      <c r="A307" s="456">
        <v>45992</v>
      </c>
      <c r="B307" s="302" t="s">
        <v>576</v>
      </c>
      <c r="C307" s="177" t="str">
        <f t="shared" si="105"/>
        <v>Dallas Mavericks</v>
      </c>
      <c r="D307" s="177">
        <v>112</v>
      </c>
      <c r="E307" s="336">
        <v>131</v>
      </c>
      <c r="F307" s="327">
        <f t="shared" si="106"/>
        <v>1</v>
      </c>
      <c r="G307" s="177" t="str">
        <f t="shared" si="107"/>
        <v>Denver Nuggets</v>
      </c>
      <c r="H307" s="177">
        <v>108</v>
      </c>
      <c r="I307" s="336">
        <v>121</v>
      </c>
      <c r="J307" s="327">
        <f t="shared" si="108"/>
        <v>1</v>
      </c>
      <c r="K307" s="177">
        <f t="shared" si="109"/>
        <v>220</v>
      </c>
      <c r="L307" s="336">
        <f t="shared" si="110"/>
        <v>252</v>
      </c>
      <c r="M307" s="327">
        <f t="shared" si="111"/>
        <v>1</v>
      </c>
      <c r="N307" s="337">
        <f t="shared" si="112"/>
        <v>-4</v>
      </c>
      <c r="O307" s="395">
        <f t="shared" si="113"/>
        <v>-10</v>
      </c>
      <c r="P307" s="289">
        <f t="shared" si="114"/>
        <v>1</v>
      </c>
      <c r="Q307" s="460">
        <f>WEEKNUM(tblResultadosNBA[[#This Row],[Fecha]],2)</f>
        <v>49</v>
      </c>
      <c r="R307" s="460" t="str">
        <f>TEXT(tblResultadosNBA[[#This Row],[Fecha]],"mmm")</f>
        <v>dic</v>
      </c>
    </row>
    <row r="308" spans="1:18">
      <c r="A308" s="456">
        <v>45992</v>
      </c>
      <c r="B308" s="302" t="s">
        <v>121</v>
      </c>
      <c r="C308" s="177" t="str">
        <f t="shared" si="105"/>
        <v>Houston Rockets</v>
      </c>
      <c r="D308" s="177">
        <v>123</v>
      </c>
      <c r="E308" s="336">
        <v>125</v>
      </c>
      <c r="F308" s="327">
        <f t="shared" si="106"/>
        <v>1</v>
      </c>
      <c r="G308" s="177" t="str">
        <f t="shared" si="107"/>
        <v>Utah Jazz</v>
      </c>
      <c r="H308" s="177">
        <v>124</v>
      </c>
      <c r="I308" s="336">
        <v>133</v>
      </c>
      <c r="J308" s="327">
        <f t="shared" si="108"/>
        <v>1</v>
      </c>
      <c r="K308" s="177">
        <f t="shared" si="109"/>
        <v>247</v>
      </c>
      <c r="L308" s="336">
        <f t="shared" si="110"/>
        <v>258</v>
      </c>
      <c r="M308" s="327">
        <f t="shared" si="111"/>
        <v>1</v>
      </c>
      <c r="N308" s="337">
        <f t="shared" si="112"/>
        <v>1</v>
      </c>
      <c r="O308" s="395">
        <f t="shared" si="113"/>
        <v>8</v>
      </c>
      <c r="P308" s="289">
        <f t="shared" si="114"/>
        <v>1</v>
      </c>
      <c r="Q308" s="460">
        <f>WEEKNUM(tblResultadosNBA[[#This Row],[Fecha]],2)</f>
        <v>49</v>
      </c>
      <c r="R308" s="460" t="str">
        <f>TEXT(tblResultadosNBA[[#This Row],[Fecha]],"mmm")</f>
        <v>dic</v>
      </c>
    </row>
    <row r="309" spans="1:18">
      <c r="A309" s="456">
        <v>45992</v>
      </c>
      <c r="B309" s="331" t="s">
        <v>131</v>
      </c>
      <c r="C309" s="286" t="str">
        <f t="shared" si="105"/>
        <v>Phoenix Suns</v>
      </c>
      <c r="D309" s="286">
        <v>119</v>
      </c>
      <c r="E309" s="431">
        <v>125</v>
      </c>
      <c r="F309" s="332">
        <f t="shared" si="106"/>
        <v>1</v>
      </c>
      <c r="G309" s="286" t="str">
        <f t="shared" si="107"/>
        <v>Los Angeles Lakers</v>
      </c>
      <c r="H309" s="286">
        <v>124</v>
      </c>
      <c r="I309" s="431">
        <v>108</v>
      </c>
      <c r="J309" s="332">
        <f t="shared" si="108"/>
        <v>0</v>
      </c>
      <c r="K309" s="286">
        <f t="shared" si="109"/>
        <v>243</v>
      </c>
      <c r="L309" s="431">
        <f t="shared" si="110"/>
        <v>233</v>
      </c>
      <c r="M309" s="332">
        <f t="shared" si="111"/>
        <v>0</v>
      </c>
      <c r="N309" s="432">
        <f t="shared" si="112"/>
        <v>5</v>
      </c>
      <c r="O309" s="451">
        <f t="shared" si="113"/>
        <v>-17</v>
      </c>
      <c r="P309" s="433">
        <f t="shared" si="114"/>
        <v>0</v>
      </c>
      <c r="Q309" s="460">
        <f>WEEKNUM(tblResultadosNBA[[#This Row],[Fecha]],2)</f>
        <v>49</v>
      </c>
      <c r="R309" s="460" t="str">
        <f>TEXT(tblResultadosNBA[[#This Row],[Fecha]],"mmm")</f>
        <v>dic</v>
      </c>
    </row>
    <row r="310" spans="1:18">
      <c r="A310" s="456">
        <v>45993</v>
      </c>
      <c r="B310" s="422" t="s">
        <v>132</v>
      </c>
      <c r="C310" s="341" t="str">
        <f>LEFT(B310,FIND("@",B310)-2)</f>
        <v>Washington Wizards</v>
      </c>
      <c r="D310" s="341">
        <v>126</v>
      </c>
      <c r="E310" s="342">
        <v>102</v>
      </c>
      <c r="F310" s="333">
        <f>IF(E310&gt;D310, 1, 0)</f>
        <v>0</v>
      </c>
      <c r="G310" s="341" t="str">
        <f>MID(B310,FIND("@",B310)+2,LEN(B310)-FIND("@",B310)-1)</f>
        <v>Philadelphia 76ers</v>
      </c>
      <c r="H310" s="341">
        <v>130</v>
      </c>
      <c r="I310" s="342">
        <v>121</v>
      </c>
      <c r="J310" s="333">
        <f>IF(I310&gt;H310, 1, 0)</f>
        <v>0</v>
      </c>
      <c r="K310" s="341">
        <f>+D310+H310</f>
        <v>256</v>
      </c>
      <c r="L310" s="342">
        <f>E310+I310</f>
        <v>223</v>
      </c>
      <c r="M310" s="333">
        <f>IF(L310&gt;K310, 1, 0)</f>
        <v>0</v>
      </c>
      <c r="N310" s="343">
        <f>(+H310-D310)</f>
        <v>4</v>
      </c>
      <c r="O310" s="449">
        <f>I310-E310</f>
        <v>19</v>
      </c>
      <c r="P310" s="289">
        <f>IF(OR(AND(N310&gt;0,O310&gt;0),AND(N310&lt;0,O310&lt;0)),1,0)</f>
        <v>1</v>
      </c>
      <c r="Q310" s="460">
        <f>WEEKNUM(tblResultadosNBA[[#This Row],[Fecha]],2)</f>
        <v>49</v>
      </c>
      <c r="R310" s="460" t="str">
        <f>TEXT(tblResultadosNBA[[#This Row],[Fecha]],"mmm")</f>
        <v>dic</v>
      </c>
    </row>
    <row r="311" spans="1:18">
      <c r="A311" s="456">
        <v>45993</v>
      </c>
      <c r="B311" s="302" t="s">
        <v>133</v>
      </c>
      <c r="C311" s="177" t="str">
        <f t="shared" ref="C311:C314" si="115">LEFT(B311,FIND("@",B311)-2)</f>
        <v>Portland Trail Blazers</v>
      </c>
      <c r="D311" s="177">
        <v>113</v>
      </c>
      <c r="E311" s="336">
        <v>118</v>
      </c>
      <c r="F311" s="327">
        <f t="shared" ref="F311:F314" si="116">IF(E311&gt;D311, 1, 0)</f>
        <v>1</v>
      </c>
      <c r="G311" s="177" t="str">
        <f t="shared" ref="G311:G314" si="117">MID(B311,FIND("@",B311)+2,LEN(B311)-FIND("@",B311)-1)</f>
        <v>Toronto Raptors</v>
      </c>
      <c r="H311" s="177">
        <v>120</v>
      </c>
      <c r="I311" s="336">
        <v>121</v>
      </c>
      <c r="J311" s="327">
        <f t="shared" ref="J311:J314" si="118">IF(I311&gt;H311, 1, 0)</f>
        <v>1</v>
      </c>
      <c r="K311" s="177">
        <f t="shared" ref="K311:K314" si="119">+D311+H311</f>
        <v>233</v>
      </c>
      <c r="L311" s="336">
        <f t="shared" ref="L311:L314" si="120">E311+I311</f>
        <v>239</v>
      </c>
      <c r="M311" s="327">
        <f t="shared" ref="M311:M314" si="121">IF(L311&gt;K311, 1, 0)</f>
        <v>1</v>
      </c>
      <c r="N311" s="337">
        <f t="shared" ref="N311:N314" si="122">(+H311-D311)</f>
        <v>7</v>
      </c>
      <c r="O311" s="395">
        <f t="shared" ref="O311:O314" si="123">I311-E311</f>
        <v>3</v>
      </c>
      <c r="P311" s="289">
        <f t="shared" ref="P311:P314" si="124">IF(OR(AND(N311&gt;0,O311&gt;0),AND(N311&lt;0,O311&lt;0)),1,0)</f>
        <v>1</v>
      </c>
      <c r="Q311" s="460">
        <f>WEEKNUM(tblResultadosNBA[[#This Row],[Fecha]],2)</f>
        <v>49</v>
      </c>
      <c r="R311" s="460" t="str">
        <f>TEXT(tblResultadosNBA[[#This Row],[Fecha]],"mmm")</f>
        <v>dic</v>
      </c>
    </row>
    <row r="312" spans="1:18">
      <c r="A312" s="456">
        <v>45993</v>
      </c>
      <c r="B312" s="302" t="s">
        <v>134</v>
      </c>
      <c r="C312" s="177" t="str">
        <f t="shared" si="115"/>
        <v>New York Knicks</v>
      </c>
      <c r="D312" s="177">
        <v>107</v>
      </c>
      <c r="E312" s="336">
        <v>117</v>
      </c>
      <c r="F312" s="327">
        <f t="shared" si="116"/>
        <v>1</v>
      </c>
      <c r="G312" s="177" t="str">
        <f t="shared" si="117"/>
        <v>Boston Celtics</v>
      </c>
      <c r="H312" s="177">
        <v>126</v>
      </c>
      <c r="I312" s="336">
        <v>123</v>
      </c>
      <c r="J312" s="327">
        <f t="shared" si="118"/>
        <v>0</v>
      </c>
      <c r="K312" s="177">
        <f t="shared" si="119"/>
        <v>233</v>
      </c>
      <c r="L312" s="336">
        <f t="shared" si="120"/>
        <v>240</v>
      </c>
      <c r="M312" s="327">
        <f t="shared" si="121"/>
        <v>1</v>
      </c>
      <c r="N312" s="337">
        <f t="shared" si="122"/>
        <v>19</v>
      </c>
      <c r="O312" s="395">
        <f t="shared" si="123"/>
        <v>6</v>
      </c>
      <c r="P312" s="289">
        <f t="shared" si="124"/>
        <v>1</v>
      </c>
      <c r="Q312" s="460">
        <f>WEEKNUM(tblResultadosNBA[[#This Row],[Fecha]],2)</f>
        <v>49</v>
      </c>
      <c r="R312" s="460" t="str">
        <f>TEXT(tblResultadosNBA[[#This Row],[Fecha]],"mmm")</f>
        <v>dic</v>
      </c>
    </row>
    <row r="313" spans="1:18">
      <c r="A313" s="456">
        <v>45993</v>
      </c>
      <c r="B313" s="302" t="s">
        <v>135</v>
      </c>
      <c r="C313" s="177" t="str">
        <f t="shared" si="115"/>
        <v>Minnesota Timberwolves</v>
      </c>
      <c r="D313" s="177">
        <v>124</v>
      </c>
      <c r="E313" s="336">
        <v>149</v>
      </c>
      <c r="F313" s="327">
        <f t="shared" si="116"/>
        <v>1</v>
      </c>
      <c r="G313" s="177" t="str">
        <f t="shared" si="117"/>
        <v>New Orleans Pelicans</v>
      </c>
      <c r="H313" s="177">
        <v>135</v>
      </c>
      <c r="I313" s="336">
        <v>142</v>
      </c>
      <c r="J313" s="327">
        <f t="shared" si="118"/>
        <v>1</v>
      </c>
      <c r="K313" s="177">
        <f t="shared" si="119"/>
        <v>259</v>
      </c>
      <c r="L313" s="336">
        <f t="shared" si="120"/>
        <v>291</v>
      </c>
      <c r="M313" s="327">
        <f t="shared" si="121"/>
        <v>1</v>
      </c>
      <c r="N313" s="337">
        <f t="shared" si="122"/>
        <v>11</v>
      </c>
      <c r="O313" s="395">
        <f t="shared" si="123"/>
        <v>-7</v>
      </c>
      <c r="P313" s="289">
        <f t="shared" si="124"/>
        <v>0</v>
      </c>
      <c r="Q313" s="460">
        <f>WEEKNUM(tblResultadosNBA[[#This Row],[Fecha]],2)</f>
        <v>49</v>
      </c>
      <c r="R313" s="460" t="str">
        <f>TEXT(tblResultadosNBA[[#This Row],[Fecha]],"mmm")</f>
        <v>dic</v>
      </c>
    </row>
    <row r="314" spans="1:18">
      <c r="A314" s="456">
        <v>45993</v>
      </c>
      <c r="B314" s="302" t="s">
        <v>78</v>
      </c>
      <c r="C314" s="177" t="str">
        <f t="shared" si="115"/>
        <v>Memphis Grizzlies</v>
      </c>
      <c r="D314" s="177">
        <v>114</v>
      </c>
      <c r="E314" s="336">
        <v>119</v>
      </c>
      <c r="F314" s="327">
        <f t="shared" si="116"/>
        <v>1</v>
      </c>
      <c r="G314" s="177" t="str">
        <f t="shared" si="117"/>
        <v>San Antonio Spurs</v>
      </c>
      <c r="H314" s="177">
        <v>127</v>
      </c>
      <c r="I314" s="336">
        <v>126</v>
      </c>
      <c r="J314" s="327">
        <f t="shared" si="118"/>
        <v>0</v>
      </c>
      <c r="K314" s="177">
        <f t="shared" si="119"/>
        <v>241</v>
      </c>
      <c r="L314" s="336">
        <f t="shared" si="120"/>
        <v>245</v>
      </c>
      <c r="M314" s="327">
        <f t="shared" si="121"/>
        <v>1</v>
      </c>
      <c r="N314" s="337">
        <f t="shared" si="122"/>
        <v>13</v>
      </c>
      <c r="O314" s="395">
        <f t="shared" si="123"/>
        <v>7</v>
      </c>
      <c r="P314" s="289">
        <f t="shared" si="124"/>
        <v>1</v>
      </c>
      <c r="Q314" s="460">
        <f>WEEKNUM(tblResultadosNBA[[#This Row],[Fecha]],2)</f>
        <v>49</v>
      </c>
      <c r="R314" s="460" t="str">
        <f>TEXT(tblResultadosNBA[[#This Row],[Fecha]],"mmm")</f>
        <v>dic</v>
      </c>
    </row>
    <row r="315" spans="1:18">
      <c r="A315" s="445">
        <v>45993</v>
      </c>
      <c r="B315" s="331" t="s">
        <v>136</v>
      </c>
      <c r="C315" s="286" t="str">
        <f>LEFT(B315,FIND("@",B315)-2)</f>
        <v>Oklahoma City Thunder</v>
      </c>
      <c r="D315" s="286">
        <v>120</v>
      </c>
      <c r="E315" s="431">
        <v>124</v>
      </c>
      <c r="F315" s="332">
        <f>IF(E315&gt;D315, 1, 0)</f>
        <v>1</v>
      </c>
      <c r="G315" s="286" t="str">
        <f>MID(B315,FIND("@",B315)+2,LEN(B315)-FIND("@",B315)-1)</f>
        <v>Golden State Warriors</v>
      </c>
      <c r="H315" s="286">
        <v>123</v>
      </c>
      <c r="I315" s="431">
        <v>112</v>
      </c>
      <c r="J315" s="332">
        <f>IF(I315&gt;H315, 1, 0)</f>
        <v>0</v>
      </c>
      <c r="K315" s="286">
        <f>+D315+H315</f>
        <v>243</v>
      </c>
      <c r="L315" s="431">
        <f>E315+I315</f>
        <v>236</v>
      </c>
      <c r="M315" s="332">
        <f>IF(L315&gt;K315, 1, 0)</f>
        <v>0</v>
      </c>
      <c r="N315" s="432">
        <f>(+H315-D315)</f>
        <v>3</v>
      </c>
      <c r="O315" s="451">
        <f>I315-E315</f>
        <v>-12</v>
      </c>
      <c r="P315" s="433">
        <f>IF(OR(AND(N315&gt;0,O315&gt;0),AND(N315&lt;0,O315&lt;0)),1,0)</f>
        <v>0</v>
      </c>
      <c r="Q315" s="460">
        <f>WEEKNUM(tblResultadosNBA[[#This Row],[Fecha]],2)</f>
        <v>49</v>
      </c>
      <c r="R315" s="460" t="str">
        <f>TEXT(tblResultadosNBA[[#This Row],[Fecha]],"mmm")</f>
        <v>dic</v>
      </c>
    </row>
    <row r="316" spans="1:18">
      <c r="A316" s="476">
        <v>45994</v>
      </c>
      <c r="B316" s="422" t="s">
        <v>137</v>
      </c>
      <c r="C316" s="341" t="str">
        <f t="shared" ref="C316:C318" si="125">LEFT(B316,FIND("@",B316)-2)</f>
        <v>Portland Trail Blazers</v>
      </c>
      <c r="D316" s="341">
        <v>127</v>
      </c>
      <c r="E316" s="342">
        <v>122</v>
      </c>
      <c r="F316" s="333">
        <f t="shared" ref="F316:F318" si="126">IF(E316&gt;D316, 1, 0)</f>
        <v>0</v>
      </c>
      <c r="G316" s="341" t="str">
        <f t="shared" ref="G316:G318" si="127">MID(B316,FIND("@",B316)+2,LEN(B316)-FIND("@",B316)-1)</f>
        <v>Cleveland Cavaliers</v>
      </c>
      <c r="H316" s="341">
        <v>120</v>
      </c>
      <c r="I316" s="342">
        <v>110</v>
      </c>
      <c r="J316" s="333">
        <f t="shared" ref="J316:J318" si="128">IF(I316&gt;H316, 1, 0)</f>
        <v>0</v>
      </c>
      <c r="K316" s="341">
        <f t="shared" ref="K316:K318" si="129">+D316+H316</f>
        <v>247</v>
      </c>
      <c r="L316" s="342">
        <f t="shared" ref="L316:L318" si="130">E316+I316</f>
        <v>232</v>
      </c>
      <c r="M316" s="333">
        <f t="shared" ref="M316:M318" si="131">IF(L316&gt;K316, 1, 0)</f>
        <v>0</v>
      </c>
      <c r="N316" s="343">
        <f t="shared" ref="N316:N318" si="132">(+H316-D316)</f>
        <v>-7</v>
      </c>
      <c r="O316" s="449">
        <f t="shared" ref="O316:O318" si="133">I316-E316</f>
        <v>-12</v>
      </c>
      <c r="P316" s="289">
        <f t="shared" ref="P316:P318" si="134">IF(OR(AND(N316&gt;0,O316&gt;0),AND(N316&lt;0,O316&lt;0)),1,0)</f>
        <v>1</v>
      </c>
      <c r="Q316" s="460">
        <f>WEEKNUM(tblResultadosNBA[[#This Row],[Fecha]],2)</f>
        <v>49</v>
      </c>
      <c r="R316" s="460" t="str">
        <f>TEXT(tblResultadosNBA[[#This Row],[Fecha]],"mmm")</f>
        <v>dic</v>
      </c>
    </row>
    <row r="317" spans="1:18">
      <c r="A317" s="456">
        <v>45994</v>
      </c>
      <c r="B317" s="302" t="s">
        <v>138</v>
      </c>
      <c r="C317" s="177" t="str">
        <f t="shared" si="125"/>
        <v>Denver Nuggets</v>
      </c>
      <c r="D317" s="177">
        <v>120</v>
      </c>
      <c r="E317" s="336">
        <v>135</v>
      </c>
      <c r="F317" s="327">
        <f t="shared" si="126"/>
        <v>1</v>
      </c>
      <c r="G317" s="177" t="str">
        <f t="shared" si="127"/>
        <v>Indiana Pacers</v>
      </c>
      <c r="H317" s="177">
        <v>117</v>
      </c>
      <c r="I317" s="336">
        <v>120</v>
      </c>
      <c r="J317" s="327">
        <f t="shared" si="128"/>
        <v>1</v>
      </c>
      <c r="K317" s="177">
        <f t="shared" si="129"/>
        <v>237</v>
      </c>
      <c r="L317" s="336">
        <f t="shared" si="130"/>
        <v>255</v>
      </c>
      <c r="M317" s="327">
        <f t="shared" si="131"/>
        <v>1</v>
      </c>
      <c r="N317" s="337">
        <f t="shared" si="132"/>
        <v>-3</v>
      </c>
      <c r="O317" s="395">
        <f t="shared" si="133"/>
        <v>-15</v>
      </c>
      <c r="P317" s="289">
        <f t="shared" si="134"/>
        <v>1</v>
      </c>
      <c r="Q317" s="460">
        <f>WEEKNUM(tblResultadosNBA[[#This Row],[Fecha]],2)</f>
        <v>49</v>
      </c>
      <c r="R317" s="460" t="str">
        <f>TEXT(tblResultadosNBA[[#This Row],[Fecha]],"mmm")</f>
        <v>dic</v>
      </c>
    </row>
    <row r="318" spans="1:18">
      <c r="A318" s="456">
        <v>45994</v>
      </c>
      <c r="B318" s="302" t="s">
        <v>577</v>
      </c>
      <c r="C318" s="177" t="str">
        <f t="shared" si="125"/>
        <v>San Antonio Spurs</v>
      </c>
      <c r="D318" s="177">
        <v>114</v>
      </c>
      <c r="E318" s="336">
        <v>114</v>
      </c>
      <c r="F318" s="327">
        <f t="shared" si="126"/>
        <v>0</v>
      </c>
      <c r="G318" s="177" t="str">
        <f t="shared" si="127"/>
        <v>Orlando Magic</v>
      </c>
      <c r="H318" s="177">
        <v>116</v>
      </c>
      <c r="I318" s="336">
        <v>112</v>
      </c>
      <c r="J318" s="327">
        <f t="shared" si="128"/>
        <v>0</v>
      </c>
      <c r="K318" s="177">
        <f t="shared" si="129"/>
        <v>230</v>
      </c>
      <c r="L318" s="336">
        <f t="shared" si="130"/>
        <v>226</v>
      </c>
      <c r="M318" s="327">
        <f t="shared" si="131"/>
        <v>0</v>
      </c>
      <c r="N318" s="337">
        <f t="shared" si="132"/>
        <v>2</v>
      </c>
      <c r="O318" s="395">
        <f t="shared" si="133"/>
        <v>-2</v>
      </c>
      <c r="P318" s="289">
        <f t="shared" si="134"/>
        <v>0</v>
      </c>
      <c r="Q318" s="460">
        <f>WEEKNUM(tblResultadosNBA[[#This Row],[Fecha]],2)</f>
        <v>49</v>
      </c>
      <c r="R318" s="460" t="str">
        <f>TEXT(tblResultadosNBA[[#This Row],[Fecha]],"mmm")</f>
        <v>dic</v>
      </c>
    </row>
    <row r="319" spans="1:18">
      <c r="A319" s="456">
        <v>45994</v>
      </c>
      <c r="B319" s="302" t="s">
        <v>139</v>
      </c>
      <c r="C319" s="177" t="str">
        <f t="shared" ref="C319:C321" si="135">LEFT(B319,FIND("@",B319)-2)</f>
        <v>LA Clippers</v>
      </c>
      <c r="D319" s="177">
        <v>117</v>
      </c>
      <c r="E319" s="336">
        <v>115</v>
      </c>
      <c r="F319" s="327">
        <f t="shared" ref="F319:F321" si="136">IF(E319&gt;D319, 1, 0)</f>
        <v>0</v>
      </c>
      <c r="G319" s="177" t="str">
        <f t="shared" ref="G319:G321" si="137">MID(B319,FIND("@",B319)+2,LEN(B319)-FIND("@",B319)-1)</f>
        <v>Atlanta Hawks</v>
      </c>
      <c r="H319" s="177">
        <v>123</v>
      </c>
      <c r="I319" s="336">
        <v>92</v>
      </c>
      <c r="J319" s="327">
        <f t="shared" ref="J319:J321" si="138">IF(I319&gt;H319, 1, 0)</f>
        <v>0</v>
      </c>
      <c r="K319" s="177">
        <f t="shared" ref="K319:K321" si="139">+D319+H319</f>
        <v>240</v>
      </c>
      <c r="L319" s="336">
        <f t="shared" ref="L319:L321" si="140">E319+I319</f>
        <v>207</v>
      </c>
      <c r="M319" s="327">
        <f t="shared" ref="M319:M321" si="141">IF(L319&gt;K319, 1, 0)</f>
        <v>0</v>
      </c>
      <c r="N319" s="337">
        <f t="shared" ref="N319:N321" si="142">(+H319-D319)</f>
        <v>6</v>
      </c>
      <c r="O319" s="395">
        <f t="shared" ref="O319:O321" si="143">I319-E319</f>
        <v>-23</v>
      </c>
      <c r="P319" s="289">
        <f t="shared" ref="P319:P321" si="144">IF(OR(AND(N319&gt;0,O319&gt;0),AND(N319&lt;0,O319&lt;0)),1,0)</f>
        <v>0</v>
      </c>
      <c r="Q319" s="460">
        <f>WEEKNUM(tblResultadosNBA[[#This Row],[Fecha]],2)</f>
        <v>49</v>
      </c>
      <c r="R319" s="460" t="str">
        <f>TEXT(tblResultadosNBA[[#This Row],[Fecha]],"mmm")</f>
        <v>dic</v>
      </c>
    </row>
    <row r="320" spans="1:18">
      <c r="A320" s="456">
        <v>45994</v>
      </c>
      <c r="B320" s="302" t="s">
        <v>140</v>
      </c>
      <c r="C320" s="177" t="str">
        <f t="shared" si="135"/>
        <v>Charlotte Hornets</v>
      </c>
      <c r="D320" s="177">
        <v>116</v>
      </c>
      <c r="E320" s="336">
        <v>104</v>
      </c>
      <c r="F320" s="327">
        <f t="shared" si="136"/>
        <v>0</v>
      </c>
      <c r="G320" s="177" t="str">
        <f t="shared" si="137"/>
        <v>New York Knicks</v>
      </c>
      <c r="H320" s="177">
        <v>127</v>
      </c>
      <c r="I320" s="336">
        <v>119</v>
      </c>
      <c r="J320" s="327">
        <f t="shared" si="138"/>
        <v>0</v>
      </c>
      <c r="K320" s="177">
        <f t="shared" si="139"/>
        <v>243</v>
      </c>
      <c r="L320" s="336">
        <f t="shared" si="140"/>
        <v>223</v>
      </c>
      <c r="M320" s="327">
        <f t="shared" si="141"/>
        <v>0</v>
      </c>
      <c r="N320" s="337">
        <f t="shared" si="142"/>
        <v>11</v>
      </c>
      <c r="O320" s="395">
        <f t="shared" si="143"/>
        <v>15</v>
      </c>
      <c r="P320" s="289">
        <f t="shared" si="144"/>
        <v>1</v>
      </c>
      <c r="Q320" s="460">
        <f>WEEKNUM(tblResultadosNBA[[#This Row],[Fecha]],2)</f>
        <v>49</v>
      </c>
      <c r="R320" s="460" t="str">
        <f>TEXT(tblResultadosNBA[[#This Row],[Fecha]],"mmm")</f>
        <v>dic</v>
      </c>
    </row>
    <row r="321" spans="1:18">
      <c r="A321" s="456">
        <v>45994</v>
      </c>
      <c r="B321" s="302" t="s">
        <v>141</v>
      </c>
      <c r="C321" s="177" t="str">
        <f t="shared" si="135"/>
        <v>Brooklyn Nets</v>
      </c>
      <c r="D321" s="177">
        <v>111</v>
      </c>
      <c r="E321" s="336">
        <v>113</v>
      </c>
      <c r="F321" s="327">
        <f t="shared" si="136"/>
        <v>1</v>
      </c>
      <c r="G321" s="177" t="str">
        <f t="shared" si="137"/>
        <v>Chicago Bulls</v>
      </c>
      <c r="H321" s="177">
        <v>119</v>
      </c>
      <c r="I321" s="336">
        <v>103</v>
      </c>
      <c r="J321" s="327">
        <f t="shared" si="138"/>
        <v>0</v>
      </c>
      <c r="K321" s="177">
        <f t="shared" si="139"/>
        <v>230</v>
      </c>
      <c r="L321" s="336">
        <f t="shared" si="140"/>
        <v>216</v>
      </c>
      <c r="M321" s="327">
        <f t="shared" si="141"/>
        <v>0</v>
      </c>
      <c r="N321" s="337">
        <f t="shared" si="142"/>
        <v>8</v>
      </c>
      <c r="O321" s="395">
        <f t="shared" si="143"/>
        <v>-10</v>
      </c>
      <c r="P321" s="289">
        <f t="shared" si="144"/>
        <v>0</v>
      </c>
      <c r="Q321" s="460">
        <f>WEEKNUM(tblResultadosNBA[[#This Row],[Fecha]],2)</f>
        <v>49</v>
      </c>
      <c r="R321" s="460" t="str">
        <f>TEXT(tblResultadosNBA[[#This Row],[Fecha]],"mmm")</f>
        <v>dic</v>
      </c>
    </row>
    <row r="322" spans="1:18">
      <c r="A322" s="456">
        <v>45994</v>
      </c>
      <c r="B322" s="302" t="s">
        <v>142</v>
      </c>
      <c r="C322" s="177" t="str">
        <f t="shared" ref="C322:C324" si="145">LEFT(B322,FIND("@",B322)-2)</f>
        <v>Sacramento Kings</v>
      </c>
      <c r="D322" s="177">
        <v>113</v>
      </c>
      <c r="E322" s="336">
        <v>95</v>
      </c>
      <c r="F322" s="327">
        <f t="shared" ref="F322:F324" si="146">IF(E322&gt;D322, 1, 0)</f>
        <v>0</v>
      </c>
      <c r="G322" s="177" t="str">
        <f t="shared" ref="G322:G324" si="147">MID(B322,FIND("@",B322)+2,LEN(B322)-FIND("@",B322)-1)</f>
        <v>Houston Rockets</v>
      </c>
      <c r="H322" s="177">
        <v>119</v>
      </c>
      <c r="I322" s="336">
        <v>121</v>
      </c>
      <c r="J322" s="327">
        <f t="shared" ref="J322:J324" si="148">IF(I322&gt;H322, 1, 0)</f>
        <v>1</v>
      </c>
      <c r="K322" s="177">
        <f t="shared" ref="K322:K324" si="149">+D322+H322</f>
        <v>232</v>
      </c>
      <c r="L322" s="336">
        <f t="shared" ref="L322:L324" si="150">E322+I322</f>
        <v>216</v>
      </c>
      <c r="M322" s="327">
        <f t="shared" ref="M322:M324" si="151">IF(L322&gt;K322, 1, 0)</f>
        <v>0</v>
      </c>
      <c r="N322" s="337">
        <f t="shared" ref="N322:N324" si="152">(+H322-D322)</f>
        <v>6</v>
      </c>
      <c r="O322" s="395">
        <f t="shared" ref="O322:O324" si="153">I322-E322</f>
        <v>26</v>
      </c>
      <c r="P322" s="289">
        <f t="shared" ref="P322:P324" si="154">IF(OR(AND(N322&gt;0,O322&gt;0),AND(N322&lt;0,O322&lt;0)),1,0)</f>
        <v>1</v>
      </c>
      <c r="Q322" s="460">
        <f>WEEKNUM(tblResultadosNBA[[#This Row],[Fecha]],2)</f>
        <v>49</v>
      </c>
      <c r="R322" s="460" t="str">
        <f>TEXT(tblResultadosNBA[[#This Row],[Fecha]],"mmm")</f>
        <v>dic</v>
      </c>
    </row>
    <row r="323" spans="1:18">
      <c r="A323" s="456">
        <v>45994</v>
      </c>
      <c r="B323" s="302" t="s">
        <v>91</v>
      </c>
      <c r="C323" s="177" t="str">
        <f t="shared" si="145"/>
        <v>Detroit Pistons</v>
      </c>
      <c r="D323" s="177">
        <v>104</v>
      </c>
      <c r="E323" s="336">
        <v>109</v>
      </c>
      <c r="F323" s="327">
        <f t="shared" si="146"/>
        <v>1</v>
      </c>
      <c r="G323" s="177" t="str">
        <f t="shared" si="147"/>
        <v>Milwaukee Bucks</v>
      </c>
      <c r="H323" s="177">
        <v>122</v>
      </c>
      <c r="I323" s="336">
        <v>113</v>
      </c>
      <c r="J323" s="327">
        <f t="shared" si="148"/>
        <v>0</v>
      </c>
      <c r="K323" s="177">
        <f t="shared" si="149"/>
        <v>226</v>
      </c>
      <c r="L323" s="336">
        <f t="shared" si="150"/>
        <v>222</v>
      </c>
      <c r="M323" s="327">
        <f t="shared" si="151"/>
        <v>0</v>
      </c>
      <c r="N323" s="337">
        <f t="shared" si="152"/>
        <v>18</v>
      </c>
      <c r="O323" s="395">
        <f t="shared" si="153"/>
        <v>4</v>
      </c>
      <c r="P323" s="289">
        <f t="shared" si="154"/>
        <v>1</v>
      </c>
      <c r="Q323" s="460">
        <f>WEEKNUM(tblResultadosNBA[[#This Row],[Fecha]],2)</f>
        <v>49</v>
      </c>
      <c r="R323" s="460" t="str">
        <f>TEXT(tblResultadosNBA[[#This Row],[Fecha]],"mmm")</f>
        <v>dic</v>
      </c>
    </row>
    <row r="324" spans="1:18">
      <c r="A324" s="445">
        <v>45994</v>
      </c>
      <c r="B324" s="331" t="s">
        <v>143</v>
      </c>
      <c r="C324" s="286" t="str">
        <f t="shared" si="145"/>
        <v>Miami Heat</v>
      </c>
      <c r="D324" s="286">
        <v>122</v>
      </c>
      <c r="E324" s="431">
        <v>108</v>
      </c>
      <c r="F324" s="332">
        <f t="shared" si="146"/>
        <v>0</v>
      </c>
      <c r="G324" s="286" t="str">
        <f t="shared" si="147"/>
        <v>Dallas Mavericks</v>
      </c>
      <c r="H324" s="286">
        <v>117</v>
      </c>
      <c r="I324" s="431">
        <v>118</v>
      </c>
      <c r="J324" s="332">
        <f t="shared" si="148"/>
        <v>1</v>
      </c>
      <c r="K324" s="286">
        <f t="shared" si="149"/>
        <v>239</v>
      </c>
      <c r="L324" s="431">
        <f t="shared" si="150"/>
        <v>226</v>
      </c>
      <c r="M324" s="332">
        <f t="shared" si="151"/>
        <v>0</v>
      </c>
      <c r="N324" s="432">
        <f t="shared" si="152"/>
        <v>-5</v>
      </c>
      <c r="O324" s="451">
        <f t="shared" si="153"/>
        <v>10</v>
      </c>
      <c r="P324" s="433">
        <f t="shared" si="154"/>
        <v>0</v>
      </c>
      <c r="Q324" s="460">
        <f>WEEKNUM(tblResultadosNBA[[#This Row],[Fecha]],2)</f>
        <v>49</v>
      </c>
      <c r="R324" s="460" t="str">
        <f>TEXT(tblResultadosNBA[[#This Row],[Fecha]],"mmm")</f>
        <v>dic</v>
      </c>
    </row>
    <row r="325" spans="1:18">
      <c r="A325" s="476">
        <v>45995</v>
      </c>
      <c r="B325" s="422" t="s">
        <v>144</v>
      </c>
      <c r="C325" s="341" t="str">
        <f t="shared" ref="C325:C329" si="155">LEFT(B325,FIND("@",B325)-2)</f>
        <v>Golden State Warriors</v>
      </c>
      <c r="D325" s="341">
        <v>126</v>
      </c>
      <c r="E325" s="342">
        <v>98</v>
      </c>
      <c r="F325" s="333">
        <f t="shared" ref="F325:F329" si="156">IF(E325&gt;D325, 1, 0)</f>
        <v>0</v>
      </c>
      <c r="G325" s="341" t="str">
        <f t="shared" ref="G325:G329" si="157">MID(B325,FIND("@",B325)+2,LEN(B325)-FIND("@",B325)-1)</f>
        <v>Philadelphia 76ers</v>
      </c>
      <c r="H325" s="341">
        <v>130</v>
      </c>
      <c r="I325" s="342">
        <v>99</v>
      </c>
      <c r="J325" s="333">
        <f t="shared" ref="J325:J329" si="158">IF(I325&gt;H325, 1, 0)</f>
        <v>0</v>
      </c>
      <c r="K325" s="341">
        <f t="shared" ref="K325:K329" si="159">+D325+H325</f>
        <v>256</v>
      </c>
      <c r="L325" s="342">
        <f t="shared" ref="L325:L329" si="160">E325+I325</f>
        <v>197</v>
      </c>
      <c r="M325" s="333">
        <f t="shared" ref="M325:M329" si="161">IF(L325&gt;K325, 1, 0)</f>
        <v>0</v>
      </c>
      <c r="N325" s="343">
        <f t="shared" ref="N325:N329" si="162">(+H325-D325)</f>
        <v>4</v>
      </c>
      <c r="O325" s="449">
        <f t="shared" ref="O325:O329" si="163">I325-E325</f>
        <v>1</v>
      </c>
      <c r="P325" s="289">
        <f t="shared" ref="P325:P329" si="164">IF(OR(AND(N325&gt;0,O325&gt;0),AND(N325&lt;0,O325&lt;0)),1,0)</f>
        <v>1</v>
      </c>
      <c r="Q325" s="460">
        <f>WEEKNUM(tblResultadosNBA[[#This Row],[Fecha]],2)</f>
        <v>49</v>
      </c>
      <c r="R325" s="460" t="str">
        <f>TEXT(tblResultadosNBA[[#This Row],[Fecha]],"mmm")</f>
        <v>dic</v>
      </c>
    </row>
    <row r="326" spans="1:18">
      <c r="A326" s="456">
        <v>45995</v>
      </c>
      <c r="B326" s="302" t="s">
        <v>145</v>
      </c>
      <c r="C326" s="177" t="str">
        <f t="shared" si="155"/>
        <v>Boston Celtics</v>
      </c>
      <c r="D326" s="177">
        <v>122</v>
      </c>
      <c r="E326" s="336">
        <v>146</v>
      </c>
      <c r="F326" s="327">
        <f t="shared" si="156"/>
        <v>1</v>
      </c>
      <c r="G326" s="177" t="str">
        <f t="shared" si="157"/>
        <v>Washington Wizards</v>
      </c>
      <c r="H326" s="177">
        <v>124</v>
      </c>
      <c r="I326" s="336">
        <v>101</v>
      </c>
      <c r="J326" s="327">
        <f t="shared" si="158"/>
        <v>0</v>
      </c>
      <c r="K326" s="177">
        <f t="shared" si="159"/>
        <v>246</v>
      </c>
      <c r="L326" s="336">
        <f t="shared" si="160"/>
        <v>247</v>
      </c>
      <c r="M326" s="327">
        <f t="shared" si="161"/>
        <v>1</v>
      </c>
      <c r="N326" s="337">
        <f t="shared" si="162"/>
        <v>2</v>
      </c>
      <c r="O326" s="395">
        <f t="shared" si="163"/>
        <v>-45</v>
      </c>
      <c r="P326" s="289">
        <f t="shared" si="164"/>
        <v>0</v>
      </c>
      <c r="Q326" s="460">
        <f>WEEKNUM(tblResultadosNBA[[#This Row],[Fecha]],2)</f>
        <v>49</v>
      </c>
      <c r="R326" s="460" t="str">
        <f>TEXT(tblResultadosNBA[[#This Row],[Fecha]],"mmm")</f>
        <v>dic</v>
      </c>
    </row>
    <row r="327" spans="1:18">
      <c r="A327" s="456">
        <v>45995</v>
      </c>
      <c r="B327" s="302" t="s">
        <v>146</v>
      </c>
      <c r="C327" s="177" t="str">
        <f t="shared" si="155"/>
        <v>Utah Jazz</v>
      </c>
      <c r="D327" s="177">
        <v>110</v>
      </c>
      <c r="E327" s="336">
        <v>123</v>
      </c>
      <c r="F327" s="327">
        <f t="shared" si="156"/>
        <v>1</v>
      </c>
      <c r="G327" s="177" t="str">
        <f t="shared" si="157"/>
        <v>Brooklyn Nets</v>
      </c>
      <c r="H327" s="177">
        <v>119</v>
      </c>
      <c r="I327" s="336">
        <v>110</v>
      </c>
      <c r="J327" s="327">
        <f t="shared" si="158"/>
        <v>0</v>
      </c>
      <c r="K327" s="177">
        <f t="shared" si="159"/>
        <v>229</v>
      </c>
      <c r="L327" s="336">
        <f t="shared" si="160"/>
        <v>233</v>
      </c>
      <c r="M327" s="327">
        <f t="shared" si="161"/>
        <v>1</v>
      </c>
      <c r="N327" s="337">
        <f t="shared" si="162"/>
        <v>9</v>
      </c>
      <c r="O327" s="395">
        <f t="shared" si="163"/>
        <v>-13</v>
      </c>
      <c r="P327" s="289">
        <f t="shared" si="164"/>
        <v>0</v>
      </c>
      <c r="Q327" s="460">
        <f>WEEKNUM(tblResultadosNBA[[#This Row],[Fecha]],2)</f>
        <v>49</v>
      </c>
      <c r="R327" s="460" t="str">
        <f>TEXT(tblResultadosNBA[[#This Row],[Fecha]],"mmm")</f>
        <v>dic</v>
      </c>
    </row>
    <row r="328" spans="1:18">
      <c r="A328" s="456">
        <v>45995</v>
      </c>
      <c r="B328" s="302" t="s">
        <v>147</v>
      </c>
      <c r="C328" s="177" t="str">
        <f t="shared" si="155"/>
        <v>Los Angeles Lakers</v>
      </c>
      <c r="D328" s="177">
        <v>115</v>
      </c>
      <c r="E328" s="336">
        <v>123</v>
      </c>
      <c r="F328" s="327">
        <f t="shared" si="156"/>
        <v>1</v>
      </c>
      <c r="G328" s="177" t="str">
        <f t="shared" si="157"/>
        <v>Toronto Raptors</v>
      </c>
      <c r="H328" s="177">
        <v>121</v>
      </c>
      <c r="I328" s="336">
        <v>120</v>
      </c>
      <c r="J328" s="327">
        <f t="shared" si="158"/>
        <v>0</v>
      </c>
      <c r="K328" s="177">
        <f t="shared" si="159"/>
        <v>236</v>
      </c>
      <c r="L328" s="336">
        <f t="shared" si="160"/>
        <v>243</v>
      </c>
      <c r="M328" s="327">
        <f t="shared" si="161"/>
        <v>1</v>
      </c>
      <c r="N328" s="337">
        <f t="shared" si="162"/>
        <v>6</v>
      </c>
      <c r="O328" s="395">
        <f t="shared" si="163"/>
        <v>-3</v>
      </c>
      <c r="P328" s="289">
        <f t="shared" si="164"/>
        <v>0</v>
      </c>
      <c r="Q328" s="460">
        <f>WEEKNUM(tblResultadosNBA[[#This Row],[Fecha]],2)</f>
        <v>49</v>
      </c>
      <c r="R328" s="460" t="str">
        <f>TEXT(tblResultadosNBA[[#This Row],[Fecha]],"mmm")</f>
        <v>dic</v>
      </c>
    </row>
    <row r="329" spans="1:18">
      <c r="A329" s="445">
        <v>45995</v>
      </c>
      <c r="B329" s="331" t="s">
        <v>135</v>
      </c>
      <c r="C329" s="286" t="str">
        <f t="shared" si="155"/>
        <v>Minnesota Timberwolves</v>
      </c>
      <c r="D329" s="286">
        <v>120</v>
      </c>
      <c r="E329" s="431">
        <v>125</v>
      </c>
      <c r="F329" s="332">
        <f t="shared" si="156"/>
        <v>1</v>
      </c>
      <c r="G329" s="286" t="str">
        <f t="shared" si="157"/>
        <v>New Orleans Pelicans</v>
      </c>
      <c r="H329" s="286">
        <v>128</v>
      </c>
      <c r="I329" s="431">
        <v>116</v>
      </c>
      <c r="J329" s="332">
        <f t="shared" si="158"/>
        <v>0</v>
      </c>
      <c r="K329" s="286">
        <f t="shared" si="159"/>
        <v>248</v>
      </c>
      <c r="L329" s="431">
        <f t="shared" si="160"/>
        <v>241</v>
      </c>
      <c r="M329" s="332">
        <f t="shared" si="161"/>
        <v>0</v>
      </c>
      <c r="N329" s="432">
        <f t="shared" si="162"/>
        <v>8</v>
      </c>
      <c r="O329" s="451">
        <f t="shared" si="163"/>
        <v>-9</v>
      </c>
      <c r="P329" s="433">
        <f t="shared" si="164"/>
        <v>0</v>
      </c>
      <c r="Q329" s="460">
        <f>WEEKNUM(tblResultadosNBA[[#This Row],[Fecha]],2)</f>
        <v>49</v>
      </c>
      <c r="R329" s="460" t="str">
        <f>TEXT(tblResultadosNBA[[#This Row],[Fecha]],"mmm")</f>
        <v>dic</v>
      </c>
    </row>
    <row r="330" spans="1:18">
      <c r="A330" s="476">
        <v>45996</v>
      </c>
      <c r="B330" s="422" t="s">
        <v>148</v>
      </c>
      <c r="C330" s="341" t="str">
        <f t="shared" ref="C330:C336" si="165">LEFT(B330,FIND("@",B330)-2)</f>
        <v>Los Angeles Lakers</v>
      </c>
      <c r="D330" s="341">
        <v>123</v>
      </c>
      <c r="E330" s="342">
        <v>105</v>
      </c>
      <c r="F330" s="333">
        <f t="shared" ref="F330:F336" si="166">IF(E330&gt;D330, 1, 0)</f>
        <v>0</v>
      </c>
      <c r="G330" s="341" t="str">
        <f t="shared" ref="G330:G336" si="167">MID(B330,FIND("@",B330)+2,LEN(B330)-FIND("@",B330)-1)</f>
        <v>Boston Celtics</v>
      </c>
      <c r="H330" s="341">
        <v>117</v>
      </c>
      <c r="I330" s="342">
        <v>126</v>
      </c>
      <c r="J330" s="333">
        <f t="shared" ref="J330:J336" si="168">IF(I330&gt;H330, 1, 0)</f>
        <v>1</v>
      </c>
      <c r="K330" s="341">
        <f t="shared" ref="K330:K336" si="169">+D330+H330</f>
        <v>240</v>
      </c>
      <c r="L330" s="342">
        <f t="shared" ref="L330:L336" si="170">E330+I330</f>
        <v>231</v>
      </c>
      <c r="M330" s="333">
        <f t="shared" ref="M330:M336" si="171">IF(L330&gt;K330, 1, 0)</f>
        <v>0</v>
      </c>
      <c r="N330" s="343">
        <f t="shared" ref="N330:N336" si="172">(+H330-D330)</f>
        <v>-6</v>
      </c>
      <c r="O330" s="449">
        <f t="shared" ref="O330:O336" si="173">I330-E330</f>
        <v>21</v>
      </c>
      <c r="P330" s="289">
        <f t="shared" ref="P330:P336" si="174">IF(OR(AND(N330&gt;0,O330&gt;0),AND(N330&lt;0,O330&lt;0)),1,0)</f>
        <v>0</v>
      </c>
      <c r="Q330" s="460">
        <f>WEEKNUM(tblResultadosNBA[[#This Row],[Fecha]],2)</f>
        <v>49</v>
      </c>
      <c r="R330" s="460" t="str">
        <f>TEXT(tblResultadosNBA[[#This Row],[Fecha]],"mmm")</f>
        <v>dic</v>
      </c>
    </row>
    <row r="331" spans="1:18">
      <c r="A331" s="456">
        <v>45996</v>
      </c>
      <c r="B331" s="302" t="s">
        <v>168</v>
      </c>
      <c r="C331" s="177" t="str">
        <f t="shared" si="165"/>
        <v>Miami Heat</v>
      </c>
      <c r="D331" s="177">
        <v>109</v>
      </c>
      <c r="E331" s="336">
        <v>105</v>
      </c>
      <c r="F331" s="327">
        <f t="shared" si="166"/>
        <v>0</v>
      </c>
      <c r="G331" s="177" t="str">
        <f t="shared" si="167"/>
        <v>Orlando Magic</v>
      </c>
      <c r="H331" s="177">
        <v>115</v>
      </c>
      <c r="I331" s="336">
        <v>106</v>
      </c>
      <c r="J331" s="327">
        <f t="shared" si="168"/>
        <v>0</v>
      </c>
      <c r="K331" s="177">
        <f t="shared" si="169"/>
        <v>224</v>
      </c>
      <c r="L331" s="336">
        <f t="shared" si="170"/>
        <v>211</v>
      </c>
      <c r="M331" s="327">
        <f t="shared" si="171"/>
        <v>0</v>
      </c>
      <c r="N331" s="337">
        <f t="shared" si="172"/>
        <v>6</v>
      </c>
      <c r="O331" s="395">
        <f t="shared" si="173"/>
        <v>1</v>
      </c>
      <c r="P331" s="289">
        <f t="shared" si="174"/>
        <v>1</v>
      </c>
      <c r="Q331" s="460">
        <f>WEEKNUM(tblResultadosNBA[[#This Row],[Fecha]],2)</f>
        <v>49</v>
      </c>
      <c r="R331" s="460" t="str">
        <f>TEXT(tblResultadosNBA[[#This Row],[Fecha]],"mmm")</f>
        <v>dic</v>
      </c>
    </row>
    <row r="332" spans="1:18">
      <c r="A332" s="456">
        <v>45996</v>
      </c>
      <c r="B332" s="302" t="s">
        <v>149</v>
      </c>
      <c r="C332" s="177" t="str">
        <f t="shared" si="165"/>
        <v>Denver Nuggets</v>
      </c>
      <c r="D332" s="177">
        <v>110</v>
      </c>
      <c r="E332" s="336">
        <v>134</v>
      </c>
      <c r="F332" s="327">
        <f t="shared" si="166"/>
        <v>1</v>
      </c>
      <c r="G332" s="177" t="str">
        <f t="shared" si="167"/>
        <v>Atlanta Hawks</v>
      </c>
      <c r="H332" s="177">
        <v>126</v>
      </c>
      <c r="I332" s="336">
        <v>133</v>
      </c>
      <c r="J332" s="327">
        <f t="shared" si="168"/>
        <v>1</v>
      </c>
      <c r="K332" s="177">
        <f t="shared" si="169"/>
        <v>236</v>
      </c>
      <c r="L332" s="336">
        <f t="shared" si="170"/>
        <v>267</v>
      </c>
      <c r="M332" s="327">
        <f t="shared" si="171"/>
        <v>1</v>
      </c>
      <c r="N332" s="337">
        <f t="shared" si="172"/>
        <v>16</v>
      </c>
      <c r="O332" s="395">
        <f t="shared" si="173"/>
        <v>-1</v>
      </c>
      <c r="P332" s="289">
        <f t="shared" si="174"/>
        <v>0</v>
      </c>
      <c r="Q332" s="460">
        <f>WEEKNUM(tblResultadosNBA[[#This Row],[Fecha]],2)</f>
        <v>49</v>
      </c>
      <c r="R332" s="460" t="str">
        <f>TEXT(tblResultadosNBA[[#This Row],[Fecha]],"mmm")</f>
        <v>dic</v>
      </c>
    </row>
    <row r="333" spans="1:18">
      <c r="A333" s="456">
        <v>45996</v>
      </c>
      <c r="B333" s="302" t="s">
        <v>150</v>
      </c>
      <c r="C333" s="177" t="str">
        <f t="shared" si="165"/>
        <v>San Antonio Spurs</v>
      </c>
      <c r="D333" s="177">
        <v>119</v>
      </c>
      <c r="E333" s="336">
        <v>117</v>
      </c>
      <c r="F333" s="327">
        <f t="shared" si="166"/>
        <v>0</v>
      </c>
      <c r="G333" s="177" t="str">
        <f t="shared" si="167"/>
        <v>Cleveland Cavaliers</v>
      </c>
      <c r="H333" s="177">
        <v>127</v>
      </c>
      <c r="I333" s="336">
        <v>130</v>
      </c>
      <c r="J333" s="327">
        <f t="shared" si="168"/>
        <v>1</v>
      </c>
      <c r="K333" s="177">
        <f t="shared" si="169"/>
        <v>246</v>
      </c>
      <c r="L333" s="336">
        <f t="shared" si="170"/>
        <v>247</v>
      </c>
      <c r="M333" s="327">
        <f t="shared" si="171"/>
        <v>1</v>
      </c>
      <c r="N333" s="337">
        <f t="shared" si="172"/>
        <v>8</v>
      </c>
      <c r="O333" s="395">
        <f t="shared" si="173"/>
        <v>13</v>
      </c>
      <c r="P333" s="289">
        <f t="shared" si="174"/>
        <v>1</v>
      </c>
      <c r="Q333" s="460">
        <f>WEEKNUM(tblResultadosNBA[[#This Row],[Fecha]],2)</f>
        <v>49</v>
      </c>
      <c r="R333" s="460" t="str">
        <f>TEXT(tblResultadosNBA[[#This Row],[Fecha]],"mmm")</f>
        <v>dic</v>
      </c>
    </row>
    <row r="334" spans="1:18">
      <c r="A334" s="456">
        <v>45996</v>
      </c>
      <c r="B334" s="302" t="s">
        <v>578</v>
      </c>
      <c r="C334" s="177" t="str">
        <f t="shared" si="165"/>
        <v>Portland Trail Blazers</v>
      </c>
      <c r="D334" s="177">
        <v>120</v>
      </c>
      <c r="E334" s="336">
        <v>115</v>
      </c>
      <c r="F334" s="327">
        <f t="shared" si="166"/>
        <v>0</v>
      </c>
      <c r="G334" s="177" t="str">
        <f t="shared" si="167"/>
        <v>Detroit Pistons</v>
      </c>
      <c r="H334" s="177">
        <v>110</v>
      </c>
      <c r="I334" s="336">
        <v>122</v>
      </c>
      <c r="J334" s="327">
        <f t="shared" si="168"/>
        <v>1</v>
      </c>
      <c r="K334" s="177">
        <f t="shared" si="169"/>
        <v>230</v>
      </c>
      <c r="L334" s="336">
        <f t="shared" si="170"/>
        <v>237</v>
      </c>
      <c r="M334" s="327">
        <f t="shared" si="171"/>
        <v>1</v>
      </c>
      <c r="N334" s="337">
        <f t="shared" si="172"/>
        <v>-10</v>
      </c>
      <c r="O334" s="395">
        <f t="shared" si="173"/>
        <v>7</v>
      </c>
      <c r="P334" s="289">
        <f t="shared" si="174"/>
        <v>0</v>
      </c>
      <c r="Q334" s="460">
        <f>WEEKNUM(tblResultadosNBA[[#This Row],[Fecha]],2)</f>
        <v>49</v>
      </c>
      <c r="R334" s="460" t="str">
        <f>TEXT(tblResultadosNBA[[#This Row],[Fecha]],"mmm")</f>
        <v>dic</v>
      </c>
    </row>
    <row r="335" spans="1:18">
      <c r="A335" s="456">
        <v>45996</v>
      </c>
      <c r="B335" s="302" t="s">
        <v>151</v>
      </c>
      <c r="C335" s="177" t="str">
        <f t="shared" si="165"/>
        <v>Utah Jazz</v>
      </c>
      <c r="D335" s="177">
        <v>125</v>
      </c>
      <c r="E335" s="336">
        <v>112</v>
      </c>
      <c r="F335" s="327">
        <f t="shared" si="166"/>
        <v>0</v>
      </c>
      <c r="G335" s="177" t="str">
        <f t="shared" si="167"/>
        <v>New York Knicks</v>
      </c>
      <c r="H335" s="177">
        <v>133</v>
      </c>
      <c r="I335" s="336">
        <v>146</v>
      </c>
      <c r="J335" s="327">
        <f t="shared" si="168"/>
        <v>1</v>
      </c>
      <c r="K335" s="177">
        <f t="shared" si="169"/>
        <v>258</v>
      </c>
      <c r="L335" s="336">
        <f t="shared" si="170"/>
        <v>258</v>
      </c>
      <c r="M335" s="327">
        <f t="shared" si="171"/>
        <v>0</v>
      </c>
      <c r="N335" s="337">
        <f t="shared" si="172"/>
        <v>8</v>
      </c>
      <c r="O335" s="395">
        <f t="shared" si="173"/>
        <v>34</v>
      </c>
      <c r="P335" s="289">
        <f t="shared" si="174"/>
        <v>1</v>
      </c>
      <c r="Q335" s="460">
        <f>WEEKNUM(tblResultadosNBA[[#This Row],[Fecha]],2)</f>
        <v>49</v>
      </c>
      <c r="R335" s="460" t="str">
        <f>TEXT(tblResultadosNBA[[#This Row],[Fecha]],"mmm")</f>
        <v>dic</v>
      </c>
    </row>
    <row r="336" spans="1:18">
      <c r="A336" s="456">
        <v>45996</v>
      </c>
      <c r="B336" s="302" t="s">
        <v>152</v>
      </c>
      <c r="C336" s="177" t="str">
        <f t="shared" si="165"/>
        <v>Charlotte Hornets</v>
      </c>
      <c r="D336" s="177">
        <v>113</v>
      </c>
      <c r="E336" s="336">
        <v>111</v>
      </c>
      <c r="F336" s="327">
        <f t="shared" si="166"/>
        <v>0</v>
      </c>
      <c r="G336" s="177" t="str">
        <f t="shared" si="167"/>
        <v>Toronto Raptors</v>
      </c>
      <c r="H336" s="177">
        <v>116</v>
      </c>
      <c r="I336" s="336">
        <v>86</v>
      </c>
      <c r="J336" s="327">
        <f t="shared" si="168"/>
        <v>0</v>
      </c>
      <c r="K336" s="177">
        <f t="shared" si="169"/>
        <v>229</v>
      </c>
      <c r="L336" s="336">
        <f t="shared" si="170"/>
        <v>197</v>
      </c>
      <c r="M336" s="327">
        <f t="shared" si="171"/>
        <v>0</v>
      </c>
      <c r="N336" s="337">
        <f t="shared" si="172"/>
        <v>3</v>
      </c>
      <c r="O336" s="395">
        <f t="shared" si="173"/>
        <v>-25</v>
      </c>
      <c r="P336" s="289">
        <f t="shared" si="174"/>
        <v>0</v>
      </c>
      <c r="Q336" s="460">
        <f>WEEKNUM(tblResultadosNBA[[#This Row],[Fecha]],2)</f>
        <v>49</v>
      </c>
      <c r="R336" s="460" t="str">
        <f>TEXT(tblResultadosNBA[[#This Row],[Fecha]],"mmm")</f>
        <v>dic</v>
      </c>
    </row>
    <row r="337" spans="1:18">
      <c r="A337" s="456">
        <v>45996</v>
      </c>
      <c r="B337" s="302" t="s">
        <v>579</v>
      </c>
      <c r="C337" s="177" t="str">
        <f t="shared" ref="C337:C341" si="175">LEFT(B337,FIND("@",B337)-2)</f>
        <v>Indiana Pacers</v>
      </c>
      <c r="D337" s="177">
        <v>105</v>
      </c>
      <c r="E337" s="336">
        <v>120</v>
      </c>
      <c r="F337" s="327">
        <f t="shared" ref="F337:F341" si="176">IF(E337&gt;D337, 1, 0)</f>
        <v>1</v>
      </c>
      <c r="G337" s="177" t="str">
        <f t="shared" ref="G337:G341" si="177">MID(B337,FIND("@",B337)+2,LEN(B337)-FIND("@",B337)-1)</f>
        <v>Chicago Bulls</v>
      </c>
      <c r="H337" s="177">
        <v>115</v>
      </c>
      <c r="I337" s="336">
        <v>105</v>
      </c>
      <c r="J337" s="327">
        <f t="shared" ref="J337:J341" si="178">IF(I337&gt;H337, 1, 0)</f>
        <v>0</v>
      </c>
      <c r="K337" s="177">
        <f t="shared" ref="K337:K341" si="179">+D337+H337</f>
        <v>220</v>
      </c>
      <c r="L337" s="336">
        <f t="shared" ref="L337:L341" si="180">E337+I337</f>
        <v>225</v>
      </c>
      <c r="M337" s="327">
        <f t="shared" ref="M337:M341" si="181">IF(L337&gt;K337, 1, 0)</f>
        <v>1</v>
      </c>
      <c r="N337" s="337">
        <f t="shared" ref="N337:N341" si="182">(+H337-D337)</f>
        <v>10</v>
      </c>
      <c r="O337" s="395">
        <f t="shared" ref="O337:O341" si="183">I337-E337</f>
        <v>-15</v>
      </c>
      <c r="P337" s="289">
        <f t="shared" ref="P337:P341" si="184">IF(OR(AND(N337&gt;0,O337&gt;0),AND(N337&lt;0,O337&lt;0)),1,0)</f>
        <v>0</v>
      </c>
      <c r="Q337" s="460">
        <f>WEEKNUM(tblResultadosNBA[[#This Row],[Fecha]],2)</f>
        <v>49</v>
      </c>
      <c r="R337" s="460" t="str">
        <f>TEXT(tblResultadosNBA[[#This Row],[Fecha]],"mmm")</f>
        <v>dic</v>
      </c>
    </row>
    <row r="338" spans="1:18">
      <c r="A338" s="456">
        <v>45996</v>
      </c>
      <c r="B338" s="302" t="s">
        <v>153</v>
      </c>
      <c r="C338" s="177" t="str">
        <f t="shared" si="175"/>
        <v>Phoenix Suns</v>
      </c>
      <c r="D338" s="177">
        <v>119</v>
      </c>
      <c r="E338" s="336">
        <v>98</v>
      </c>
      <c r="F338" s="327">
        <f t="shared" si="176"/>
        <v>0</v>
      </c>
      <c r="G338" s="177" t="str">
        <f t="shared" si="177"/>
        <v>Houston Rockets</v>
      </c>
      <c r="H338" s="177">
        <v>121</v>
      </c>
      <c r="I338" s="336">
        <v>117</v>
      </c>
      <c r="J338" s="327">
        <f t="shared" si="178"/>
        <v>0</v>
      </c>
      <c r="K338" s="177">
        <f t="shared" si="179"/>
        <v>240</v>
      </c>
      <c r="L338" s="336">
        <f t="shared" si="180"/>
        <v>215</v>
      </c>
      <c r="M338" s="327">
        <f t="shared" si="181"/>
        <v>0</v>
      </c>
      <c r="N338" s="337">
        <f t="shared" si="182"/>
        <v>2</v>
      </c>
      <c r="O338" s="395">
        <f t="shared" si="183"/>
        <v>19</v>
      </c>
      <c r="P338" s="289">
        <f t="shared" si="184"/>
        <v>1</v>
      </c>
      <c r="Q338" s="460">
        <f>WEEKNUM(tblResultadosNBA[[#This Row],[Fecha]],2)</f>
        <v>49</v>
      </c>
      <c r="R338" s="460" t="str">
        <f>TEXT(tblResultadosNBA[[#This Row],[Fecha]],"mmm")</f>
        <v>dic</v>
      </c>
    </row>
    <row r="339" spans="1:18">
      <c r="A339" s="456">
        <v>45996</v>
      </c>
      <c r="B339" s="302" t="s">
        <v>154</v>
      </c>
      <c r="C339" s="177" t="str">
        <f t="shared" si="175"/>
        <v>LA Clippers</v>
      </c>
      <c r="D339" s="177">
        <v>117</v>
      </c>
      <c r="E339" s="336">
        <v>98</v>
      </c>
      <c r="F339" s="327">
        <f t="shared" si="176"/>
        <v>0</v>
      </c>
      <c r="G339" s="177" t="str">
        <f t="shared" si="177"/>
        <v>Memphis Grizzlies</v>
      </c>
      <c r="H339" s="177">
        <v>119</v>
      </c>
      <c r="I339" s="336">
        <v>107</v>
      </c>
      <c r="J339" s="327">
        <f t="shared" si="178"/>
        <v>0</v>
      </c>
      <c r="K339" s="177">
        <f t="shared" si="179"/>
        <v>236</v>
      </c>
      <c r="L339" s="336">
        <f t="shared" si="180"/>
        <v>205</v>
      </c>
      <c r="M339" s="327">
        <f t="shared" si="181"/>
        <v>0</v>
      </c>
      <c r="N339" s="337">
        <f t="shared" si="182"/>
        <v>2</v>
      </c>
      <c r="O339" s="395">
        <f t="shared" si="183"/>
        <v>9</v>
      </c>
      <c r="P339" s="289">
        <f t="shared" si="184"/>
        <v>1</v>
      </c>
      <c r="Q339" s="460">
        <f>WEEKNUM(tblResultadosNBA[[#This Row],[Fecha]],2)</f>
        <v>49</v>
      </c>
      <c r="R339" s="460" t="str">
        <f>TEXT(tblResultadosNBA[[#This Row],[Fecha]],"mmm")</f>
        <v>dic</v>
      </c>
    </row>
    <row r="340" spans="1:18">
      <c r="A340" s="456">
        <v>45996</v>
      </c>
      <c r="B340" s="302" t="s">
        <v>84</v>
      </c>
      <c r="C340" s="177" t="str">
        <f t="shared" si="175"/>
        <v>Philadelphia 76ers</v>
      </c>
      <c r="D340" s="177">
        <v>107</v>
      </c>
      <c r="E340" s="336">
        <v>116</v>
      </c>
      <c r="F340" s="327">
        <f t="shared" si="176"/>
        <v>1</v>
      </c>
      <c r="G340" s="177" t="str">
        <f t="shared" si="177"/>
        <v>Milwaukee Bucks</v>
      </c>
      <c r="H340" s="177">
        <v>120</v>
      </c>
      <c r="I340" s="336">
        <v>101</v>
      </c>
      <c r="J340" s="327">
        <f t="shared" si="178"/>
        <v>0</v>
      </c>
      <c r="K340" s="177">
        <f t="shared" si="179"/>
        <v>227</v>
      </c>
      <c r="L340" s="336">
        <f t="shared" si="180"/>
        <v>217</v>
      </c>
      <c r="M340" s="327">
        <f t="shared" si="181"/>
        <v>0</v>
      </c>
      <c r="N340" s="337">
        <f t="shared" si="182"/>
        <v>13</v>
      </c>
      <c r="O340" s="395">
        <f t="shared" si="183"/>
        <v>-15</v>
      </c>
      <c r="P340" s="289">
        <f t="shared" si="184"/>
        <v>0</v>
      </c>
      <c r="Q340" s="460">
        <f>WEEKNUM(tblResultadosNBA[[#This Row],[Fecha]],2)</f>
        <v>49</v>
      </c>
      <c r="R340" s="460" t="str">
        <f>TEXT(tblResultadosNBA[[#This Row],[Fecha]],"mmm")</f>
        <v>dic</v>
      </c>
    </row>
    <row r="341" spans="1:18">
      <c r="A341" s="445">
        <v>45996</v>
      </c>
      <c r="B341" s="331" t="s">
        <v>580</v>
      </c>
      <c r="C341" s="286" t="str">
        <f t="shared" si="175"/>
        <v>Dallas Mavericks</v>
      </c>
      <c r="D341" s="286">
        <v>107</v>
      </c>
      <c r="E341" s="431">
        <v>111</v>
      </c>
      <c r="F341" s="332">
        <f t="shared" si="176"/>
        <v>1</v>
      </c>
      <c r="G341" s="286" t="str">
        <f t="shared" si="177"/>
        <v>Oklahoma City Thunder</v>
      </c>
      <c r="H341" s="286">
        <v>114</v>
      </c>
      <c r="I341" s="431">
        <v>132</v>
      </c>
      <c r="J341" s="332">
        <f t="shared" si="178"/>
        <v>1</v>
      </c>
      <c r="K341" s="286">
        <f t="shared" si="179"/>
        <v>221</v>
      </c>
      <c r="L341" s="431">
        <f t="shared" si="180"/>
        <v>243</v>
      </c>
      <c r="M341" s="332">
        <f t="shared" si="181"/>
        <v>1</v>
      </c>
      <c r="N341" s="432">
        <f t="shared" si="182"/>
        <v>7</v>
      </c>
      <c r="O341" s="451">
        <f t="shared" si="183"/>
        <v>21</v>
      </c>
      <c r="P341" s="433">
        <f t="shared" si="184"/>
        <v>1</v>
      </c>
      <c r="Q341" s="460">
        <f>WEEKNUM(tblResultadosNBA[[#This Row],[Fecha]],2)</f>
        <v>49</v>
      </c>
      <c r="R341" s="460" t="str">
        <f>TEXT(tblResultadosNBA[[#This Row],[Fecha]],"mmm")</f>
        <v>dic</v>
      </c>
    </row>
    <row r="342" spans="1:18">
      <c r="A342" s="476">
        <v>45997</v>
      </c>
      <c r="B342" s="422" t="s">
        <v>155</v>
      </c>
      <c r="C342" s="341" t="str">
        <f t="shared" ref="C342:C348" si="185">LEFT(B342,FIND("@",B342)-2)</f>
        <v>New Orleans Pelicans</v>
      </c>
      <c r="D342" s="341">
        <v>127</v>
      </c>
      <c r="E342" s="342">
        <v>101</v>
      </c>
      <c r="F342" s="333">
        <f t="shared" ref="F342:F348" si="186">IF(E342&gt;D342, 1, 0)</f>
        <v>0</v>
      </c>
      <c r="G342" s="341" t="str">
        <f t="shared" ref="G342:G348" si="187">MID(B342,FIND("@",B342)+2,LEN(B342)-FIND("@",B342)-1)</f>
        <v>Brooklyn Nets</v>
      </c>
      <c r="H342" s="341">
        <v>123</v>
      </c>
      <c r="I342" s="342">
        <v>119</v>
      </c>
      <c r="J342" s="333">
        <f t="shared" ref="J342:J348" si="188">IF(I342&gt;H342, 1, 0)</f>
        <v>0</v>
      </c>
      <c r="K342" s="341">
        <f t="shared" ref="K342:K348" si="189">+D342+H342</f>
        <v>250</v>
      </c>
      <c r="L342" s="342">
        <f t="shared" ref="L342:L348" si="190">E342+I342</f>
        <v>220</v>
      </c>
      <c r="M342" s="333">
        <f t="shared" ref="M342:M348" si="191">IF(L342&gt;K342, 1, 0)</f>
        <v>0</v>
      </c>
      <c r="N342" s="343">
        <f t="shared" ref="N342:N348" si="192">(+H342-D342)</f>
        <v>-4</v>
      </c>
      <c r="O342" s="449">
        <f t="shared" ref="O342:O348" si="193">I342-E342</f>
        <v>18</v>
      </c>
      <c r="P342" s="289">
        <f t="shared" ref="P342:P348" si="194">IF(OR(AND(N342&gt;0,O342&gt;0),AND(N342&lt;0,O342&lt;0)),1,0)</f>
        <v>0</v>
      </c>
      <c r="Q342" s="460">
        <f>WEEKNUM(tblResultadosNBA[[#This Row],[Fecha]],2)</f>
        <v>49</v>
      </c>
      <c r="R342" s="460" t="str">
        <f>TEXT(tblResultadosNBA[[#This Row],[Fecha]],"mmm")</f>
        <v>dic</v>
      </c>
    </row>
    <row r="343" spans="1:18">
      <c r="A343" s="456">
        <v>45997</v>
      </c>
      <c r="B343" s="302" t="s">
        <v>102</v>
      </c>
      <c r="C343" s="177" t="str">
        <f t="shared" si="185"/>
        <v>Atlanta Hawks</v>
      </c>
      <c r="D343" s="177">
        <v>124</v>
      </c>
      <c r="E343" s="336">
        <v>131</v>
      </c>
      <c r="F343" s="327">
        <f t="shared" si="186"/>
        <v>1</v>
      </c>
      <c r="G343" s="177" t="str">
        <f t="shared" si="187"/>
        <v>Washington Wizards</v>
      </c>
      <c r="H343" s="177">
        <v>132</v>
      </c>
      <c r="I343" s="336">
        <v>116</v>
      </c>
      <c r="J343" s="327">
        <f t="shared" si="188"/>
        <v>0</v>
      </c>
      <c r="K343" s="177">
        <f t="shared" si="189"/>
        <v>256</v>
      </c>
      <c r="L343" s="336">
        <f t="shared" si="190"/>
        <v>247</v>
      </c>
      <c r="M343" s="327">
        <f t="shared" si="191"/>
        <v>0</v>
      </c>
      <c r="N343" s="337">
        <f t="shared" si="192"/>
        <v>8</v>
      </c>
      <c r="O343" s="395">
        <f t="shared" si="193"/>
        <v>-15</v>
      </c>
      <c r="P343" s="289">
        <f t="shared" si="194"/>
        <v>0</v>
      </c>
      <c r="Q343" s="460">
        <f>WEEKNUM(tblResultadosNBA[[#This Row],[Fecha]],2)</f>
        <v>49</v>
      </c>
      <c r="R343" s="460" t="str">
        <f>TEXT(tblResultadosNBA[[#This Row],[Fecha]],"mmm")</f>
        <v>dic</v>
      </c>
    </row>
    <row r="344" spans="1:18">
      <c r="A344" s="456">
        <v>45997</v>
      </c>
      <c r="B344" s="302" t="s">
        <v>156</v>
      </c>
      <c r="C344" s="177" t="str">
        <f t="shared" si="185"/>
        <v>Golden State Warriors</v>
      </c>
      <c r="D344" s="177">
        <v>112</v>
      </c>
      <c r="E344" s="336">
        <v>99</v>
      </c>
      <c r="F344" s="327">
        <f t="shared" si="186"/>
        <v>0</v>
      </c>
      <c r="G344" s="177" t="str">
        <f t="shared" si="187"/>
        <v>Cleveland Cavaliers</v>
      </c>
      <c r="H344" s="177">
        <v>121</v>
      </c>
      <c r="I344" s="336">
        <v>94</v>
      </c>
      <c r="J344" s="327">
        <f t="shared" si="188"/>
        <v>0</v>
      </c>
      <c r="K344" s="177">
        <f t="shared" si="189"/>
        <v>233</v>
      </c>
      <c r="L344" s="336">
        <f t="shared" si="190"/>
        <v>193</v>
      </c>
      <c r="M344" s="327">
        <f t="shared" si="191"/>
        <v>0</v>
      </c>
      <c r="N344" s="337">
        <f t="shared" si="192"/>
        <v>9</v>
      </c>
      <c r="O344" s="395">
        <f t="shared" si="193"/>
        <v>-5</v>
      </c>
      <c r="P344" s="289">
        <f t="shared" si="194"/>
        <v>0</v>
      </c>
      <c r="Q344" s="460">
        <f>WEEKNUM(tblResultadosNBA[[#This Row],[Fecha]],2)</f>
        <v>49</v>
      </c>
      <c r="R344" s="460" t="str">
        <f>TEXT(tblResultadosNBA[[#This Row],[Fecha]],"mmm")</f>
        <v>dic</v>
      </c>
    </row>
    <row r="345" spans="1:18">
      <c r="A345" s="456">
        <v>45997</v>
      </c>
      <c r="B345" s="302" t="s">
        <v>157</v>
      </c>
      <c r="C345" s="177" t="str">
        <f t="shared" si="185"/>
        <v>Milwaukee Bucks</v>
      </c>
      <c r="D345" s="177">
        <v>118</v>
      </c>
      <c r="E345" s="336">
        <v>112</v>
      </c>
      <c r="F345" s="327">
        <f t="shared" si="186"/>
        <v>0</v>
      </c>
      <c r="G345" s="177" t="str">
        <f t="shared" si="187"/>
        <v>Detroit Pistons</v>
      </c>
      <c r="H345" s="177">
        <v>121</v>
      </c>
      <c r="I345" s="336">
        <v>124</v>
      </c>
      <c r="J345" s="327">
        <f t="shared" si="188"/>
        <v>1</v>
      </c>
      <c r="K345" s="177">
        <f t="shared" si="189"/>
        <v>239</v>
      </c>
      <c r="L345" s="336">
        <f t="shared" si="190"/>
        <v>236</v>
      </c>
      <c r="M345" s="327">
        <f t="shared" si="191"/>
        <v>0</v>
      </c>
      <c r="N345" s="337">
        <f t="shared" si="192"/>
        <v>3</v>
      </c>
      <c r="O345" s="395">
        <f t="shared" si="193"/>
        <v>12</v>
      </c>
      <c r="P345" s="289">
        <f t="shared" si="194"/>
        <v>1</v>
      </c>
      <c r="Q345" s="460">
        <f>WEEKNUM(tblResultadosNBA[[#This Row],[Fecha]],2)</f>
        <v>49</v>
      </c>
      <c r="R345" s="460" t="str">
        <f>TEXT(tblResultadosNBA[[#This Row],[Fecha]],"mmm")</f>
        <v>dic</v>
      </c>
    </row>
    <row r="346" spans="1:18">
      <c r="A346" s="456">
        <v>45997</v>
      </c>
      <c r="B346" s="302" t="s">
        <v>581</v>
      </c>
      <c r="C346" s="177" t="str">
        <f t="shared" si="185"/>
        <v>Sacramento Kings</v>
      </c>
      <c r="D346" s="177">
        <v>105</v>
      </c>
      <c r="E346" s="336">
        <v>127</v>
      </c>
      <c r="F346" s="327">
        <f t="shared" si="186"/>
        <v>1</v>
      </c>
      <c r="G346" s="177" t="str">
        <f t="shared" si="187"/>
        <v>Miami Heat</v>
      </c>
      <c r="H346" s="177">
        <v>117</v>
      </c>
      <c r="I346" s="336">
        <v>111</v>
      </c>
      <c r="J346" s="327">
        <f t="shared" si="188"/>
        <v>0</v>
      </c>
      <c r="K346" s="177">
        <f t="shared" si="189"/>
        <v>222</v>
      </c>
      <c r="L346" s="336">
        <f t="shared" si="190"/>
        <v>238</v>
      </c>
      <c r="M346" s="327">
        <f t="shared" si="191"/>
        <v>1</v>
      </c>
      <c r="N346" s="337">
        <f t="shared" si="192"/>
        <v>12</v>
      </c>
      <c r="O346" s="395">
        <f t="shared" si="193"/>
        <v>-16</v>
      </c>
      <c r="P346" s="289">
        <f t="shared" si="194"/>
        <v>0</v>
      </c>
      <c r="Q346" s="460">
        <f>WEEKNUM(tblResultadosNBA[[#This Row],[Fecha]],2)</f>
        <v>49</v>
      </c>
      <c r="R346" s="460" t="str">
        <f>TEXT(tblResultadosNBA[[#This Row],[Fecha]],"mmm")</f>
        <v>dic</v>
      </c>
    </row>
    <row r="347" spans="1:18">
      <c r="A347" s="456">
        <v>45997</v>
      </c>
      <c r="B347" s="302" t="s">
        <v>158</v>
      </c>
      <c r="C347" s="177" t="str">
        <f t="shared" si="185"/>
        <v>LA Clippers</v>
      </c>
      <c r="D347" s="177">
        <v>115</v>
      </c>
      <c r="E347" s="336">
        <v>106</v>
      </c>
      <c r="F347" s="327">
        <f t="shared" si="186"/>
        <v>0</v>
      </c>
      <c r="G347" s="177" t="str">
        <f t="shared" si="187"/>
        <v>Minnesota Timberwolves</v>
      </c>
      <c r="H347" s="177">
        <v>119</v>
      </c>
      <c r="I347" s="336">
        <v>109</v>
      </c>
      <c r="J347" s="327">
        <f t="shared" si="188"/>
        <v>0</v>
      </c>
      <c r="K347" s="177">
        <f t="shared" si="189"/>
        <v>234</v>
      </c>
      <c r="L347" s="336">
        <f t="shared" si="190"/>
        <v>215</v>
      </c>
      <c r="M347" s="327">
        <f t="shared" si="191"/>
        <v>0</v>
      </c>
      <c r="N347" s="337">
        <f t="shared" si="192"/>
        <v>4</v>
      </c>
      <c r="O347" s="395">
        <f t="shared" si="193"/>
        <v>3</v>
      </c>
      <c r="P347" s="289">
        <f t="shared" si="194"/>
        <v>1</v>
      </c>
      <c r="Q347" s="460">
        <f>WEEKNUM(tblResultadosNBA[[#This Row],[Fecha]],2)</f>
        <v>49</v>
      </c>
      <c r="R347" s="460" t="str">
        <f>TEXT(tblResultadosNBA[[#This Row],[Fecha]],"mmm")</f>
        <v>dic</v>
      </c>
    </row>
    <row r="348" spans="1:18">
      <c r="A348" s="445">
        <v>45997</v>
      </c>
      <c r="B348" s="331" t="s">
        <v>159</v>
      </c>
      <c r="C348" s="286" t="str">
        <f t="shared" si="185"/>
        <v>Houston Rockets</v>
      </c>
      <c r="D348" s="286">
        <v>112</v>
      </c>
      <c r="E348" s="431">
        <v>109</v>
      </c>
      <c r="F348" s="332">
        <f t="shared" si="186"/>
        <v>0</v>
      </c>
      <c r="G348" s="286" t="str">
        <f t="shared" si="187"/>
        <v>Dallas Mavericks</v>
      </c>
      <c r="H348" s="286">
        <v>115</v>
      </c>
      <c r="I348" s="431">
        <v>122</v>
      </c>
      <c r="J348" s="332">
        <f t="shared" si="188"/>
        <v>1</v>
      </c>
      <c r="K348" s="286">
        <f t="shared" si="189"/>
        <v>227</v>
      </c>
      <c r="L348" s="431">
        <f t="shared" si="190"/>
        <v>231</v>
      </c>
      <c r="M348" s="332">
        <f t="shared" si="191"/>
        <v>1</v>
      </c>
      <c r="N348" s="432">
        <f t="shared" si="192"/>
        <v>3</v>
      </c>
      <c r="O348" s="451">
        <f t="shared" si="193"/>
        <v>13</v>
      </c>
      <c r="P348" s="433">
        <f t="shared" si="194"/>
        <v>1</v>
      </c>
      <c r="Q348" s="460">
        <f>WEEKNUM(tblResultadosNBA[[#This Row],[Fecha]],2)</f>
        <v>49</v>
      </c>
      <c r="R348" s="460" t="str">
        <f>TEXT(tblResultadosNBA[[#This Row],[Fecha]],"mmm")</f>
        <v>dic</v>
      </c>
    </row>
    <row r="349" spans="1:18">
      <c r="A349" s="476">
        <v>45998</v>
      </c>
      <c r="B349" s="422" t="s">
        <v>160</v>
      </c>
      <c r="C349" s="341" t="str">
        <f t="shared" ref="C349:C355" si="195">LEFT(B349,FIND("@",B349)-2)</f>
        <v>Orlando Magic</v>
      </c>
      <c r="D349" s="341">
        <v>137</v>
      </c>
      <c r="E349" s="342">
        <v>100</v>
      </c>
      <c r="F349" s="333">
        <f t="shared" ref="F349:F355" si="196">IF(E349&gt;D349, 1, 0)</f>
        <v>0</v>
      </c>
      <c r="G349" s="341" t="str">
        <f t="shared" ref="G349:G355" si="197">MID(B349,FIND("@",B349)+2,LEN(B349)-FIND("@",B349)-1)</f>
        <v>New York Knicks</v>
      </c>
      <c r="H349" s="341">
        <v>133</v>
      </c>
      <c r="I349" s="342">
        <v>106</v>
      </c>
      <c r="J349" s="333">
        <f t="shared" ref="J349:J355" si="198">IF(I349&gt;H349, 1, 0)</f>
        <v>0</v>
      </c>
      <c r="K349" s="341">
        <f t="shared" ref="K349:K355" si="199">+D349+H349</f>
        <v>270</v>
      </c>
      <c r="L349" s="342">
        <f t="shared" ref="L349:L355" si="200">E349+I349</f>
        <v>206</v>
      </c>
      <c r="M349" s="333">
        <f t="shared" ref="M349:M355" si="201">IF(L349&gt;K349, 1, 0)</f>
        <v>0</v>
      </c>
      <c r="N349" s="343">
        <f t="shared" ref="N349:N355" si="202">(+H349-D349)</f>
        <v>-4</v>
      </c>
      <c r="O349" s="449">
        <f t="shared" ref="O349:O355" si="203">I349-E349</f>
        <v>6</v>
      </c>
      <c r="P349" s="289">
        <f t="shared" ref="P349:P355" si="204">IF(OR(AND(N349&gt;0,O349&gt;0),AND(N349&lt;0,O349&lt;0)),1,0)</f>
        <v>0</v>
      </c>
      <c r="Q349" s="460">
        <f>WEEKNUM(tblResultadosNBA[[#This Row],[Fecha]],2)</f>
        <v>49</v>
      </c>
      <c r="R349" s="460" t="str">
        <f>TEXT(tblResultadosNBA[[#This Row],[Fecha]],"mmm")</f>
        <v>dic</v>
      </c>
    </row>
    <row r="350" spans="1:18">
      <c r="A350" s="456">
        <v>45998</v>
      </c>
      <c r="B350" s="302" t="s">
        <v>161</v>
      </c>
      <c r="C350" s="177" t="str">
        <f t="shared" si="195"/>
        <v>Boston Celtics</v>
      </c>
      <c r="D350" s="177">
        <v>111</v>
      </c>
      <c r="E350" s="336">
        <v>121</v>
      </c>
      <c r="F350" s="327">
        <f t="shared" si="196"/>
        <v>1</v>
      </c>
      <c r="G350" s="177" t="str">
        <f t="shared" si="197"/>
        <v>Toronto Raptors</v>
      </c>
      <c r="H350" s="177">
        <v>116</v>
      </c>
      <c r="I350" s="336">
        <v>113</v>
      </c>
      <c r="J350" s="327">
        <f t="shared" si="198"/>
        <v>0</v>
      </c>
      <c r="K350" s="177">
        <f t="shared" si="199"/>
        <v>227</v>
      </c>
      <c r="L350" s="336">
        <f t="shared" si="200"/>
        <v>234</v>
      </c>
      <c r="M350" s="327">
        <f t="shared" si="201"/>
        <v>1</v>
      </c>
      <c r="N350" s="337">
        <f t="shared" si="202"/>
        <v>5</v>
      </c>
      <c r="O350" s="395">
        <f t="shared" si="203"/>
        <v>-8</v>
      </c>
      <c r="P350" s="289">
        <f t="shared" si="204"/>
        <v>0</v>
      </c>
      <c r="Q350" s="460">
        <f>WEEKNUM(tblResultadosNBA[[#This Row],[Fecha]],2)</f>
        <v>49</v>
      </c>
      <c r="R350" s="460" t="str">
        <f>TEXT(tblResultadosNBA[[#This Row],[Fecha]],"mmm")</f>
        <v>dic</v>
      </c>
    </row>
    <row r="351" spans="1:18">
      <c r="A351" s="456">
        <v>45998</v>
      </c>
      <c r="B351" s="302" t="s">
        <v>582</v>
      </c>
      <c r="C351" s="177" t="str">
        <f t="shared" si="195"/>
        <v>Denver Nuggets</v>
      </c>
      <c r="D351" s="177">
        <v>116</v>
      </c>
      <c r="E351" s="336">
        <v>115</v>
      </c>
      <c r="F351" s="327">
        <f t="shared" si="196"/>
        <v>0</v>
      </c>
      <c r="G351" s="177" t="str">
        <f t="shared" si="197"/>
        <v>Charlotte Hornets</v>
      </c>
      <c r="H351" s="177">
        <v>110</v>
      </c>
      <c r="I351" s="336">
        <v>106</v>
      </c>
      <c r="J351" s="327">
        <f t="shared" si="198"/>
        <v>0</v>
      </c>
      <c r="K351" s="177">
        <f t="shared" si="199"/>
        <v>226</v>
      </c>
      <c r="L351" s="336">
        <f t="shared" si="200"/>
        <v>221</v>
      </c>
      <c r="M351" s="327">
        <f t="shared" si="201"/>
        <v>0</v>
      </c>
      <c r="N351" s="337">
        <f t="shared" si="202"/>
        <v>-6</v>
      </c>
      <c r="O351" s="395">
        <f t="shared" si="203"/>
        <v>-9</v>
      </c>
      <c r="P351" s="289">
        <f t="shared" si="204"/>
        <v>1</v>
      </c>
      <c r="Q351" s="460">
        <f>WEEKNUM(tblResultadosNBA[[#This Row],[Fecha]],2)</f>
        <v>49</v>
      </c>
      <c r="R351" s="460" t="str">
        <f>TEXT(tblResultadosNBA[[#This Row],[Fecha]],"mmm")</f>
        <v>dic</v>
      </c>
    </row>
    <row r="352" spans="1:18">
      <c r="A352" s="456">
        <v>45998</v>
      </c>
      <c r="B352" s="302" t="s">
        <v>162</v>
      </c>
      <c r="C352" s="177" t="str">
        <f t="shared" si="195"/>
        <v>Portland Trail Blazers</v>
      </c>
      <c r="D352" s="177">
        <v>116</v>
      </c>
      <c r="E352" s="336">
        <v>96</v>
      </c>
      <c r="F352" s="327">
        <f t="shared" si="196"/>
        <v>0</v>
      </c>
      <c r="G352" s="177" t="str">
        <f t="shared" si="197"/>
        <v>Memphis Grizzlies</v>
      </c>
      <c r="H352" s="177">
        <v>124</v>
      </c>
      <c r="I352" s="336">
        <v>119</v>
      </c>
      <c r="J352" s="327">
        <f t="shared" si="198"/>
        <v>0</v>
      </c>
      <c r="K352" s="177">
        <f t="shared" si="199"/>
        <v>240</v>
      </c>
      <c r="L352" s="336">
        <f t="shared" si="200"/>
        <v>215</v>
      </c>
      <c r="M352" s="327">
        <f t="shared" si="201"/>
        <v>0</v>
      </c>
      <c r="N352" s="337">
        <f t="shared" si="202"/>
        <v>8</v>
      </c>
      <c r="O352" s="395">
        <f t="shared" si="203"/>
        <v>23</v>
      </c>
      <c r="P352" s="289">
        <f t="shared" si="204"/>
        <v>1</v>
      </c>
      <c r="Q352" s="460">
        <f>WEEKNUM(tblResultadosNBA[[#This Row],[Fecha]],2)</f>
        <v>49</v>
      </c>
      <c r="R352" s="460" t="str">
        <f>TEXT(tblResultadosNBA[[#This Row],[Fecha]],"mmm")</f>
        <v>dic</v>
      </c>
    </row>
    <row r="353" spans="1:18">
      <c r="A353" s="456">
        <v>45998</v>
      </c>
      <c r="B353" s="302" t="s">
        <v>163</v>
      </c>
      <c r="C353" s="177" t="str">
        <f t="shared" si="195"/>
        <v>Golden State Warriors</v>
      </c>
      <c r="D353" s="177">
        <v>110</v>
      </c>
      <c r="E353" s="336">
        <v>123</v>
      </c>
      <c r="F353" s="327">
        <f t="shared" si="196"/>
        <v>1</v>
      </c>
      <c r="G353" s="177" t="str">
        <f t="shared" si="197"/>
        <v>Chicago Bulls</v>
      </c>
      <c r="H353" s="177">
        <v>120</v>
      </c>
      <c r="I353" s="336">
        <v>91</v>
      </c>
      <c r="J353" s="327">
        <f t="shared" si="198"/>
        <v>0</v>
      </c>
      <c r="K353" s="177">
        <f t="shared" si="199"/>
        <v>230</v>
      </c>
      <c r="L353" s="336">
        <f t="shared" si="200"/>
        <v>214</v>
      </c>
      <c r="M353" s="327">
        <f t="shared" si="201"/>
        <v>0</v>
      </c>
      <c r="N353" s="337">
        <f t="shared" si="202"/>
        <v>10</v>
      </c>
      <c r="O353" s="395">
        <f t="shared" si="203"/>
        <v>-32</v>
      </c>
      <c r="P353" s="289">
        <f t="shared" si="204"/>
        <v>0</v>
      </c>
      <c r="Q353" s="460">
        <f>WEEKNUM(tblResultadosNBA[[#This Row],[Fecha]],2)</f>
        <v>49</v>
      </c>
      <c r="R353" s="460" t="str">
        <f>TEXT(tblResultadosNBA[[#This Row],[Fecha]],"mmm")</f>
        <v>dic</v>
      </c>
    </row>
    <row r="354" spans="1:18">
      <c r="A354" s="456">
        <v>45998</v>
      </c>
      <c r="B354" s="302" t="s">
        <v>583</v>
      </c>
      <c r="C354" s="177" t="str">
        <f t="shared" si="195"/>
        <v>Los Angeles Lakers</v>
      </c>
      <c r="D354" s="177">
        <v>111</v>
      </c>
      <c r="E354" s="336">
        <v>112</v>
      </c>
      <c r="F354" s="327">
        <f t="shared" si="196"/>
        <v>1</v>
      </c>
      <c r="G354" s="177" t="str">
        <f t="shared" si="197"/>
        <v>Philadelphia 76ers</v>
      </c>
      <c r="H354" s="177">
        <v>115</v>
      </c>
      <c r="I354" s="336">
        <v>108</v>
      </c>
      <c r="J354" s="327">
        <f t="shared" si="198"/>
        <v>0</v>
      </c>
      <c r="K354" s="177">
        <f t="shared" si="199"/>
        <v>226</v>
      </c>
      <c r="L354" s="336">
        <f t="shared" si="200"/>
        <v>220</v>
      </c>
      <c r="M354" s="327">
        <f t="shared" si="201"/>
        <v>0</v>
      </c>
      <c r="N354" s="337">
        <f t="shared" si="202"/>
        <v>4</v>
      </c>
      <c r="O354" s="395">
        <f t="shared" si="203"/>
        <v>-4</v>
      </c>
      <c r="P354" s="289">
        <f t="shared" si="204"/>
        <v>0</v>
      </c>
      <c r="Q354" s="460">
        <f>WEEKNUM(tblResultadosNBA[[#This Row],[Fecha]],2)</f>
        <v>49</v>
      </c>
      <c r="R354" s="460" t="str">
        <f>TEXT(tblResultadosNBA[[#This Row],[Fecha]],"mmm")</f>
        <v>dic</v>
      </c>
    </row>
    <row r="355" spans="1:18">
      <c r="A355" s="445">
        <v>45998</v>
      </c>
      <c r="B355" s="331" t="s">
        <v>164</v>
      </c>
      <c r="C355" s="286" t="str">
        <f t="shared" si="195"/>
        <v>Oklahoma City Thunder</v>
      </c>
      <c r="D355" s="286">
        <v>121</v>
      </c>
      <c r="E355" s="431">
        <v>131</v>
      </c>
      <c r="F355" s="332">
        <f t="shared" si="196"/>
        <v>1</v>
      </c>
      <c r="G355" s="286" t="str">
        <f t="shared" si="197"/>
        <v>Utah Jazz</v>
      </c>
      <c r="H355" s="286">
        <v>124</v>
      </c>
      <c r="I355" s="431">
        <v>101</v>
      </c>
      <c r="J355" s="332">
        <f t="shared" si="198"/>
        <v>0</v>
      </c>
      <c r="K355" s="286">
        <f t="shared" si="199"/>
        <v>245</v>
      </c>
      <c r="L355" s="431">
        <f t="shared" si="200"/>
        <v>232</v>
      </c>
      <c r="M355" s="332">
        <f t="shared" si="201"/>
        <v>0</v>
      </c>
      <c r="N355" s="432">
        <f t="shared" si="202"/>
        <v>3</v>
      </c>
      <c r="O355" s="451">
        <f t="shared" si="203"/>
        <v>-30</v>
      </c>
      <c r="P355" s="433">
        <f t="shared" si="204"/>
        <v>0</v>
      </c>
      <c r="Q355" s="460">
        <f>WEEKNUM(tblResultadosNBA[[#This Row],[Fecha]],2)</f>
        <v>49</v>
      </c>
      <c r="R355" s="460" t="str">
        <f>TEXT(tblResultadosNBA[[#This Row],[Fecha]],"mmm")</f>
        <v>dic</v>
      </c>
    </row>
    <row r="356" spans="1:18">
      <c r="A356" s="476">
        <v>45999</v>
      </c>
      <c r="B356" s="422" t="s">
        <v>165</v>
      </c>
      <c r="C356" s="341" t="str">
        <f t="shared" ref="C356:C360" si="205">LEFT(B356,FIND("@",B356)-2)</f>
        <v>Sacramento Kings</v>
      </c>
      <c r="D356" s="341">
        <v>129</v>
      </c>
      <c r="E356" s="342">
        <v>105</v>
      </c>
      <c r="F356" s="333">
        <f t="shared" ref="F356:F358" si="206">IF(E356&gt;D356, 1, 0)</f>
        <v>0</v>
      </c>
      <c r="G356" s="341" t="str">
        <f t="shared" ref="G356:G358" si="207">MID(B356,FIND("@",B356)+2,LEN(B356)-FIND("@",B356)-1)</f>
        <v>Indiana Pacers</v>
      </c>
      <c r="H356" s="341">
        <v>121</v>
      </c>
      <c r="I356" s="342">
        <v>116</v>
      </c>
      <c r="J356" s="333">
        <f t="shared" ref="J356:J358" si="208">IF(I356&gt;H356, 1, 0)</f>
        <v>0</v>
      </c>
      <c r="K356" s="341">
        <f t="shared" ref="K356:K358" si="209">+D356+H356</f>
        <v>250</v>
      </c>
      <c r="L356" s="342">
        <f t="shared" ref="L356:L358" si="210">E356+I356</f>
        <v>221</v>
      </c>
      <c r="M356" s="333">
        <f t="shared" ref="M356:M358" si="211">IF(L356&gt;K356, 1, 0)</f>
        <v>0</v>
      </c>
      <c r="N356" s="343">
        <f t="shared" ref="N356:N358" si="212">(+H356-D356)</f>
        <v>-8</v>
      </c>
      <c r="O356" s="449">
        <f t="shared" ref="O356:O358" si="213">I356-E356</f>
        <v>11</v>
      </c>
      <c r="P356" s="289">
        <f t="shared" ref="P356:P358" si="214">IF(OR(AND(N356&gt;0,O356&gt;0),AND(N356&lt;0,O356&lt;0)),1,0)</f>
        <v>0</v>
      </c>
      <c r="Q356" s="460">
        <f>WEEKNUM(tblResultadosNBA[[#This Row],[Fecha]],2)</f>
        <v>50</v>
      </c>
      <c r="R356" s="460" t="str">
        <f>TEXT(tblResultadosNBA[[#This Row],[Fecha]],"mmm")</f>
        <v>dic</v>
      </c>
    </row>
    <row r="357" spans="1:18">
      <c r="A357" s="456">
        <v>45999</v>
      </c>
      <c r="B357" s="302" t="s">
        <v>166</v>
      </c>
      <c r="C357" s="177" t="str">
        <f t="shared" si="205"/>
        <v>Phoenix Suns</v>
      </c>
      <c r="D357" s="177">
        <v>117</v>
      </c>
      <c r="E357" s="336">
        <v>108</v>
      </c>
      <c r="F357" s="327">
        <f t="shared" si="206"/>
        <v>0</v>
      </c>
      <c r="G357" s="177" t="str">
        <f t="shared" si="207"/>
        <v>Minnesota Timberwolves</v>
      </c>
      <c r="H357" s="177">
        <v>122</v>
      </c>
      <c r="I357" s="336">
        <v>105</v>
      </c>
      <c r="J357" s="327">
        <f t="shared" si="208"/>
        <v>0</v>
      </c>
      <c r="K357" s="177">
        <f t="shared" si="209"/>
        <v>239</v>
      </c>
      <c r="L357" s="336">
        <f t="shared" si="210"/>
        <v>213</v>
      </c>
      <c r="M357" s="327">
        <f t="shared" si="211"/>
        <v>0</v>
      </c>
      <c r="N357" s="337">
        <f t="shared" si="212"/>
        <v>5</v>
      </c>
      <c r="O357" s="395">
        <f t="shared" si="213"/>
        <v>-3</v>
      </c>
      <c r="P357" s="289">
        <f t="shared" si="214"/>
        <v>0</v>
      </c>
      <c r="Q357" s="460">
        <f>WEEKNUM(tblResultadosNBA[[#This Row],[Fecha]],2)</f>
        <v>50</v>
      </c>
      <c r="R357" s="460" t="str">
        <f>TEXT(tblResultadosNBA[[#This Row],[Fecha]],"mmm")</f>
        <v>dic</v>
      </c>
    </row>
    <row r="358" spans="1:18">
      <c r="A358" s="445">
        <v>45999</v>
      </c>
      <c r="B358" s="331" t="s">
        <v>167</v>
      </c>
      <c r="C358" s="286" t="str">
        <f t="shared" si="205"/>
        <v>San Antonio Spurs</v>
      </c>
      <c r="D358" s="286">
        <v>124</v>
      </c>
      <c r="E358" s="431">
        <v>135</v>
      </c>
      <c r="F358" s="332">
        <f t="shared" si="206"/>
        <v>1</v>
      </c>
      <c r="G358" s="286" t="str">
        <f t="shared" si="207"/>
        <v>New Orleans Pelicans</v>
      </c>
      <c r="H358" s="286">
        <v>128</v>
      </c>
      <c r="I358" s="431">
        <v>132</v>
      </c>
      <c r="J358" s="332">
        <f t="shared" si="208"/>
        <v>1</v>
      </c>
      <c r="K358" s="286">
        <f t="shared" si="209"/>
        <v>252</v>
      </c>
      <c r="L358" s="431">
        <f t="shared" si="210"/>
        <v>267</v>
      </c>
      <c r="M358" s="332">
        <f t="shared" si="211"/>
        <v>1</v>
      </c>
      <c r="N358" s="432">
        <f t="shared" si="212"/>
        <v>4</v>
      </c>
      <c r="O358" s="451">
        <f t="shared" si="213"/>
        <v>-3</v>
      </c>
      <c r="P358" s="433">
        <f t="shared" si="214"/>
        <v>0</v>
      </c>
      <c r="Q358" s="460">
        <f>WEEKNUM(tblResultadosNBA[[#This Row],[Fecha]],2)</f>
        <v>50</v>
      </c>
      <c r="R358" s="460" t="str">
        <f>TEXT(tblResultadosNBA[[#This Row],[Fecha]],"mmm")</f>
        <v>dic</v>
      </c>
    </row>
    <row r="359" spans="1:18">
      <c r="A359" s="476">
        <v>46000</v>
      </c>
      <c r="B359" s="422" t="s">
        <v>168</v>
      </c>
      <c r="C359" s="341" t="str">
        <f t="shared" si="205"/>
        <v>Miami Heat</v>
      </c>
      <c r="D359" s="341">
        <v>124</v>
      </c>
      <c r="E359" s="342">
        <v>108</v>
      </c>
      <c r="F359" s="333">
        <f t="shared" ref="F359:F360" si="215">IF(E359&gt;D359, 1, 0)</f>
        <v>0</v>
      </c>
      <c r="G359" s="341" t="str">
        <f t="shared" ref="G359:G360" si="216">MID(B359,FIND("@",B359)+2,LEN(B359)-FIND("@",B359)-1)</f>
        <v>Orlando Magic</v>
      </c>
      <c r="H359" s="341">
        <v>116</v>
      </c>
      <c r="I359" s="342">
        <v>117</v>
      </c>
      <c r="J359" s="333">
        <f t="shared" ref="J359:J360" si="217">IF(I359&gt;H359, 1, 0)</f>
        <v>1</v>
      </c>
      <c r="K359" s="341">
        <f t="shared" ref="K359:K360" si="218">+D359+H359</f>
        <v>240</v>
      </c>
      <c r="L359" s="342">
        <f t="shared" ref="L359:L360" si="219">E359+I359</f>
        <v>225</v>
      </c>
      <c r="M359" s="333">
        <f t="shared" ref="M359:M360" si="220">IF(L359&gt;K359, 1, 0)</f>
        <v>0</v>
      </c>
      <c r="N359" s="343">
        <f t="shared" ref="N359:N360" si="221">(+H359-D359)</f>
        <v>-8</v>
      </c>
      <c r="O359" s="449">
        <f t="shared" ref="O359:O360" si="222">I359-E359</f>
        <v>9</v>
      </c>
      <c r="P359" s="289">
        <f t="shared" ref="P359:P360" si="223">IF(OR(AND(N359&gt;0,O359&gt;0),AND(N359&lt;0,O359&lt;0)),1,0)</f>
        <v>0</v>
      </c>
      <c r="Q359" s="460">
        <f>WEEKNUM(tblResultadosNBA[[#This Row],[Fecha]],2)</f>
        <v>50</v>
      </c>
      <c r="R359" s="460" t="str">
        <f>TEXT(tblResultadosNBA[[#This Row],[Fecha]],"mmm")</f>
        <v>dic</v>
      </c>
    </row>
    <row r="360" spans="1:18">
      <c r="A360" s="446">
        <v>46000</v>
      </c>
      <c r="B360" s="331" t="s">
        <v>169</v>
      </c>
      <c r="C360" s="286" t="str">
        <f t="shared" si="205"/>
        <v>New York Knicks</v>
      </c>
      <c r="D360" s="286">
        <v>115</v>
      </c>
      <c r="E360" s="431">
        <v>117</v>
      </c>
      <c r="F360" s="332">
        <f t="shared" si="215"/>
        <v>1</v>
      </c>
      <c r="G360" s="286" t="str">
        <f t="shared" si="216"/>
        <v>Toronto Raptors</v>
      </c>
      <c r="H360" s="286">
        <v>130</v>
      </c>
      <c r="I360" s="431">
        <v>101</v>
      </c>
      <c r="J360" s="332">
        <f t="shared" si="217"/>
        <v>0</v>
      </c>
      <c r="K360" s="286">
        <f t="shared" si="218"/>
        <v>245</v>
      </c>
      <c r="L360" s="431">
        <f t="shared" si="219"/>
        <v>218</v>
      </c>
      <c r="M360" s="332">
        <f t="shared" si="220"/>
        <v>0</v>
      </c>
      <c r="N360" s="432">
        <f t="shared" si="221"/>
        <v>15</v>
      </c>
      <c r="O360" s="451">
        <f t="shared" si="222"/>
        <v>-16</v>
      </c>
      <c r="P360" s="433">
        <f t="shared" si="223"/>
        <v>0</v>
      </c>
      <c r="Q360" s="460">
        <f>WEEKNUM(tblResultadosNBA[[#This Row],[Fecha]],2)</f>
        <v>50</v>
      </c>
      <c r="R360" s="460" t="str">
        <f>TEXT(tblResultadosNBA[[#This Row],[Fecha]],"mmm")</f>
        <v>dic</v>
      </c>
    </row>
    <row r="361" spans="1:18">
      <c r="A361" s="476">
        <v>46001</v>
      </c>
      <c r="B361" s="422" t="s">
        <v>568</v>
      </c>
      <c r="C361" s="341" t="str">
        <f t="shared" ref="C361:C362" si="224">LEFT(B361,FIND("@",B361)-2)</f>
        <v>Phoenix Suns</v>
      </c>
      <c r="D361" s="341">
        <v>125</v>
      </c>
      <c r="E361" s="342">
        <v>89</v>
      </c>
      <c r="F361" s="333">
        <f t="shared" ref="F361:F362" si="225">IF(E361&gt;D361, 1, 0)</f>
        <v>0</v>
      </c>
      <c r="G361" s="341" t="str">
        <f t="shared" ref="G361:G362" si="226">MID(B361,FIND("@",B361)+2,LEN(B361)-FIND("@",B361)-1)</f>
        <v>Oklahoma City Thunder</v>
      </c>
      <c r="H361" s="341">
        <v>121</v>
      </c>
      <c r="I361" s="342">
        <v>138</v>
      </c>
      <c r="J361" s="333">
        <f t="shared" ref="J361:J362" si="227">IF(I361&gt;H361, 1, 0)</f>
        <v>1</v>
      </c>
      <c r="K361" s="341">
        <f t="shared" ref="K361:K362" si="228">+D361+H361</f>
        <v>246</v>
      </c>
      <c r="L361" s="342">
        <f t="shared" ref="L361:L362" si="229">E361+I361</f>
        <v>227</v>
      </c>
      <c r="M361" s="333">
        <f t="shared" ref="M361:M362" si="230">IF(L361&gt;K361, 1, 0)</f>
        <v>0</v>
      </c>
      <c r="N361" s="343">
        <f t="shared" ref="N361:N362" si="231">(+H361-D361)</f>
        <v>-4</v>
      </c>
      <c r="O361" s="449">
        <f t="shared" ref="O361:O362" si="232">I361-E361</f>
        <v>49</v>
      </c>
      <c r="P361" s="289">
        <f t="shared" ref="P361:P362" si="233">IF(OR(AND(N361&gt;0,O361&gt;0),AND(N361&lt;0,O361&lt;0)),1,0)</f>
        <v>0</v>
      </c>
      <c r="Q361" s="460">
        <f>WEEKNUM(tblResultadosNBA[[#This Row],[Fecha]],2)</f>
        <v>50</v>
      </c>
      <c r="R361" s="460" t="str">
        <f>TEXT(tblResultadosNBA[[#This Row],[Fecha]],"mmm")</f>
        <v>dic</v>
      </c>
    </row>
    <row r="362" spans="1:18">
      <c r="A362" s="446">
        <v>46001</v>
      </c>
      <c r="B362" s="331" t="s">
        <v>510</v>
      </c>
      <c r="C362" s="286" t="str">
        <f t="shared" si="224"/>
        <v>San Antonio Spurs</v>
      </c>
      <c r="D362" s="286">
        <v>111</v>
      </c>
      <c r="E362" s="431">
        <v>132</v>
      </c>
      <c r="F362" s="332">
        <f t="shared" si="225"/>
        <v>1</v>
      </c>
      <c r="G362" s="286" t="str">
        <f t="shared" si="226"/>
        <v>Los Angeles Lakers</v>
      </c>
      <c r="H362" s="286">
        <v>131</v>
      </c>
      <c r="I362" s="431">
        <v>119</v>
      </c>
      <c r="J362" s="332">
        <f t="shared" si="227"/>
        <v>0</v>
      </c>
      <c r="K362" s="286">
        <f t="shared" si="228"/>
        <v>242</v>
      </c>
      <c r="L362" s="431">
        <f t="shared" si="229"/>
        <v>251</v>
      </c>
      <c r="M362" s="332">
        <f t="shared" si="230"/>
        <v>1</v>
      </c>
      <c r="N362" s="432">
        <f t="shared" si="231"/>
        <v>20</v>
      </c>
      <c r="O362" s="451">
        <f t="shared" si="232"/>
        <v>-13</v>
      </c>
      <c r="P362" s="433">
        <f t="shared" si="233"/>
        <v>0</v>
      </c>
      <c r="Q362" s="460">
        <f>WEEKNUM(tblResultadosNBA[[#This Row],[Fecha]],2)</f>
        <v>50</v>
      </c>
      <c r="R362" s="460" t="str">
        <f>TEXT(tblResultadosNBA[[#This Row],[Fecha]],"mmm")</f>
        <v>dic</v>
      </c>
    </row>
    <row r="363" spans="1:18">
      <c r="A363" s="476">
        <v>46002</v>
      </c>
      <c r="B363" s="422" t="s">
        <v>170</v>
      </c>
      <c r="C363" s="341" t="str">
        <f t="shared" ref="C363:C366" si="234">LEFT(B363,FIND("@",B363)-2)</f>
        <v>LA Clippers</v>
      </c>
      <c r="D363" s="341">
        <v>124</v>
      </c>
      <c r="E363" s="342">
        <v>113</v>
      </c>
      <c r="F363" s="333">
        <f t="shared" ref="F363:F366" si="235">IF(E363&gt;D363, 1, 0)</f>
        <v>0</v>
      </c>
      <c r="G363" s="341" t="str">
        <f t="shared" ref="G363:G366" si="236">MID(B363,FIND("@",B363)+2,LEN(B363)-FIND("@",B363)-1)</f>
        <v>Houston Rockets</v>
      </c>
      <c r="H363" s="341">
        <v>120</v>
      </c>
      <c r="I363" s="342">
        <v>115</v>
      </c>
      <c r="J363" s="333">
        <f t="shared" ref="J363:J366" si="237">IF(I363&gt;H363, 1, 0)</f>
        <v>0</v>
      </c>
      <c r="K363" s="341">
        <f t="shared" ref="K363:K366" si="238">+D363+H363</f>
        <v>244</v>
      </c>
      <c r="L363" s="342">
        <f t="shared" ref="L363:L366" si="239">E363+I363</f>
        <v>228</v>
      </c>
      <c r="M363" s="333">
        <f t="shared" ref="M363:M366" si="240">IF(L363&gt;K363, 1, 0)</f>
        <v>0</v>
      </c>
      <c r="N363" s="343">
        <f t="shared" ref="N363:N366" si="241">(+H363-D363)</f>
        <v>-4</v>
      </c>
      <c r="O363" s="449">
        <f t="shared" ref="O363:O366" si="242">I363-E363</f>
        <v>2</v>
      </c>
      <c r="P363" s="289">
        <f t="shared" ref="P363:P366" si="243">IF(OR(AND(N363&gt;0,O363&gt;0),AND(N363&lt;0,O363&lt;0)),1,0)</f>
        <v>0</v>
      </c>
      <c r="Q363" s="460">
        <f>WEEKNUM(tblResultadosNBA[[#This Row],[Fecha]],2)</f>
        <v>50</v>
      </c>
      <c r="R363" s="460" t="str">
        <f>TEXT(tblResultadosNBA[[#This Row],[Fecha]],"mmm")</f>
        <v>dic</v>
      </c>
    </row>
    <row r="364" spans="1:18">
      <c r="A364" s="476">
        <v>46002</v>
      </c>
      <c r="B364" s="302" t="s">
        <v>171</v>
      </c>
      <c r="C364" s="177" t="str">
        <f t="shared" si="234"/>
        <v>Boston Celtics</v>
      </c>
      <c r="D364" s="177">
        <v>110</v>
      </c>
      <c r="E364" s="336">
        <v>101</v>
      </c>
      <c r="F364" s="327">
        <f t="shared" si="235"/>
        <v>0</v>
      </c>
      <c r="G364" s="177" t="str">
        <f t="shared" si="236"/>
        <v>Milwaukee Bucks</v>
      </c>
      <c r="H364" s="177">
        <v>115</v>
      </c>
      <c r="I364" s="336">
        <v>116</v>
      </c>
      <c r="J364" s="327">
        <f t="shared" si="237"/>
        <v>1</v>
      </c>
      <c r="K364" s="177">
        <f t="shared" si="238"/>
        <v>225</v>
      </c>
      <c r="L364" s="336">
        <f t="shared" si="239"/>
        <v>217</v>
      </c>
      <c r="M364" s="327">
        <f t="shared" si="240"/>
        <v>0</v>
      </c>
      <c r="N364" s="337">
        <f t="shared" si="241"/>
        <v>5</v>
      </c>
      <c r="O364" s="395">
        <f t="shared" si="242"/>
        <v>15</v>
      </c>
      <c r="P364" s="289">
        <f t="shared" si="243"/>
        <v>1</v>
      </c>
      <c r="Q364" s="460">
        <f>WEEKNUM(tblResultadosNBA[[#This Row],[Fecha]],2)</f>
        <v>50</v>
      </c>
      <c r="R364" s="460" t="str">
        <f>TEXT(tblResultadosNBA[[#This Row],[Fecha]],"mmm")</f>
        <v>dic</v>
      </c>
    </row>
    <row r="365" spans="1:18">
      <c r="A365" s="476">
        <v>46002</v>
      </c>
      <c r="B365" s="302" t="s">
        <v>42</v>
      </c>
      <c r="C365" s="177" t="str">
        <f t="shared" si="234"/>
        <v>Portland Trail Blazers</v>
      </c>
      <c r="D365" s="177">
        <v>110</v>
      </c>
      <c r="E365" s="336">
        <v>120</v>
      </c>
      <c r="F365" s="327">
        <f t="shared" si="235"/>
        <v>1</v>
      </c>
      <c r="G365" s="177" t="str">
        <f t="shared" si="236"/>
        <v>New Orleans Pelicans</v>
      </c>
      <c r="H365" s="177">
        <v>140</v>
      </c>
      <c r="I365" s="336">
        <v>143</v>
      </c>
      <c r="J365" s="327">
        <f t="shared" si="237"/>
        <v>1</v>
      </c>
      <c r="K365" s="177">
        <f t="shared" si="238"/>
        <v>250</v>
      </c>
      <c r="L365" s="336">
        <f t="shared" si="239"/>
        <v>263</v>
      </c>
      <c r="M365" s="327">
        <f t="shared" si="240"/>
        <v>1</v>
      </c>
      <c r="N365" s="337">
        <f t="shared" si="241"/>
        <v>30</v>
      </c>
      <c r="O365" s="395">
        <f t="shared" si="242"/>
        <v>23</v>
      </c>
      <c r="P365" s="289">
        <f t="shared" si="243"/>
        <v>1</v>
      </c>
      <c r="Q365" s="460">
        <f>WEEKNUM(tblResultadosNBA[[#This Row],[Fecha]],2)</f>
        <v>50</v>
      </c>
      <c r="R365" s="460" t="str">
        <f>TEXT(tblResultadosNBA[[#This Row],[Fecha]],"mmm")</f>
        <v>dic</v>
      </c>
    </row>
    <row r="366" spans="1:18">
      <c r="A366" s="446">
        <v>46002</v>
      </c>
      <c r="B366" s="331" t="s">
        <v>172</v>
      </c>
      <c r="C366" s="286" t="str">
        <f t="shared" si="234"/>
        <v>Denver Nuggets</v>
      </c>
      <c r="D366" s="286">
        <v>125</v>
      </c>
      <c r="E366" s="431">
        <v>136</v>
      </c>
      <c r="F366" s="332">
        <f t="shared" si="235"/>
        <v>1</v>
      </c>
      <c r="G366" s="286" t="str">
        <f t="shared" si="236"/>
        <v>Sacramento Kings</v>
      </c>
      <c r="H366" s="286">
        <v>120</v>
      </c>
      <c r="I366" s="431">
        <v>105</v>
      </c>
      <c r="J366" s="332">
        <f t="shared" si="237"/>
        <v>0</v>
      </c>
      <c r="K366" s="286">
        <f t="shared" si="238"/>
        <v>245</v>
      </c>
      <c r="L366" s="431">
        <f t="shared" si="239"/>
        <v>241</v>
      </c>
      <c r="M366" s="332">
        <f t="shared" si="240"/>
        <v>0</v>
      </c>
      <c r="N366" s="432">
        <f t="shared" si="241"/>
        <v>-5</v>
      </c>
      <c r="O366" s="451">
        <f t="shared" si="242"/>
        <v>-31</v>
      </c>
      <c r="P366" s="433">
        <f t="shared" si="243"/>
        <v>1</v>
      </c>
      <c r="Q366" s="460">
        <f>WEEKNUM(tblResultadosNBA[[#This Row],[Fecha]],2)</f>
        <v>50</v>
      </c>
      <c r="R366" s="460" t="str">
        <f>TEXT(tblResultadosNBA[[#This Row],[Fecha]],"mmm")</f>
        <v>dic</v>
      </c>
    </row>
    <row r="367" spans="1:18">
      <c r="A367" s="476">
        <v>46003</v>
      </c>
      <c r="B367" s="422" t="s">
        <v>173</v>
      </c>
      <c r="C367" s="341" t="str">
        <f>LEFT(B367,FIND("@",B367)-2)</f>
        <v>Chicago Bulls</v>
      </c>
      <c r="D367" s="341">
        <v>129</v>
      </c>
      <c r="E367" s="342">
        <v>129</v>
      </c>
      <c r="F367" s="333">
        <f>IF(E367&gt;D367, 1, 0)</f>
        <v>0</v>
      </c>
      <c r="G367" s="341" t="str">
        <f>MID(B367,FIND("@",B367)+2,LEN(B367)-FIND("@",B367)-1)</f>
        <v>Charlotte Hornets</v>
      </c>
      <c r="H367" s="341">
        <v>119</v>
      </c>
      <c r="I367" s="342">
        <v>126</v>
      </c>
      <c r="J367" s="333">
        <f>IF(I367&gt;H367, 1, 0)</f>
        <v>1</v>
      </c>
      <c r="K367" s="341">
        <f>+D367+H367</f>
        <v>248</v>
      </c>
      <c r="L367" s="342">
        <f>E367+I367</f>
        <v>255</v>
      </c>
      <c r="M367" s="333">
        <f>IF(L367&gt;K367, 1, 0)</f>
        <v>1</v>
      </c>
      <c r="N367" s="343">
        <f>(+H367-D367)</f>
        <v>-10</v>
      </c>
      <c r="O367" s="449">
        <f>I367-E367</f>
        <v>-3</v>
      </c>
      <c r="P367" s="289">
        <f>IF(OR(AND(N367&gt;0,O367&gt;0),AND(N367&lt;0,O367&lt;0)),1,0)</f>
        <v>1</v>
      </c>
      <c r="Q367" s="460">
        <f>WEEKNUM(tblResultadosNBA[[#This Row],[Fecha]],2)</f>
        <v>50</v>
      </c>
      <c r="R367" s="460" t="str">
        <f>TEXT(tblResultadosNBA[[#This Row],[Fecha]],"mmm")</f>
        <v>dic</v>
      </c>
    </row>
    <row r="368" spans="1:18">
      <c r="A368" s="419">
        <v>46003</v>
      </c>
      <c r="B368" s="302" t="s">
        <v>126</v>
      </c>
      <c r="C368" s="177" t="str">
        <f t="shared" ref="C368:C373" si="244">LEFT(B368,FIND("@",B368)-2)</f>
        <v>Atlanta Hawks</v>
      </c>
      <c r="D368" s="177">
        <v>117</v>
      </c>
      <c r="E368" s="336">
        <v>115</v>
      </c>
      <c r="F368" s="327">
        <f t="shared" ref="F368:F373" si="245">IF(E368&gt;D368, 1, 0)</f>
        <v>0</v>
      </c>
      <c r="G368" s="177" t="str">
        <f t="shared" ref="G368:G373" si="246">MID(B368,FIND("@",B368)+2,LEN(B368)-FIND("@",B368)-1)</f>
        <v>Detroit Pistons</v>
      </c>
      <c r="H368" s="177">
        <v>120</v>
      </c>
      <c r="I368" s="336">
        <v>142</v>
      </c>
      <c r="J368" s="327">
        <f t="shared" ref="J368:J373" si="247">IF(I368&gt;H368, 1, 0)</f>
        <v>1</v>
      </c>
      <c r="K368" s="177">
        <f t="shared" ref="K368:K373" si="248">+D368+H368</f>
        <v>237</v>
      </c>
      <c r="L368" s="336">
        <f t="shared" ref="L368:L373" si="249">E368+I368</f>
        <v>257</v>
      </c>
      <c r="M368" s="327">
        <f t="shared" ref="M368:M373" si="250">IF(L368&gt;K368, 1, 0)</f>
        <v>1</v>
      </c>
      <c r="N368" s="337">
        <f t="shared" ref="N368:N373" si="251">(+H368-D368)</f>
        <v>3</v>
      </c>
      <c r="O368" s="395">
        <f t="shared" ref="O368:O373" si="252">I368-E368</f>
        <v>27</v>
      </c>
      <c r="P368" s="289">
        <f t="shared" ref="P368:P373" si="253">IF(OR(AND(N368&gt;0,O368&gt;0),AND(N368&lt;0,O368&lt;0)),1,0)</f>
        <v>1</v>
      </c>
      <c r="Q368" s="460">
        <f>WEEKNUM(tblResultadosNBA[[#This Row],[Fecha]],2)</f>
        <v>50</v>
      </c>
      <c r="R368" s="460" t="str">
        <f>TEXT(tblResultadosNBA[[#This Row],[Fecha]],"mmm")</f>
        <v>dic</v>
      </c>
    </row>
    <row r="369" spans="1:18">
      <c r="A369" s="419">
        <v>46003</v>
      </c>
      <c r="B369" s="302" t="s">
        <v>584</v>
      </c>
      <c r="C369" s="177" t="str">
        <f t="shared" si="244"/>
        <v>Indiana Pacers</v>
      </c>
      <c r="D369" s="177">
        <v>107</v>
      </c>
      <c r="E369" s="336">
        <v>105</v>
      </c>
      <c r="F369" s="327">
        <f t="shared" si="245"/>
        <v>0</v>
      </c>
      <c r="G369" s="177" t="str">
        <f t="shared" si="246"/>
        <v>Philadelphia 76ers</v>
      </c>
      <c r="H369" s="177">
        <v>117</v>
      </c>
      <c r="I369" s="336">
        <v>115</v>
      </c>
      <c r="J369" s="327">
        <f t="shared" si="247"/>
        <v>0</v>
      </c>
      <c r="K369" s="177">
        <f t="shared" si="248"/>
        <v>224</v>
      </c>
      <c r="L369" s="336">
        <f t="shared" si="249"/>
        <v>220</v>
      </c>
      <c r="M369" s="327">
        <f t="shared" si="250"/>
        <v>0</v>
      </c>
      <c r="N369" s="337">
        <f t="shared" si="251"/>
        <v>10</v>
      </c>
      <c r="O369" s="395">
        <f t="shared" si="252"/>
        <v>10</v>
      </c>
      <c r="P369" s="289">
        <f t="shared" si="253"/>
        <v>1</v>
      </c>
      <c r="Q369" s="460">
        <f>WEEKNUM(tblResultadosNBA[[#This Row],[Fecha]],2)</f>
        <v>50</v>
      </c>
      <c r="R369" s="460" t="str">
        <f>TEXT(tblResultadosNBA[[#This Row],[Fecha]],"mmm")</f>
        <v>dic</v>
      </c>
    </row>
    <row r="370" spans="1:18">
      <c r="A370" s="419">
        <v>46003</v>
      </c>
      <c r="B370" s="302" t="s">
        <v>174</v>
      </c>
      <c r="C370" s="177" t="str">
        <f t="shared" si="244"/>
        <v>Cleveland Cavaliers</v>
      </c>
      <c r="D370" s="177">
        <v>126</v>
      </c>
      <c r="E370" s="336">
        <v>130</v>
      </c>
      <c r="F370" s="327">
        <f t="shared" si="245"/>
        <v>1</v>
      </c>
      <c r="G370" s="177" t="str">
        <f t="shared" si="246"/>
        <v>Washington Wizards</v>
      </c>
      <c r="H370" s="177">
        <v>133</v>
      </c>
      <c r="I370" s="336">
        <v>126</v>
      </c>
      <c r="J370" s="327">
        <f t="shared" si="247"/>
        <v>0</v>
      </c>
      <c r="K370" s="177">
        <f t="shared" si="248"/>
        <v>259</v>
      </c>
      <c r="L370" s="336">
        <f t="shared" si="249"/>
        <v>256</v>
      </c>
      <c r="M370" s="327">
        <f t="shared" si="250"/>
        <v>0</v>
      </c>
      <c r="N370" s="337">
        <f t="shared" si="251"/>
        <v>7</v>
      </c>
      <c r="O370" s="395">
        <f t="shared" si="252"/>
        <v>-4</v>
      </c>
      <c r="P370" s="289">
        <f t="shared" si="253"/>
        <v>0</v>
      </c>
      <c r="Q370" s="460">
        <f>WEEKNUM(tblResultadosNBA[[#This Row],[Fecha]],2)</f>
        <v>50</v>
      </c>
      <c r="R370" s="460" t="str">
        <f>TEXT(tblResultadosNBA[[#This Row],[Fecha]],"mmm")</f>
        <v>dic</v>
      </c>
    </row>
    <row r="371" spans="1:18">
      <c r="A371" s="419">
        <v>46003</v>
      </c>
      <c r="B371" s="302" t="s">
        <v>585</v>
      </c>
      <c r="C371" s="177" t="str">
        <f t="shared" si="244"/>
        <v>Utah Jazz</v>
      </c>
      <c r="D371" s="177">
        <v>111</v>
      </c>
      <c r="E371" s="336">
        <v>130</v>
      </c>
      <c r="F371" s="327">
        <f t="shared" si="245"/>
        <v>1</v>
      </c>
      <c r="G371" s="177" t="str">
        <f t="shared" si="246"/>
        <v>Memphis Grizzlies</v>
      </c>
      <c r="H371" s="177">
        <v>121</v>
      </c>
      <c r="I371" s="336">
        <v>126</v>
      </c>
      <c r="J371" s="327">
        <f t="shared" si="247"/>
        <v>1</v>
      </c>
      <c r="K371" s="177">
        <f t="shared" si="248"/>
        <v>232</v>
      </c>
      <c r="L371" s="336">
        <f t="shared" si="249"/>
        <v>256</v>
      </c>
      <c r="M371" s="327">
        <f t="shared" si="250"/>
        <v>1</v>
      </c>
      <c r="N371" s="337">
        <f t="shared" si="251"/>
        <v>10</v>
      </c>
      <c r="O371" s="395">
        <f t="shared" si="252"/>
        <v>-4</v>
      </c>
      <c r="P371" s="289">
        <f t="shared" si="253"/>
        <v>0</v>
      </c>
      <c r="Q371" s="460">
        <f>WEEKNUM(tblResultadosNBA[[#This Row],[Fecha]],2)</f>
        <v>50</v>
      </c>
      <c r="R371" s="460" t="str">
        <f>TEXT(tblResultadosNBA[[#This Row],[Fecha]],"mmm")</f>
        <v>dic</v>
      </c>
    </row>
    <row r="372" spans="1:18">
      <c r="A372" s="419">
        <v>46003</v>
      </c>
      <c r="B372" s="302" t="s">
        <v>175</v>
      </c>
      <c r="C372" s="177" t="str">
        <f t="shared" si="244"/>
        <v>Brooklyn Nets</v>
      </c>
      <c r="D372" s="177">
        <v>109</v>
      </c>
      <c r="E372" s="336">
        <v>111</v>
      </c>
      <c r="F372" s="327">
        <f t="shared" si="245"/>
        <v>1</v>
      </c>
      <c r="G372" s="177" t="str">
        <f t="shared" si="246"/>
        <v>Dallas Mavericks</v>
      </c>
      <c r="H372" s="177">
        <v>115</v>
      </c>
      <c r="I372" s="336">
        <v>119</v>
      </c>
      <c r="J372" s="327">
        <f t="shared" si="247"/>
        <v>1</v>
      </c>
      <c r="K372" s="177">
        <f t="shared" si="248"/>
        <v>224</v>
      </c>
      <c r="L372" s="336">
        <f t="shared" si="249"/>
        <v>230</v>
      </c>
      <c r="M372" s="327">
        <f t="shared" si="250"/>
        <v>1</v>
      </c>
      <c r="N372" s="337">
        <f t="shared" si="251"/>
        <v>6</v>
      </c>
      <c r="O372" s="395">
        <f t="shared" si="252"/>
        <v>8</v>
      </c>
      <c r="P372" s="289">
        <f t="shared" si="253"/>
        <v>1</v>
      </c>
      <c r="Q372" s="460">
        <f>WEEKNUM(tblResultadosNBA[[#This Row],[Fecha]],2)</f>
        <v>50</v>
      </c>
      <c r="R372" s="460" t="str">
        <f>TEXT(tblResultadosNBA[[#This Row],[Fecha]],"mmm")</f>
        <v>dic</v>
      </c>
    </row>
    <row r="373" spans="1:18">
      <c r="A373" s="445">
        <v>46003</v>
      </c>
      <c r="B373" s="331" t="s">
        <v>176</v>
      </c>
      <c r="C373" s="286" t="str">
        <f t="shared" si="244"/>
        <v>Minnesota Timberwolves</v>
      </c>
      <c r="D373" s="286">
        <v>122</v>
      </c>
      <c r="E373" s="431">
        <v>127</v>
      </c>
      <c r="F373" s="332">
        <f t="shared" si="245"/>
        <v>1</v>
      </c>
      <c r="G373" s="286" t="str">
        <f t="shared" si="246"/>
        <v>Golden State Warriors</v>
      </c>
      <c r="H373" s="286">
        <v>132</v>
      </c>
      <c r="I373" s="431">
        <v>120</v>
      </c>
      <c r="J373" s="332">
        <f t="shared" si="247"/>
        <v>0</v>
      </c>
      <c r="K373" s="286">
        <f t="shared" si="248"/>
        <v>254</v>
      </c>
      <c r="L373" s="431">
        <f t="shared" si="249"/>
        <v>247</v>
      </c>
      <c r="M373" s="332">
        <f t="shared" si="250"/>
        <v>0</v>
      </c>
      <c r="N373" s="432">
        <f t="shared" si="251"/>
        <v>10</v>
      </c>
      <c r="O373" s="451">
        <f t="shared" si="252"/>
        <v>-7</v>
      </c>
      <c r="P373" s="433">
        <f t="shared" si="253"/>
        <v>0</v>
      </c>
      <c r="Q373" s="460">
        <f>WEEKNUM(tblResultadosNBA[[#This Row],[Fecha]],2)</f>
        <v>50</v>
      </c>
      <c r="R373" s="460" t="str">
        <f>TEXT(tblResultadosNBA[[#This Row],[Fecha]],"mmm")</f>
        <v>dic</v>
      </c>
    </row>
    <row r="374" spans="1:18">
      <c r="A374" s="439">
        <v>46004</v>
      </c>
      <c r="B374" s="422" t="s">
        <v>553</v>
      </c>
      <c r="C374" s="341" t="str">
        <f t="shared" ref="C374:C375" si="254">LEFT(B374,FIND("@",B374)-2)</f>
        <v>New York Knicks</v>
      </c>
      <c r="D374" s="341">
        <v>103</v>
      </c>
      <c r="E374" s="342">
        <v>132</v>
      </c>
      <c r="F374" s="333">
        <f t="shared" ref="F374:F375" si="255">IF(E374&gt;D374, 1, 0)</f>
        <v>1</v>
      </c>
      <c r="G374" s="341" t="str">
        <f t="shared" ref="G374:G375" si="256">MID(B374,FIND("@",B374)+2,LEN(B374)-FIND("@",B374)-1)</f>
        <v>Orlando Magic</v>
      </c>
      <c r="H374" s="341">
        <v>101</v>
      </c>
      <c r="I374" s="342">
        <v>120</v>
      </c>
      <c r="J374" s="333">
        <f t="shared" ref="J374:J375" si="257">IF(I374&gt;H374, 1, 0)</f>
        <v>1</v>
      </c>
      <c r="K374" s="341">
        <f t="shared" ref="K374:K375" si="258">+D374+H374</f>
        <v>204</v>
      </c>
      <c r="L374" s="342">
        <f t="shared" ref="L374:L375" si="259">E374+I374</f>
        <v>252</v>
      </c>
      <c r="M374" s="333">
        <f t="shared" ref="M374:M375" si="260">IF(L374&gt;K374, 1, 0)</f>
        <v>1</v>
      </c>
      <c r="N374" s="343">
        <f t="shared" ref="N374:N375" si="261">(+H374-D374)</f>
        <v>-2</v>
      </c>
      <c r="O374" s="449">
        <f t="shared" ref="O374:O375" si="262">I374-E374</f>
        <v>-12</v>
      </c>
      <c r="P374" s="289">
        <f t="shared" ref="P374:P375" si="263">IF(OR(AND(N374&gt;0,O374&gt;0),AND(N374&lt;0,O374&lt;0)),1,0)</f>
        <v>1</v>
      </c>
      <c r="Q374" s="460">
        <f>WEEKNUM(tblResultadosNBA[[#This Row],[Fecha]],2)</f>
        <v>50</v>
      </c>
      <c r="R374" s="460" t="str">
        <f>TEXT(tblResultadosNBA[[#This Row],[Fecha]],"mmm")</f>
        <v>dic</v>
      </c>
    </row>
    <row r="375" spans="1:18">
      <c r="A375" s="445">
        <v>46004</v>
      </c>
      <c r="B375" s="331" t="s">
        <v>224</v>
      </c>
      <c r="C375" s="286" t="str">
        <f t="shared" si="254"/>
        <v>San Antonio Spurs</v>
      </c>
      <c r="D375" s="286">
        <v>97</v>
      </c>
      <c r="E375" s="431">
        <v>111</v>
      </c>
      <c r="F375" s="332">
        <f t="shared" si="255"/>
        <v>1</v>
      </c>
      <c r="G375" s="286" t="str">
        <f t="shared" si="256"/>
        <v>Oklahoma City Thunder</v>
      </c>
      <c r="H375" s="286">
        <v>110</v>
      </c>
      <c r="I375" s="431">
        <v>109</v>
      </c>
      <c r="J375" s="332">
        <f t="shared" si="257"/>
        <v>0</v>
      </c>
      <c r="K375" s="286">
        <f t="shared" si="258"/>
        <v>207</v>
      </c>
      <c r="L375" s="431">
        <f t="shared" si="259"/>
        <v>220</v>
      </c>
      <c r="M375" s="332">
        <f t="shared" si="260"/>
        <v>1</v>
      </c>
      <c r="N375" s="432">
        <f t="shared" si="261"/>
        <v>13</v>
      </c>
      <c r="O375" s="451">
        <f t="shared" si="262"/>
        <v>-2</v>
      </c>
      <c r="P375" s="433">
        <f t="shared" si="263"/>
        <v>0</v>
      </c>
      <c r="Q375" s="460">
        <f>WEEKNUM(tblResultadosNBA[[#This Row],[Fecha]],2)</f>
        <v>50</v>
      </c>
      <c r="R375" s="460" t="str">
        <f>TEXT(tblResultadosNBA[[#This Row],[Fecha]],"mmm")</f>
        <v>dic</v>
      </c>
    </row>
    <row r="376" spans="1:18">
      <c r="A376" s="439">
        <v>46005</v>
      </c>
      <c r="B376" s="422" t="s">
        <v>177</v>
      </c>
      <c r="C376" s="341" t="str">
        <f>LEFT(B376,FIND("@",B376)-2)</f>
        <v>Washington Wizards</v>
      </c>
      <c r="D376" s="341">
        <v>128</v>
      </c>
      <c r="E376" s="342">
        <v>108</v>
      </c>
      <c r="F376" s="333">
        <f>IF(E376&gt;D376, 1, 0)</f>
        <v>0</v>
      </c>
      <c r="G376" s="341" t="str">
        <f>MID(B376,FIND("@",B376)+2,LEN(B376)-FIND("@",B376)-1)</f>
        <v>Indiana Pacers</v>
      </c>
      <c r="H376" s="341">
        <v>125</v>
      </c>
      <c r="I376" s="342">
        <v>89</v>
      </c>
      <c r="J376" s="333">
        <f>IF(I376&gt;H376, 1, 0)</f>
        <v>0</v>
      </c>
      <c r="K376" s="341">
        <f>+D376+H376</f>
        <v>253</v>
      </c>
      <c r="L376" s="342">
        <f>E376+I376</f>
        <v>197</v>
      </c>
      <c r="M376" s="333">
        <f>IF(L376&gt;K376, 1, 0)</f>
        <v>0</v>
      </c>
      <c r="N376" s="343">
        <f>(+H376-D376)</f>
        <v>-3</v>
      </c>
      <c r="O376" s="449">
        <f>I376-E376</f>
        <v>-19</v>
      </c>
      <c r="P376" s="289">
        <f>IF(OR(AND(N376&gt;0,O376&gt;0),AND(N376&lt;0,O376&lt;0)),1,0)</f>
        <v>1</v>
      </c>
      <c r="Q376" s="460">
        <f>WEEKNUM(tblResultadosNBA[[#This Row],[Fecha]],2)</f>
        <v>50</v>
      </c>
      <c r="R376" s="460" t="str">
        <f>TEXT(tblResultadosNBA[[#This Row],[Fecha]],"mmm")</f>
        <v>dic</v>
      </c>
    </row>
    <row r="377" spans="1:18">
      <c r="A377" s="419">
        <v>46005</v>
      </c>
      <c r="B377" s="302" t="s">
        <v>208</v>
      </c>
      <c r="C377" s="177" t="str">
        <f t="shared" ref="C377:C381" si="264">LEFT(B377,FIND("@",B377)-2)</f>
        <v>Charlotte Hornets</v>
      </c>
      <c r="D377" s="177">
        <v>111</v>
      </c>
      <c r="E377" s="336">
        <v>119</v>
      </c>
      <c r="F377" s="327">
        <f t="shared" ref="F377:F381" si="265">IF(E377&gt;D377, 1, 0)</f>
        <v>1</v>
      </c>
      <c r="G377" s="177" t="str">
        <f t="shared" ref="G377:G381" si="266">MID(B377,FIND("@",B377)+2,LEN(B377)-FIND("@",B377)-1)</f>
        <v>Cleveland Cavaliers</v>
      </c>
      <c r="H377" s="177">
        <v>118</v>
      </c>
      <c r="I377" s="336">
        <v>111</v>
      </c>
      <c r="J377" s="327">
        <f t="shared" ref="J377:J381" si="267">IF(I377&gt;H377, 1, 0)</f>
        <v>0</v>
      </c>
      <c r="K377" s="177">
        <f t="shared" ref="K377:K381" si="268">+D377+H377</f>
        <v>229</v>
      </c>
      <c r="L377" s="336">
        <f t="shared" ref="L377:L381" si="269">E377+I377</f>
        <v>230</v>
      </c>
      <c r="M377" s="327">
        <f t="shared" ref="M377:M381" si="270">IF(L377&gt;K377, 1, 0)</f>
        <v>1</v>
      </c>
      <c r="N377" s="337">
        <f t="shared" ref="N377:N381" si="271">(+H377-D377)</f>
        <v>7</v>
      </c>
      <c r="O377" s="395">
        <f t="shared" ref="O377:O381" si="272">I377-E377</f>
        <v>-8</v>
      </c>
      <c r="P377" s="289">
        <f t="shared" ref="P377:P381" si="273">IF(OR(AND(N377&gt;0,O377&gt;0),AND(N377&lt;0,O377&lt;0)),1,0)</f>
        <v>0</v>
      </c>
      <c r="Q377" s="460">
        <f>WEEKNUM(tblResultadosNBA[[#This Row],[Fecha]],2)</f>
        <v>50</v>
      </c>
      <c r="R377" s="460" t="str">
        <f>TEXT(tblResultadosNBA[[#This Row],[Fecha]],"mmm")</f>
        <v>dic</v>
      </c>
    </row>
    <row r="378" spans="1:18">
      <c r="A378" s="419">
        <v>46005</v>
      </c>
      <c r="B378" s="302" t="s">
        <v>178</v>
      </c>
      <c r="C378" s="177" t="str">
        <f t="shared" si="264"/>
        <v>Philadelphia 76ers</v>
      </c>
      <c r="D378" s="177">
        <v>113</v>
      </c>
      <c r="E378" s="336">
        <v>117</v>
      </c>
      <c r="F378" s="327">
        <f t="shared" si="265"/>
        <v>1</v>
      </c>
      <c r="G378" s="177" t="str">
        <f t="shared" si="266"/>
        <v>Atlanta Hawks</v>
      </c>
      <c r="H378" s="177">
        <v>116</v>
      </c>
      <c r="I378" s="336">
        <v>120</v>
      </c>
      <c r="J378" s="327">
        <f t="shared" si="267"/>
        <v>1</v>
      </c>
      <c r="K378" s="177">
        <f t="shared" si="268"/>
        <v>229</v>
      </c>
      <c r="L378" s="336">
        <f t="shared" si="269"/>
        <v>237</v>
      </c>
      <c r="M378" s="327">
        <f t="shared" si="270"/>
        <v>1</v>
      </c>
      <c r="N378" s="337">
        <f t="shared" si="271"/>
        <v>3</v>
      </c>
      <c r="O378" s="395">
        <f t="shared" si="272"/>
        <v>3</v>
      </c>
      <c r="P378" s="289">
        <f t="shared" si="273"/>
        <v>1</v>
      </c>
      <c r="Q378" s="460">
        <f>WEEKNUM(tblResultadosNBA[[#This Row],[Fecha]],2)</f>
        <v>50</v>
      </c>
      <c r="R378" s="460" t="str">
        <f>TEXT(tblResultadosNBA[[#This Row],[Fecha]],"mmm")</f>
        <v>dic</v>
      </c>
    </row>
    <row r="379" spans="1:18">
      <c r="A379" s="419">
        <v>46005</v>
      </c>
      <c r="B379" s="302" t="s">
        <v>179</v>
      </c>
      <c r="C379" s="177" t="str">
        <f t="shared" si="264"/>
        <v>Milwaukee Bucks</v>
      </c>
      <c r="D379" s="177">
        <v>119</v>
      </c>
      <c r="E379" s="336">
        <v>82</v>
      </c>
      <c r="F379" s="327">
        <f t="shared" si="265"/>
        <v>0</v>
      </c>
      <c r="G379" s="177" t="str">
        <f t="shared" si="266"/>
        <v>Brooklyn Nets</v>
      </c>
      <c r="H379" s="177">
        <v>117</v>
      </c>
      <c r="I379" s="336">
        <v>127</v>
      </c>
      <c r="J379" s="327">
        <f t="shared" si="267"/>
        <v>1</v>
      </c>
      <c r="K379" s="177">
        <f t="shared" si="268"/>
        <v>236</v>
      </c>
      <c r="L379" s="336">
        <f t="shared" si="269"/>
        <v>209</v>
      </c>
      <c r="M379" s="327">
        <f t="shared" si="270"/>
        <v>0</v>
      </c>
      <c r="N379" s="337">
        <f t="shared" si="271"/>
        <v>-2</v>
      </c>
      <c r="O379" s="395">
        <f t="shared" si="272"/>
        <v>45</v>
      </c>
      <c r="P379" s="289">
        <f t="shared" si="273"/>
        <v>0</v>
      </c>
      <c r="Q379" s="460">
        <f>WEEKNUM(tblResultadosNBA[[#This Row],[Fecha]],2)</f>
        <v>50</v>
      </c>
      <c r="R379" s="460" t="str">
        <f>TEXT(tblResultadosNBA[[#This Row],[Fecha]],"mmm")</f>
        <v>dic</v>
      </c>
    </row>
    <row r="380" spans="1:18">
      <c r="A380" s="419">
        <v>46005</v>
      </c>
      <c r="B380" s="302" t="s">
        <v>180</v>
      </c>
      <c r="C380" s="177" t="str">
        <f t="shared" si="264"/>
        <v>Sacramento Kings</v>
      </c>
      <c r="D380" s="177">
        <v>120</v>
      </c>
      <c r="E380" s="336">
        <v>103</v>
      </c>
      <c r="F380" s="327">
        <f t="shared" si="265"/>
        <v>0</v>
      </c>
      <c r="G380" s="177" t="str">
        <f t="shared" si="266"/>
        <v>Minnesota Timberwolves</v>
      </c>
      <c r="H380" s="177">
        <v>114</v>
      </c>
      <c r="I380" s="336">
        <v>117</v>
      </c>
      <c r="J380" s="327">
        <f t="shared" si="267"/>
        <v>1</v>
      </c>
      <c r="K380" s="177">
        <f t="shared" si="268"/>
        <v>234</v>
      </c>
      <c r="L380" s="336">
        <f t="shared" si="269"/>
        <v>220</v>
      </c>
      <c r="M380" s="327">
        <f t="shared" si="270"/>
        <v>0</v>
      </c>
      <c r="N380" s="337">
        <f t="shared" si="271"/>
        <v>-6</v>
      </c>
      <c r="O380" s="395">
        <f t="shared" si="272"/>
        <v>14</v>
      </c>
      <c r="P380" s="289">
        <f t="shared" si="273"/>
        <v>0</v>
      </c>
      <c r="Q380" s="460">
        <f>WEEKNUM(tblResultadosNBA[[#This Row],[Fecha]],2)</f>
        <v>50</v>
      </c>
      <c r="R380" s="460" t="str">
        <f>TEXT(tblResultadosNBA[[#This Row],[Fecha]],"mmm")</f>
        <v>dic</v>
      </c>
    </row>
    <row r="381" spans="1:18">
      <c r="A381" s="419">
        <v>46005</v>
      </c>
      <c r="B381" s="302" t="s">
        <v>181</v>
      </c>
      <c r="C381" s="177" t="str">
        <f t="shared" si="264"/>
        <v>New Orleans Pelicans</v>
      </c>
      <c r="D381" s="177">
        <v>121</v>
      </c>
      <c r="E381" s="336">
        <v>114</v>
      </c>
      <c r="F381" s="327">
        <f t="shared" si="265"/>
        <v>0</v>
      </c>
      <c r="G381" s="177" t="str">
        <f t="shared" si="266"/>
        <v>Chicago Bulls</v>
      </c>
      <c r="H381" s="177">
        <v>126</v>
      </c>
      <c r="I381" s="336">
        <v>104</v>
      </c>
      <c r="J381" s="327">
        <f t="shared" si="267"/>
        <v>0</v>
      </c>
      <c r="K381" s="177">
        <f t="shared" si="268"/>
        <v>247</v>
      </c>
      <c r="L381" s="336">
        <f t="shared" si="269"/>
        <v>218</v>
      </c>
      <c r="M381" s="327">
        <f t="shared" si="270"/>
        <v>0</v>
      </c>
      <c r="N381" s="337">
        <f t="shared" si="271"/>
        <v>5</v>
      </c>
      <c r="O381" s="395">
        <f t="shared" si="272"/>
        <v>-10</v>
      </c>
      <c r="P381" s="289">
        <f t="shared" si="273"/>
        <v>0</v>
      </c>
      <c r="Q381" s="460">
        <f>WEEKNUM(tblResultadosNBA[[#This Row],[Fecha]],2)</f>
        <v>50</v>
      </c>
      <c r="R381" s="460" t="str">
        <f>TEXT(tblResultadosNBA[[#This Row],[Fecha]],"mmm")</f>
        <v>dic</v>
      </c>
    </row>
    <row r="382" spans="1:18">
      <c r="A382" s="419">
        <v>46005</v>
      </c>
      <c r="B382" s="302" t="s">
        <v>219</v>
      </c>
      <c r="C382" s="177" t="str">
        <f t="shared" ref="C382:C383" si="274">LEFT(B382,FIND("@",B382)-2)</f>
        <v>Los Angeles Lakers</v>
      </c>
      <c r="D382" s="177">
        <v>117</v>
      </c>
      <c r="E382" s="336">
        <v>116</v>
      </c>
      <c r="F382" s="327">
        <f t="shared" ref="F382:F383" si="275">IF(E382&gt;D382, 1, 0)</f>
        <v>0</v>
      </c>
      <c r="G382" s="177" t="str">
        <f t="shared" ref="G382:G383" si="276">MID(B382,FIND("@",B382)+2,LEN(B382)-FIND("@",B382)-1)</f>
        <v>Phoenix Suns</v>
      </c>
      <c r="H382" s="177">
        <v>110</v>
      </c>
      <c r="I382" s="336">
        <v>114</v>
      </c>
      <c r="J382" s="327">
        <f t="shared" ref="J382:J383" si="277">IF(I382&gt;H382, 1, 0)</f>
        <v>1</v>
      </c>
      <c r="K382" s="177">
        <f t="shared" ref="K382:K383" si="278">+D382+H382</f>
        <v>227</v>
      </c>
      <c r="L382" s="336">
        <f t="shared" ref="L382:L383" si="279">E382+I382</f>
        <v>230</v>
      </c>
      <c r="M382" s="327">
        <f t="shared" ref="M382:M383" si="280">IF(L382&gt;K382, 1, 0)</f>
        <v>1</v>
      </c>
      <c r="N382" s="337">
        <f t="shared" ref="N382:N383" si="281">(+H382-D382)</f>
        <v>-7</v>
      </c>
      <c r="O382" s="395">
        <f t="shared" ref="O382:O383" si="282">I382-E382</f>
        <v>-2</v>
      </c>
      <c r="P382" s="289">
        <f t="shared" ref="P382:P383" si="283">IF(OR(AND(N382&gt;0,O382&gt;0),AND(N382&lt;0,O382&lt;0)),1,0)</f>
        <v>1</v>
      </c>
      <c r="Q382" s="460">
        <f>WEEKNUM(tblResultadosNBA[[#This Row],[Fecha]],2)</f>
        <v>50</v>
      </c>
      <c r="R382" s="460" t="str">
        <f>TEXT(tblResultadosNBA[[#This Row],[Fecha]],"mmm")</f>
        <v>dic</v>
      </c>
    </row>
    <row r="383" spans="1:18">
      <c r="A383" s="445">
        <v>46005</v>
      </c>
      <c r="B383" s="331" t="s">
        <v>433</v>
      </c>
      <c r="C383" s="286" t="str">
        <f t="shared" si="274"/>
        <v>Golden State Warriors</v>
      </c>
      <c r="D383" s="286">
        <v>116</v>
      </c>
      <c r="E383" s="431">
        <v>131</v>
      </c>
      <c r="F383" s="332">
        <f t="shared" si="275"/>
        <v>1</v>
      </c>
      <c r="G383" s="286" t="str">
        <f t="shared" si="276"/>
        <v>Portland Trail Blazers</v>
      </c>
      <c r="H383" s="286">
        <v>111</v>
      </c>
      <c r="I383" s="431">
        <v>136</v>
      </c>
      <c r="J383" s="332">
        <f t="shared" si="277"/>
        <v>1</v>
      </c>
      <c r="K383" s="286">
        <f t="shared" si="278"/>
        <v>227</v>
      </c>
      <c r="L383" s="431">
        <f t="shared" si="279"/>
        <v>267</v>
      </c>
      <c r="M383" s="332">
        <f t="shared" si="280"/>
        <v>1</v>
      </c>
      <c r="N383" s="432">
        <f t="shared" si="281"/>
        <v>-5</v>
      </c>
      <c r="O383" s="451">
        <f t="shared" si="282"/>
        <v>5</v>
      </c>
      <c r="P383" s="433">
        <f t="shared" si="283"/>
        <v>0</v>
      </c>
      <c r="Q383" s="460">
        <f>WEEKNUM(tblResultadosNBA[[#This Row],[Fecha]],2)</f>
        <v>50</v>
      </c>
      <c r="R383" s="460" t="str">
        <f>TEXT(tblResultadosNBA[[#This Row],[Fecha]],"mmm")</f>
        <v>dic</v>
      </c>
    </row>
    <row r="384" spans="1:18">
      <c r="A384" s="439">
        <v>46006</v>
      </c>
      <c r="B384" s="422" t="s">
        <v>105</v>
      </c>
      <c r="C384" s="341" t="str">
        <f>LEFT(B384,FIND("@",B384)-2)</f>
        <v>Detroit Pistons</v>
      </c>
      <c r="D384" s="341">
        <v>122</v>
      </c>
      <c r="E384" s="342">
        <v>112</v>
      </c>
      <c r="F384" s="333">
        <f>IF(E384&gt;D384, 1, 0)</f>
        <v>0</v>
      </c>
      <c r="G384" s="341" t="str">
        <f>MID(B384,FIND("@",B384)+2,LEN(B384)-FIND("@",B384)-1)</f>
        <v>Boston Celtics</v>
      </c>
      <c r="H384" s="341">
        <v>117</v>
      </c>
      <c r="I384" s="342">
        <v>105</v>
      </c>
      <c r="J384" s="333">
        <f>IF(I384&gt;H384, 1, 0)</f>
        <v>0</v>
      </c>
      <c r="K384" s="341">
        <f>+D384+H384</f>
        <v>239</v>
      </c>
      <c r="L384" s="342">
        <f>E384+I384</f>
        <v>217</v>
      </c>
      <c r="M384" s="333">
        <f>IF(L384&gt;K384, 1, 0)</f>
        <v>0</v>
      </c>
      <c r="N384" s="343">
        <f>(+H384-D384)</f>
        <v>-5</v>
      </c>
      <c r="O384" s="449">
        <f>I384-E384</f>
        <v>-7</v>
      </c>
      <c r="P384" s="289">
        <f>IF(OR(AND(N384&gt;0,O384&gt;0),AND(N384&lt;0,O384&lt;0)),1,0)</f>
        <v>1</v>
      </c>
      <c r="Q384" s="460">
        <f>WEEKNUM(tblResultadosNBA[[#This Row],[Fecha]],2)</f>
        <v>51</v>
      </c>
      <c r="R384" s="460" t="str">
        <f>TEXT(tblResultadosNBA[[#This Row],[Fecha]],"mmm")</f>
        <v>dic</v>
      </c>
    </row>
    <row r="385" spans="1:18">
      <c r="A385" s="419">
        <v>46006</v>
      </c>
      <c r="B385" s="302" t="s">
        <v>586</v>
      </c>
      <c r="C385" s="177" t="str">
        <f t="shared" ref="C385:C388" si="284">LEFT(B385,FIND("@",B385)-2)</f>
        <v>Toronto Raptors</v>
      </c>
      <c r="D385" s="177">
        <v>112</v>
      </c>
      <c r="E385" s="336">
        <v>106</v>
      </c>
      <c r="F385" s="327">
        <f t="shared" ref="F385:F388" si="285">IF(E385&gt;D385, 1, 0)</f>
        <v>0</v>
      </c>
      <c r="G385" s="177" t="str">
        <f t="shared" ref="G385:G388" si="286">MID(B385,FIND("@",B385)+2,LEN(B385)-FIND("@",B385)-1)</f>
        <v>Miami Heat</v>
      </c>
      <c r="H385" s="177">
        <v>119</v>
      </c>
      <c r="I385" s="336">
        <v>96</v>
      </c>
      <c r="J385" s="327">
        <f t="shared" ref="J385:J388" si="287">IF(I385&gt;H385, 1, 0)</f>
        <v>0</v>
      </c>
      <c r="K385" s="177">
        <f t="shared" ref="K385:K388" si="288">+D385+H385</f>
        <v>231</v>
      </c>
      <c r="L385" s="336">
        <f t="shared" ref="L385:L388" si="289">E385+I385</f>
        <v>202</v>
      </c>
      <c r="M385" s="327">
        <f t="shared" ref="M385:M388" si="290">IF(L385&gt;K385, 1, 0)</f>
        <v>0</v>
      </c>
      <c r="N385" s="337">
        <f t="shared" ref="N385:N388" si="291">(+H385-D385)</f>
        <v>7</v>
      </c>
      <c r="O385" s="395">
        <f t="shared" ref="O385:O388" si="292">I385-E385</f>
        <v>-10</v>
      </c>
      <c r="P385" s="289">
        <f t="shared" ref="P385:P388" si="293">IF(OR(AND(N385&gt;0,O385&gt;0),AND(N385&lt;0,O385&lt;0)),1,0)</f>
        <v>0</v>
      </c>
      <c r="Q385" s="460">
        <f>WEEKNUM(tblResultadosNBA[[#This Row],[Fecha]],2)</f>
        <v>51</v>
      </c>
      <c r="R385" s="460" t="str">
        <f>TEXT(tblResultadosNBA[[#This Row],[Fecha]],"mmm")</f>
        <v>dic</v>
      </c>
    </row>
    <row r="386" spans="1:18">
      <c r="A386" s="419">
        <v>46006</v>
      </c>
      <c r="B386" s="302" t="s">
        <v>182</v>
      </c>
      <c r="C386" s="177" t="str">
        <f t="shared" si="284"/>
        <v>Dallas Mavericks</v>
      </c>
      <c r="D386" s="177">
        <v>108</v>
      </c>
      <c r="E386" s="336">
        <v>133</v>
      </c>
      <c r="F386" s="327">
        <f t="shared" si="285"/>
        <v>1</v>
      </c>
      <c r="G386" s="177" t="str">
        <f t="shared" si="286"/>
        <v>Utah Jazz</v>
      </c>
      <c r="H386" s="177">
        <v>138</v>
      </c>
      <c r="I386" s="336">
        <v>140</v>
      </c>
      <c r="J386" s="327">
        <f t="shared" si="287"/>
        <v>1</v>
      </c>
      <c r="K386" s="177">
        <f t="shared" si="288"/>
        <v>246</v>
      </c>
      <c r="L386" s="336">
        <f t="shared" si="289"/>
        <v>273</v>
      </c>
      <c r="M386" s="327">
        <f t="shared" si="290"/>
        <v>1</v>
      </c>
      <c r="N386" s="337">
        <f t="shared" si="291"/>
        <v>30</v>
      </c>
      <c r="O386" s="395">
        <f t="shared" si="292"/>
        <v>7</v>
      </c>
      <c r="P386" s="289">
        <f t="shared" si="293"/>
        <v>1</v>
      </c>
      <c r="Q386" s="460">
        <f>WEEKNUM(tblResultadosNBA[[#This Row],[Fecha]],2)</f>
        <v>51</v>
      </c>
      <c r="R386" s="460" t="str">
        <f>TEXT(tblResultadosNBA[[#This Row],[Fecha]],"mmm")</f>
        <v>dic</v>
      </c>
    </row>
    <row r="387" spans="1:18">
      <c r="A387" s="419">
        <v>46006</v>
      </c>
      <c r="B387" s="302" t="s">
        <v>183</v>
      </c>
      <c r="C387" s="177" t="str">
        <f t="shared" si="284"/>
        <v>Houston Rockets</v>
      </c>
      <c r="D387" s="177">
        <v>118</v>
      </c>
      <c r="E387" s="336">
        <v>125</v>
      </c>
      <c r="F387" s="327">
        <f t="shared" si="285"/>
        <v>1</v>
      </c>
      <c r="G387" s="177" t="str">
        <f t="shared" si="286"/>
        <v>Denver Nuggets</v>
      </c>
      <c r="H387" s="177">
        <v>126</v>
      </c>
      <c r="I387" s="336">
        <v>128</v>
      </c>
      <c r="J387" s="327">
        <f t="shared" si="287"/>
        <v>1</v>
      </c>
      <c r="K387" s="177">
        <f t="shared" si="288"/>
        <v>244</v>
      </c>
      <c r="L387" s="336">
        <f t="shared" si="289"/>
        <v>253</v>
      </c>
      <c r="M387" s="327">
        <f t="shared" si="290"/>
        <v>1</v>
      </c>
      <c r="N387" s="337">
        <f t="shared" si="291"/>
        <v>8</v>
      </c>
      <c r="O387" s="395">
        <f t="shared" si="292"/>
        <v>3</v>
      </c>
      <c r="P387" s="289">
        <f t="shared" si="293"/>
        <v>1</v>
      </c>
      <c r="Q387" s="460">
        <f>WEEKNUM(tblResultadosNBA[[#This Row],[Fecha]],2)</f>
        <v>51</v>
      </c>
      <c r="R387" s="460" t="str">
        <f>TEXT(tblResultadosNBA[[#This Row],[Fecha]],"mmm")</f>
        <v>dic</v>
      </c>
    </row>
    <row r="388" spans="1:18">
      <c r="A388" s="445">
        <v>46006</v>
      </c>
      <c r="B388" s="331" t="s">
        <v>116</v>
      </c>
      <c r="C388" s="286" t="str">
        <f t="shared" si="284"/>
        <v>Memphis Grizzlies</v>
      </c>
      <c r="D388" s="286">
        <v>119</v>
      </c>
      <c r="E388" s="431">
        <v>121</v>
      </c>
      <c r="F388" s="332">
        <f t="shared" si="285"/>
        <v>1</v>
      </c>
      <c r="G388" s="286" t="str">
        <f t="shared" si="286"/>
        <v>LA Clippers</v>
      </c>
      <c r="H388" s="286">
        <v>113</v>
      </c>
      <c r="I388" s="431">
        <v>103</v>
      </c>
      <c r="J388" s="332">
        <f t="shared" si="287"/>
        <v>0</v>
      </c>
      <c r="K388" s="286">
        <f t="shared" si="288"/>
        <v>232</v>
      </c>
      <c r="L388" s="431">
        <f t="shared" si="289"/>
        <v>224</v>
      </c>
      <c r="M388" s="332">
        <f t="shared" si="290"/>
        <v>0</v>
      </c>
      <c r="N388" s="432">
        <f t="shared" si="291"/>
        <v>-6</v>
      </c>
      <c r="O388" s="451">
        <f t="shared" si="292"/>
        <v>-18</v>
      </c>
      <c r="P388" s="433">
        <f t="shared" si="293"/>
        <v>1</v>
      </c>
      <c r="Q388" s="460">
        <f>WEEKNUM(tblResultadosNBA[[#This Row],[Fecha]],2)</f>
        <v>51</v>
      </c>
      <c r="R388" s="460" t="str">
        <f>TEXT(tblResultadosNBA[[#This Row],[Fecha]],"mmm")</f>
        <v>dic</v>
      </c>
    </row>
    <row r="389" spans="1:18">
      <c r="A389" s="446">
        <v>46007</v>
      </c>
      <c r="B389" s="521" t="s">
        <v>587</v>
      </c>
      <c r="C389" s="522" t="str">
        <f>LEFT(B389,FIND("@",B389)-2)</f>
        <v>San Antonio Spurs</v>
      </c>
      <c r="D389" s="522">
        <v>90</v>
      </c>
      <c r="E389" s="523">
        <v>113</v>
      </c>
      <c r="F389" s="524">
        <f>IF(E389&gt;D389, 1, 0)</f>
        <v>1</v>
      </c>
      <c r="G389" s="522" t="str">
        <f>MID(B389,FIND("@",B389)+2,LEN(B389)-FIND("@",B389)-1)</f>
        <v>New York Knicks</v>
      </c>
      <c r="H389" s="522">
        <v>101</v>
      </c>
      <c r="I389" s="523">
        <v>124</v>
      </c>
      <c r="J389" s="524">
        <f>IF(I389&gt;H389, 1, 0)</f>
        <v>1</v>
      </c>
      <c r="K389" s="522">
        <f>+D389+H389</f>
        <v>191</v>
      </c>
      <c r="L389" s="523">
        <f>E389+I389</f>
        <v>237</v>
      </c>
      <c r="M389" s="524">
        <f>IF(L389&gt;K389, 1, 0)</f>
        <v>1</v>
      </c>
      <c r="N389" s="525">
        <f>(+H389-D389)</f>
        <v>11</v>
      </c>
      <c r="O389" s="526">
        <f>I389-E389</f>
        <v>11</v>
      </c>
      <c r="P389" s="433">
        <f>IF(OR(AND(N389&gt;0,O389&gt;0),AND(N389&lt;0,O389&lt;0)),1,0)</f>
        <v>1</v>
      </c>
      <c r="Q389" s="460">
        <f>WEEKNUM(tblResultadosNBA[[#This Row],[Fecha]],2)</f>
        <v>51</v>
      </c>
      <c r="R389" s="460" t="str">
        <f>TEXT(tblResultadosNBA[[#This Row],[Fecha]],"mmm")</f>
        <v>dic</v>
      </c>
    </row>
    <row r="390" spans="1:18">
      <c r="A390" s="439">
        <v>46008</v>
      </c>
      <c r="B390" s="422" t="s">
        <v>184</v>
      </c>
      <c r="C390" s="341" t="str">
        <f>LEFT(B390,FIND("@",B390)-2)</f>
        <v>Cleveland Cavaliers</v>
      </c>
      <c r="D390" s="341">
        <v>128</v>
      </c>
      <c r="E390" s="342">
        <v>111</v>
      </c>
      <c r="F390" s="333">
        <f>IF(E390&gt;D390, 1, 0)</f>
        <v>0</v>
      </c>
      <c r="G390" s="341" t="str">
        <f>MID(B390,FIND("@",B390)+2,LEN(B390)-FIND("@",B390)-1)</f>
        <v>Chicago Bulls</v>
      </c>
      <c r="H390" s="341">
        <v>119</v>
      </c>
      <c r="I390" s="342">
        <v>117</v>
      </c>
      <c r="J390" s="333">
        <f>IF(I390&gt;H390, 1, 0)</f>
        <v>0</v>
      </c>
      <c r="K390" s="341">
        <f>+D390+H390</f>
        <v>247</v>
      </c>
      <c r="L390" s="342">
        <f>E390+I390</f>
        <v>228</v>
      </c>
      <c r="M390" s="333">
        <f>IF(L390&gt;K390, 1, 0)</f>
        <v>0</v>
      </c>
      <c r="N390" s="343">
        <f>(+H390-D390)</f>
        <v>-9</v>
      </c>
      <c r="O390" s="449">
        <f>I390-E390</f>
        <v>6</v>
      </c>
      <c r="P390" s="289">
        <f>IF(OR(AND(N390&gt;0,O390&gt;0),AND(N390&lt;0,O390&lt;0)),1,0)</f>
        <v>0</v>
      </c>
      <c r="Q390" s="460">
        <f>WEEKNUM(tblResultadosNBA[[#This Row],[Fecha]],2)</f>
        <v>51</v>
      </c>
      <c r="R390" s="460" t="str">
        <f>TEXT(tblResultadosNBA[[#This Row],[Fecha]],"mmm")</f>
        <v>dic</v>
      </c>
    </row>
    <row r="391" spans="1:18">
      <c r="A391" s="446">
        <v>46008</v>
      </c>
      <c r="B391" s="331" t="s">
        <v>185</v>
      </c>
      <c r="C391" s="286" t="str">
        <f>LEFT(B391,FIND("@",B391)-2)</f>
        <v>Memphis Grizzlies</v>
      </c>
      <c r="D391" s="286">
        <v>117</v>
      </c>
      <c r="E391" s="431">
        <v>116</v>
      </c>
      <c r="F391" s="332">
        <f>IF(E391&gt;D391, 1, 0)</f>
        <v>0</v>
      </c>
      <c r="G391" s="286" t="str">
        <f>MID(B391,FIND("@",B391)+2,LEN(B391)-FIND("@",B391)-1)</f>
        <v>Minnesota Timberwolves</v>
      </c>
      <c r="H391" s="286">
        <v>122</v>
      </c>
      <c r="I391" s="431">
        <v>110</v>
      </c>
      <c r="J391" s="332">
        <f>IF(I391&gt;H391, 1, 0)</f>
        <v>0</v>
      </c>
      <c r="K391" s="286">
        <f>+D391+H391</f>
        <v>239</v>
      </c>
      <c r="L391" s="431">
        <f>E391+I391</f>
        <v>226</v>
      </c>
      <c r="M391" s="332">
        <f>IF(L391&gt;K391, 1, 0)</f>
        <v>0</v>
      </c>
      <c r="N391" s="432">
        <f>(+H391-D391)</f>
        <v>5</v>
      </c>
      <c r="O391" s="451">
        <f>I391-E391</f>
        <v>-6</v>
      </c>
      <c r="P391" s="433">
        <f>IF(OR(AND(N391&gt;0,O391&gt;0),AND(N391&lt;0,O391&lt;0)),1,0)</f>
        <v>0</v>
      </c>
      <c r="Q391" s="460">
        <f>WEEKNUM(tblResultadosNBA[[#This Row],[Fecha]],2)</f>
        <v>51</v>
      </c>
      <c r="R391" s="460" t="str">
        <f>TEXT(tblResultadosNBA[[#This Row],[Fecha]],"mmm")</f>
        <v>dic</v>
      </c>
    </row>
    <row r="392" spans="1:18">
      <c r="A392" s="439">
        <v>46009</v>
      </c>
      <c r="B392" s="422" t="s">
        <v>186</v>
      </c>
      <c r="C392" s="341" t="str">
        <f>LEFT(B392,FIND("@",B392)-2)</f>
        <v>Atlanta Hawks</v>
      </c>
      <c r="D392" s="341">
        <v>133</v>
      </c>
      <c r="E392" s="342">
        <v>126</v>
      </c>
      <c r="F392" s="333">
        <f>IF(E392&gt;D392, 1, 0)</f>
        <v>0</v>
      </c>
      <c r="G392" s="341" t="str">
        <f>MID(B392,FIND("@",B392)+2,LEN(B392)-FIND("@",B392)-1)</f>
        <v>Charlotte Hornets</v>
      </c>
      <c r="H392" s="341">
        <v>123</v>
      </c>
      <c r="I392" s="342">
        <v>133</v>
      </c>
      <c r="J392" s="333">
        <f>IF(I392&gt;H392, 1, 0)</f>
        <v>1</v>
      </c>
      <c r="K392" s="341">
        <f>+D392+H392</f>
        <v>256</v>
      </c>
      <c r="L392" s="342">
        <f>E392+I392</f>
        <v>259</v>
      </c>
      <c r="M392" s="333">
        <f>IF(L392&gt;K392, 1, 0)</f>
        <v>1</v>
      </c>
      <c r="N392" s="343">
        <f>(+H392-D392)</f>
        <v>-10</v>
      </c>
      <c r="O392" s="449">
        <f>I392-E392</f>
        <v>7</v>
      </c>
      <c r="P392" s="289">
        <f>IF(OR(AND(N392&gt;0,O392&gt;0),AND(N392&lt;0,O392&lt;0)),1,0)</f>
        <v>0</v>
      </c>
      <c r="Q392" s="460">
        <f>WEEKNUM(tblResultadosNBA[[#This Row],[Fecha]],2)</f>
        <v>51</v>
      </c>
      <c r="R392" s="460" t="str">
        <f>TEXT(tblResultadosNBA[[#This Row],[Fecha]],"mmm")</f>
        <v>dic</v>
      </c>
    </row>
    <row r="393" spans="1:18">
      <c r="A393" s="419">
        <v>46009</v>
      </c>
      <c r="B393" s="302" t="s">
        <v>187</v>
      </c>
      <c r="C393" s="177" t="str">
        <f t="shared" ref="C393:C403" si="294">LEFT(B393,FIND("@",B393)-2)</f>
        <v>New York Knicks</v>
      </c>
      <c r="D393" s="177">
        <v>116</v>
      </c>
      <c r="E393" s="336">
        <v>114</v>
      </c>
      <c r="F393" s="327">
        <f t="shared" ref="F393:F403" si="295">IF(E393&gt;D393, 1, 0)</f>
        <v>0</v>
      </c>
      <c r="G393" s="177" t="str">
        <f t="shared" ref="G393:G403" si="296">MID(B393,FIND("@",B393)+2,LEN(B393)-FIND("@",B393)-1)</f>
        <v>Indiana Pacers</v>
      </c>
      <c r="H393" s="177">
        <v>124</v>
      </c>
      <c r="I393" s="336">
        <v>113</v>
      </c>
      <c r="J393" s="327">
        <f t="shared" ref="J393:J403" si="297">IF(I393&gt;H393, 1, 0)</f>
        <v>0</v>
      </c>
      <c r="K393" s="177">
        <f t="shared" ref="K393:K403" si="298">+D393+H393</f>
        <v>240</v>
      </c>
      <c r="L393" s="336">
        <f t="shared" ref="L393:L403" si="299">E393+I393</f>
        <v>227</v>
      </c>
      <c r="M393" s="327">
        <f t="shared" ref="M393:M403" si="300">IF(L393&gt;K393, 1, 0)</f>
        <v>0</v>
      </c>
      <c r="N393" s="337">
        <f t="shared" ref="N393:N403" si="301">(+H393-D393)</f>
        <v>8</v>
      </c>
      <c r="O393" s="395">
        <f t="shared" ref="O393:O403" si="302">I393-E393</f>
        <v>-1</v>
      </c>
      <c r="P393" s="289">
        <f t="shared" ref="P393:P403" si="303">IF(OR(AND(N393&gt;0,O393&gt;0),AND(N393&lt;0,O393&lt;0)),1,0)</f>
        <v>0</v>
      </c>
      <c r="Q393" s="460">
        <f>WEEKNUM(tblResultadosNBA[[#This Row],[Fecha]],2)</f>
        <v>51</v>
      </c>
      <c r="R393" s="460" t="str">
        <f>TEXT(tblResultadosNBA[[#This Row],[Fecha]],"mmm")</f>
        <v>dic</v>
      </c>
    </row>
    <row r="394" spans="1:18">
      <c r="A394" s="419">
        <v>46009</v>
      </c>
      <c r="B394" s="302" t="s">
        <v>588</v>
      </c>
      <c r="C394" s="177" t="str">
        <f t="shared" si="294"/>
        <v>Miami Heat</v>
      </c>
      <c r="D394" s="177">
        <v>113</v>
      </c>
      <c r="E394" s="336">
        <v>106</v>
      </c>
      <c r="F394" s="327">
        <f t="shared" si="295"/>
        <v>0</v>
      </c>
      <c r="G394" s="177" t="str">
        <f t="shared" si="296"/>
        <v>Brooklyn Nets</v>
      </c>
      <c r="H394" s="177">
        <v>107</v>
      </c>
      <c r="I394" s="336">
        <v>95</v>
      </c>
      <c r="J394" s="327">
        <f t="shared" si="297"/>
        <v>0</v>
      </c>
      <c r="K394" s="177">
        <f t="shared" si="298"/>
        <v>220</v>
      </c>
      <c r="L394" s="336">
        <f t="shared" si="299"/>
        <v>201</v>
      </c>
      <c r="M394" s="327">
        <f t="shared" si="300"/>
        <v>0</v>
      </c>
      <c r="N394" s="337">
        <f t="shared" si="301"/>
        <v>-6</v>
      </c>
      <c r="O394" s="395">
        <f t="shared" si="302"/>
        <v>-11</v>
      </c>
      <c r="P394" s="289">
        <f t="shared" si="303"/>
        <v>1</v>
      </c>
      <c r="Q394" s="460">
        <f>WEEKNUM(tblResultadosNBA[[#This Row],[Fecha]],2)</f>
        <v>51</v>
      </c>
      <c r="R394" s="460" t="str">
        <f>TEXT(tblResultadosNBA[[#This Row],[Fecha]],"mmm")</f>
        <v>dic</v>
      </c>
    </row>
    <row r="395" spans="1:18">
      <c r="A395" s="419">
        <v>46009</v>
      </c>
      <c r="B395" s="302" t="s">
        <v>188</v>
      </c>
      <c r="C395" s="177" t="str">
        <f t="shared" si="294"/>
        <v>LA Clippers</v>
      </c>
      <c r="D395" s="177">
        <v>113</v>
      </c>
      <c r="E395" s="336">
        <v>101</v>
      </c>
      <c r="F395" s="327">
        <f t="shared" si="295"/>
        <v>0</v>
      </c>
      <c r="G395" s="177" t="str">
        <f t="shared" si="296"/>
        <v>Oklahoma City Thunder</v>
      </c>
      <c r="H395" s="177">
        <v>125</v>
      </c>
      <c r="I395" s="336">
        <v>122</v>
      </c>
      <c r="J395" s="327">
        <f t="shared" si="297"/>
        <v>0</v>
      </c>
      <c r="K395" s="177">
        <f t="shared" si="298"/>
        <v>238</v>
      </c>
      <c r="L395" s="336">
        <f t="shared" si="299"/>
        <v>223</v>
      </c>
      <c r="M395" s="327">
        <f t="shared" si="300"/>
        <v>0</v>
      </c>
      <c r="N395" s="337">
        <f t="shared" si="301"/>
        <v>12</v>
      </c>
      <c r="O395" s="395">
        <f t="shared" si="302"/>
        <v>21</v>
      </c>
      <c r="P395" s="289">
        <f t="shared" si="303"/>
        <v>1</v>
      </c>
      <c r="Q395" s="460">
        <f>WEEKNUM(tblResultadosNBA[[#This Row],[Fecha]],2)</f>
        <v>51</v>
      </c>
      <c r="R395" s="460" t="str">
        <f>TEXT(tblResultadosNBA[[#This Row],[Fecha]],"mmm")</f>
        <v>dic</v>
      </c>
    </row>
    <row r="396" spans="1:18">
      <c r="A396" s="419">
        <v>46009</v>
      </c>
      <c r="B396" s="302" t="s">
        <v>189</v>
      </c>
      <c r="C396" s="177" t="str">
        <f t="shared" si="294"/>
        <v>Washington Wizards</v>
      </c>
      <c r="D396" s="177">
        <v>122</v>
      </c>
      <c r="E396" s="336">
        <v>94</v>
      </c>
      <c r="F396" s="327">
        <f t="shared" si="295"/>
        <v>0</v>
      </c>
      <c r="G396" s="177" t="str">
        <f t="shared" si="296"/>
        <v>San Antonio Spurs</v>
      </c>
      <c r="H396" s="177">
        <v>128</v>
      </c>
      <c r="I396" s="336">
        <v>119</v>
      </c>
      <c r="J396" s="327">
        <f t="shared" si="297"/>
        <v>0</v>
      </c>
      <c r="K396" s="177">
        <f t="shared" si="298"/>
        <v>250</v>
      </c>
      <c r="L396" s="336">
        <f t="shared" si="299"/>
        <v>213</v>
      </c>
      <c r="M396" s="327">
        <f t="shared" si="300"/>
        <v>0</v>
      </c>
      <c r="N396" s="337">
        <f t="shared" si="301"/>
        <v>6</v>
      </c>
      <c r="O396" s="395">
        <f t="shared" si="302"/>
        <v>25</v>
      </c>
      <c r="P396" s="289">
        <f t="shared" si="303"/>
        <v>1</v>
      </c>
      <c r="Q396" s="460">
        <f>WEEKNUM(tblResultadosNBA[[#This Row],[Fecha]],2)</f>
        <v>51</v>
      </c>
      <c r="R396" s="460" t="str">
        <f>TEXT(tblResultadosNBA[[#This Row],[Fecha]],"mmm")</f>
        <v>dic</v>
      </c>
    </row>
    <row r="397" spans="1:18">
      <c r="A397" s="419">
        <v>46009</v>
      </c>
      <c r="B397" s="302" t="s">
        <v>190</v>
      </c>
      <c r="C397" s="177" t="str">
        <f t="shared" si="294"/>
        <v>Toronto Raptors</v>
      </c>
      <c r="D397" s="177">
        <v>110</v>
      </c>
      <c r="E397" s="336">
        <v>111</v>
      </c>
      <c r="F397" s="327">
        <f t="shared" si="295"/>
        <v>1</v>
      </c>
      <c r="G397" s="177" t="str">
        <f t="shared" si="296"/>
        <v>Milwaukee Bucks</v>
      </c>
      <c r="H397" s="177">
        <v>118</v>
      </c>
      <c r="I397" s="336">
        <v>105</v>
      </c>
      <c r="J397" s="327">
        <f t="shared" si="297"/>
        <v>0</v>
      </c>
      <c r="K397" s="177">
        <f t="shared" si="298"/>
        <v>228</v>
      </c>
      <c r="L397" s="336">
        <f t="shared" si="299"/>
        <v>216</v>
      </c>
      <c r="M397" s="327">
        <f t="shared" si="300"/>
        <v>0</v>
      </c>
      <c r="N397" s="337">
        <f t="shared" si="301"/>
        <v>8</v>
      </c>
      <c r="O397" s="395">
        <f t="shared" si="302"/>
        <v>-6</v>
      </c>
      <c r="P397" s="289">
        <f t="shared" si="303"/>
        <v>0</v>
      </c>
      <c r="Q397" s="460">
        <f>WEEKNUM(tblResultadosNBA[[#This Row],[Fecha]],2)</f>
        <v>51</v>
      </c>
      <c r="R397" s="460" t="str">
        <f>TEXT(tblResultadosNBA[[#This Row],[Fecha]],"mmm")</f>
        <v>dic</v>
      </c>
    </row>
    <row r="398" spans="1:18">
      <c r="A398" s="419">
        <v>46009</v>
      </c>
      <c r="B398" s="302" t="s">
        <v>191</v>
      </c>
      <c r="C398" s="177" t="str">
        <f t="shared" si="294"/>
        <v>Houston Rockets</v>
      </c>
      <c r="D398" s="177">
        <v>119</v>
      </c>
      <c r="E398" s="336">
        <v>128</v>
      </c>
      <c r="F398" s="327">
        <f t="shared" si="295"/>
        <v>1</v>
      </c>
      <c r="G398" s="177" t="str">
        <f t="shared" si="296"/>
        <v>New Orleans Pelicans</v>
      </c>
      <c r="H398" s="177">
        <v>129</v>
      </c>
      <c r="I398" s="336">
        <v>133</v>
      </c>
      <c r="J398" s="327">
        <f t="shared" si="297"/>
        <v>1</v>
      </c>
      <c r="K398" s="177">
        <f t="shared" si="298"/>
        <v>248</v>
      </c>
      <c r="L398" s="336">
        <f t="shared" si="299"/>
        <v>261</v>
      </c>
      <c r="M398" s="327">
        <f t="shared" si="300"/>
        <v>1</v>
      </c>
      <c r="N398" s="337">
        <f t="shared" si="301"/>
        <v>10</v>
      </c>
      <c r="O398" s="395">
        <f t="shared" si="302"/>
        <v>5</v>
      </c>
      <c r="P398" s="289">
        <f t="shared" si="303"/>
        <v>1</v>
      </c>
      <c r="Q398" s="460">
        <f>WEEKNUM(tblResultadosNBA[[#This Row],[Fecha]],2)</f>
        <v>51</v>
      </c>
      <c r="R398" s="460" t="str">
        <f>TEXT(tblResultadosNBA[[#This Row],[Fecha]],"mmm")</f>
        <v>dic</v>
      </c>
    </row>
    <row r="399" spans="1:18">
      <c r="A399" s="419">
        <v>46009</v>
      </c>
      <c r="B399" s="302" t="s">
        <v>589</v>
      </c>
      <c r="C399" s="177" t="str">
        <f t="shared" si="294"/>
        <v>Detroit Pistons</v>
      </c>
      <c r="D399" s="177">
        <v>111</v>
      </c>
      <c r="E399" s="336">
        <v>114</v>
      </c>
      <c r="F399" s="327">
        <f t="shared" si="295"/>
        <v>1</v>
      </c>
      <c r="G399" s="177" t="str">
        <f t="shared" si="296"/>
        <v>Dallas Mavericks</v>
      </c>
      <c r="H399" s="177">
        <v>116</v>
      </c>
      <c r="I399" s="336">
        <v>116</v>
      </c>
      <c r="J399" s="327">
        <f t="shared" si="297"/>
        <v>0</v>
      </c>
      <c r="K399" s="177">
        <f t="shared" si="298"/>
        <v>227</v>
      </c>
      <c r="L399" s="336">
        <f t="shared" si="299"/>
        <v>230</v>
      </c>
      <c r="M399" s="327">
        <f t="shared" si="300"/>
        <v>1</v>
      </c>
      <c r="N399" s="337">
        <f t="shared" si="301"/>
        <v>5</v>
      </c>
      <c r="O399" s="395">
        <f t="shared" si="302"/>
        <v>2</v>
      </c>
      <c r="P399" s="289">
        <f t="shared" si="303"/>
        <v>1</v>
      </c>
      <c r="Q399" s="460">
        <f>WEEKNUM(tblResultadosNBA[[#This Row],[Fecha]],2)</f>
        <v>51</v>
      </c>
      <c r="R399" s="460" t="str">
        <f>TEXT(tblResultadosNBA[[#This Row],[Fecha]],"mmm")</f>
        <v>dic</v>
      </c>
    </row>
    <row r="400" spans="1:18">
      <c r="A400" s="419">
        <v>46009</v>
      </c>
      <c r="B400" s="302" t="s">
        <v>192</v>
      </c>
      <c r="C400" s="177" t="str">
        <f t="shared" si="294"/>
        <v>Orlando Magic</v>
      </c>
      <c r="D400" s="177">
        <v>129</v>
      </c>
      <c r="E400" s="336">
        <v>115</v>
      </c>
      <c r="F400" s="327">
        <f t="shared" si="295"/>
        <v>0</v>
      </c>
      <c r="G400" s="177" t="str">
        <f t="shared" si="296"/>
        <v>Denver Nuggets</v>
      </c>
      <c r="H400" s="177">
        <v>129</v>
      </c>
      <c r="I400" s="336">
        <v>126</v>
      </c>
      <c r="J400" s="327">
        <f t="shared" si="297"/>
        <v>0</v>
      </c>
      <c r="K400" s="177">
        <f t="shared" si="298"/>
        <v>258</v>
      </c>
      <c r="L400" s="336">
        <f t="shared" si="299"/>
        <v>241</v>
      </c>
      <c r="M400" s="327">
        <f t="shared" si="300"/>
        <v>0</v>
      </c>
      <c r="N400" s="337">
        <f t="shared" si="301"/>
        <v>0</v>
      </c>
      <c r="O400" s="395">
        <f t="shared" si="302"/>
        <v>11</v>
      </c>
      <c r="P400" s="289">
        <f t="shared" si="303"/>
        <v>0</v>
      </c>
      <c r="Q400" s="460">
        <f>WEEKNUM(tblResultadosNBA[[#This Row],[Fecha]],2)</f>
        <v>51</v>
      </c>
      <c r="R400" s="460" t="str">
        <f>TEXT(tblResultadosNBA[[#This Row],[Fecha]],"mmm")</f>
        <v>dic</v>
      </c>
    </row>
    <row r="401" spans="1:18">
      <c r="A401" s="419">
        <v>46009</v>
      </c>
      <c r="B401" s="302" t="s">
        <v>193</v>
      </c>
      <c r="C401" s="177" t="str">
        <f t="shared" si="294"/>
        <v>Golden State Warriors</v>
      </c>
      <c r="D401" s="177">
        <v>115</v>
      </c>
      <c r="E401" s="336">
        <v>98</v>
      </c>
      <c r="F401" s="327">
        <f t="shared" si="295"/>
        <v>0</v>
      </c>
      <c r="G401" s="177" t="str">
        <f t="shared" si="296"/>
        <v>Phoenix Suns</v>
      </c>
      <c r="H401" s="177">
        <v>134</v>
      </c>
      <c r="I401" s="336">
        <v>99</v>
      </c>
      <c r="J401" s="327">
        <f t="shared" si="297"/>
        <v>0</v>
      </c>
      <c r="K401" s="177">
        <f t="shared" si="298"/>
        <v>249</v>
      </c>
      <c r="L401" s="336">
        <f t="shared" si="299"/>
        <v>197</v>
      </c>
      <c r="M401" s="327">
        <f t="shared" si="300"/>
        <v>0</v>
      </c>
      <c r="N401" s="337">
        <f t="shared" si="301"/>
        <v>19</v>
      </c>
      <c r="O401" s="395">
        <f t="shared" si="302"/>
        <v>1</v>
      </c>
      <c r="P401" s="289">
        <f t="shared" si="303"/>
        <v>1</v>
      </c>
      <c r="Q401" s="460">
        <f>WEEKNUM(tblResultadosNBA[[#This Row],[Fecha]],2)</f>
        <v>51</v>
      </c>
      <c r="R401" s="460" t="str">
        <f>TEXT(tblResultadosNBA[[#This Row],[Fecha]],"mmm")</f>
        <v>dic</v>
      </c>
    </row>
    <row r="402" spans="1:18">
      <c r="A402" s="419">
        <v>46009</v>
      </c>
      <c r="B402" s="302" t="s">
        <v>194</v>
      </c>
      <c r="C402" s="177" t="str">
        <f t="shared" si="294"/>
        <v>Los Angeles Lakers</v>
      </c>
      <c r="D402" s="177">
        <v>124</v>
      </c>
      <c r="E402" s="336">
        <v>143</v>
      </c>
      <c r="F402" s="327">
        <f t="shared" si="295"/>
        <v>1</v>
      </c>
      <c r="G402" s="177" t="str">
        <f t="shared" si="296"/>
        <v>Utah Jazz</v>
      </c>
      <c r="H402" s="177">
        <v>136</v>
      </c>
      <c r="I402" s="336">
        <v>135</v>
      </c>
      <c r="J402" s="327">
        <f t="shared" si="297"/>
        <v>0</v>
      </c>
      <c r="K402" s="177">
        <f t="shared" si="298"/>
        <v>260</v>
      </c>
      <c r="L402" s="336">
        <f t="shared" si="299"/>
        <v>278</v>
      </c>
      <c r="M402" s="327">
        <f t="shared" si="300"/>
        <v>1</v>
      </c>
      <c r="N402" s="337">
        <f t="shared" si="301"/>
        <v>12</v>
      </c>
      <c r="O402" s="395">
        <f t="shared" si="302"/>
        <v>-8</v>
      </c>
      <c r="P402" s="289">
        <f t="shared" si="303"/>
        <v>0</v>
      </c>
      <c r="Q402" s="460">
        <f>WEEKNUM(tblResultadosNBA[[#This Row],[Fecha]],2)</f>
        <v>51</v>
      </c>
      <c r="R402" s="460" t="str">
        <f>TEXT(tblResultadosNBA[[#This Row],[Fecha]],"mmm")</f>
        <v>dic</v>
      </c>
    </row>
    <row r="403" spans="1:18">
      <c r="A403" s="445">
        <v>46009</v>
      </c>
      <c r="B403" s="331" t="s">
        <v>590</v>
      </c>
      <c r="C403" s="286" t="str">
        <f t="shared" si="294"/>
        <v>Sacramento Kings</v>
      </c>
      <c r="D403" s="286">
        <v>113</v>
      </c>
      <c r="E403" s="431">
        <v>133</v>
      </c>
      <c r="F403" s="332">
        <f t="shared" si="295"/>
        <v>1</v>
      </c>
      <c r="G403" s="286" t="str">
        <f t="shared" si="296"/>
        <v>Portland Trail Blazers</v>
      </c>
      <c r="H403" s="286">
        <v>119</v>
      </c>
      <c r="I403" s="431">
        <v>134</v>
      </c>
      <c r="J403" s="332">
        <f t="shared" si="297"/>
        <v>1</v>
      </c>
      <c r="K403" s="286">
        <f t="shared" si="298"/>
        <v>232</v>
      </c>
      <c r="L403" s="431">
        <f t="shared" si="299"/>
        <v>267</v>
      </c>
      <c r="M403" s="332">
        <f t="shared" si="300"/>
        <v>1</v>
      </c>
      <c r="N403" s="432">
        <f t="shared" si="301"/>
        <v>6</v>
      </c>
      <c r="O403" s="451">
        <f t="shared" si="302"/>
        <v>1</v>
      </c>
      <c r="P403" s="433">
        <f t="shared" si="303"/>
        <v>1</v>
      </c>
      <c r="Q403" s="460">
        <f>WEEKNUM(tblResultadosNBA[[#This Row],[Fecha]],2)</f>
        <v>51</v>
      </c>
      <c r="R403" s="460" t="str">
        <f>TEXT(tblResultadosNBA[[#This Row],[Fecha]],"mmm")</f>
        <v>dic</v>
      </c>
    </row>
    <row r="404" spans="1:18">
      <c r="A404" s="439">
        <v>46010</v>
      </c>
      <c r="B404" s="422" t="s">
        <v>195</v>
      </c>
      <c r="C404" s="341" t="str">
        <f>LEFT(B404,FIND("@",B404)-2)</f>
        <v>Miami Heat</v>
      </c>
      <c r="D404" s="341">
        <v>124</v>
      </c>
      <c r="E404" s="342">
        <v>116</v>
      </c>
      <c r="F404" s="333">
        <f>IF(E404&gt;D404, 1, 0)</f>
        <v>0</v>
      </c>
      <c r="G404" s="341" t="str">
        <f>MID(B404,FIND("@",B404)+2,LEN(B404)-FIND("@",B404)-1)</f>
        <v>Boston Celtics</v>
      </c>
      <c r="H404" s="341">
        <v>118</v>
      </c>
      <c r="I404" s="342">
        <v>129</v>
      </c>
      <c r="J404" s="333">
        <f>IF(I404&gt;H404, 1, 0)</f>
        <v>1</v>
      </c>
      <c r="K404" s="341">
        <f>+D404+H404</f>
        <v>242</v>
      </c>
      <c r="L404" s="342">
        <f>E404+I404</f>
        <v>245</v>
      </c>
      <c r="M404" s="333">
        <f>IF(L404&gt;K404, 1, 0)</f>
        <v>1</v>
      </c>
      <c r="N404" s="343">
        <f>(+H404-D404)</f>
        <v>-6</v>
      </c>
      <c r="O404" s="449">
        <f>I404-E404</f>
        <v>13</v>
      </c>
      <c r="P404" s="289">
        <f>IF(OR(AND(N404&gt;0,O404&gt;0),AND(N404&lt;0,O404&lt;0)),1,0)</f>
        <v>0</v>
      </c>
      <c r="Q404" s="460">
        <f>WEEKNUM(tblResultadosNBA[[#This Row],[Fecha]],2)</f>
        <v>51</v>
      </c>
      <c r="R404" s="460" t="str">
        <f>TEXT(tblResultadosNBA[[#This Row],[Fecha]],"mmm")</f>
        <v>dic</v>
      </c>
    </row>
    <row r="405" spans="1:18">
      <c r="A405" s="419">
        <v>46010</v>
      </c>
      <c r="B405" s="302" t="s">
        <v>196</v>
      </c>
      <c r="C405" s="177" t="str">
        <f t="shared" ref="C405:C407" si="304">LEFT(B405,FIND("@",B405)-2)</f>
        <v>Philadelphia 76ers</v>
      </c>
      <c r="D405" s="177">
        <v>125</v>
      </c>
      <c r="E405" s="336">
        <v>116</v>
      </c>
      <c r="F405" s="327">
        <f t="shared" ref="F405:F407" si="305">IF(E405&gt;D405, 1, 0)</f>
        <v>0</v>
      </c>
      <c r="G405" s="177" t="str">
        <f t="shared" ref="G405:G407" si="306">MID(B405,FIND("@",B405)+2,LEN(B405)-FIND("@",B405)-1)</f>
        <v>New York Knicks</v>
      </c>
      <c r="H405" s="177">
        <v>130</v>
      </c>
      <c r="I405" s="336">
        <v>107</v>
      </c>
      <c r="J405" s="327">
        <f t="shared" ref="J405:J407" si="307">IF(I405&gt;H405, 1, 0)</f>
        <v>0</v>
      </c>
      <c r="K405" s="177">
        <f t="shared" ref="K405:K407" si="308">+D405+H405</f>
        <v>255</v>
      </c>
      <c r="L405" s="336">
        <f t="shared" ref="L405:L407" si="309">E405+I405</f>
        <v>223</v>
      </c>
      <c r="M405" s="327">
        <f t="shared" ref="M405:M407" si="310">IF(L405&gt;K405, 1, 0)</f>
        <v>0</v>
      </c>
      <c r="N405" s="337">
        <f t="shared" ref="N405:N407" si="311">(+H405-D405)</f>
        <v>5</v>
      </c>
      <c r="O405" s="395">
        <f t="shared" ref="O405:O407" si="312">I405-E405</f>
        <v>-9</v>
      </c>
      <c r="P405" s="289">
        <f t="shared" ref="P405:P407" si="313">IF(OR(AND(N405&gt;0,O405&gt;0),AND(N405&lt;0,O405&lt;0)),1,0)</f>
        <v>0</v>
      </c>
      <c r="Q405" s="460">
        <f>WEEKNUM(tblResultadosNBA[[#This Row],[Fecha]],2)</f>
        <v>51</v>
      </c>
      <c r="R405" s="460" t="str">
        <f>TEXT(tblResultadosNBA[[#This Row],[Fecha]],"mmm")</f>
        <v>dic</v>
      </c>
    </row>
    <row r="406" spans="1:18">
      <c r="A406" s="419">
        <v>46010</v>
      </c>
      <c r="B406" s="302" t="s">
        <v>591</v>
      </c>
      <c r="C406" s="177" t="str">
        <f t="shared" si="304"/>
        <v>San Antonio Spurs</v>
      </c>
      <c r="D406" s="177">
        <v>116</v>
      </c>
      <c r="E406" s="336">
        <v>126</v>
      </c>
      <c r="F406" s="327">
        <f t="shared" si="305"/>
        <v>1</v>
      </c>
      <c r="G406" s="177" t="str">
        <f t="shared" si="306"/>
        <v>Atlanta Hawks</v>
      </c>
      <c r="H406" s="177">
        <v>122</v>
      </c>
      <c r="I406" s="336">
        <v>98</v>
      </c>
      <c r="J406" s="327">
        <f t="shared" si="307"/>
        <v>0</v>
      </c>
      <c r="K406" s="177">
        <f t="shared" si="308"/>
        <v>238</v>
      </c>
      <c r="L406" s="336">
        <f t="shared" si="309"/>
        <v>224</v>
      </c>
      <c r="M406" s="327">
        <f t="shared" si="310"/>
        <v>0</v>
      </c>
      <c r="N406" s="337">
        <f t="shared" si="311"/>
        <v>6</v>
      </c>
      <c r="O406" s="395">
        <f t="shared" si="312"/>
        <v>-28</v>
      </c>
      <c r="P406" s="289">
        <f t="shared" si="313"/>
        <v>0</v>
      </c>
      <c r="Q406" s="460">
        <f>WEEKNUM(tblResultadosNBA[[#This Row],[Fecha]],2)</f>
        <v>51</v>
      </c>
      <c r="R406" s="460" t="str">
        <f>TEXT(tblResultadosNBA[[#This Row],[Fecha]],"mmm")</f>
        <v>dic</v>
      </c>
    </row>
    <row r="407" spans="1:18">
      <c r="A407" s="419">
        <v>46010</v>
      </c>
      <c r="B407" s="302" t="s">
        <v>197</v>
      </c>
      <c r="C407" s="177" t="str">
        <f t="shared" si="304"/>
        <v>Chicago Bulls</v>
      </c>
      <c r="D407" s="177">
        <v>115</v>
      </c>
      <c r="E407" s="336">
        <v>136</v>
      </c>
      <c r="F407" s="327">
        <f t="shared" si="305"/>
        <v>1</v>
      </c>
      <c r="G407" s="177" t="str">
        <f t="shared" si="306"/>
        <v>Cleveland Cavaliers</v>
      </c>
      <c r="H407" s="177">
        <v>126</v>
      </c>
      <c r="I407" s="336">
        <v>125</v>
      </c>
      <c r="J407" s="327">
        <f t="shared" si="307"/>
        <v>0</v>
      </c>
      <c r="K407" s="177">
        <f t="shared" si="308"/>
        <v>241</v>
      </c>
      <c r="L407" s="336">
        <f t="shared" si="309"/>
        <v>261</v>
      </c>
      <c r="M407" s="327">
        <f t="shared" si="310"/>
        <v>1</v>
      </c>
      <c r="N407" s="337">
        <f t="shared" si="311"/>
        <v>11</v>
      </c>
      <c r="O407" s="395">
        <f t="shared" si="312"/>
        <v>-11</v>
      </c>
      <c r="P407" s="289">
        <f t="shared" si="313"/>
        <v>0</v>
      </c>
      <c r="Q407" s="460">
        <f>WEEKNUM(tblResultadosNBA[[#This Row],[Fecha]],2)</f>
        <v>51</v>
      </c>
      <c r="R407" s="460" t="str">
        <f>TEXT(tblResultadosNBA[[#This Row],[Fecha]],"mmm")</f>
        <v>dic</v>
      </c>
    </row>
    <row r="408" spans="1:18">
      <c r="A408" s="445">
        <v>46010</v>
      </c>
      <c r="B408" s="331" t="s">
        <v>318</v>
      </c>
      <c r="C408" s="286" t="str">
        <f>LEFT(B408,FIND("@",B408)-2)</f>
        <v>Oklahoma City Thunder</v>
      </c>
      <c r="D408" s="286">
        <v>110</v>
      </c>
      <c r="E408" s="431">
        <v>107</v>
      </c>
      <c r="F408" s="332">
        <f>IF(E408&gt;D408, 1, 0)</f>
        <v>0</v>
      </c>
      <c r="G408" s="286" t="str">
        <f>MID(B408,FIND("@",B408)+2,LEN(B408)-FIND("@",B408)-1)</f>
        <v>Minnesota Timberwolves</v>
      </c>
      <c r="H408" s="286">
        <v>114</v>
      </c>
      <c r="I408" s="431">
        <v>112</v>
      </c>
      <c r="J408" s="332">
        <f>IF(I408&gt;H408, 1, 0)</f>
        <v>0</v>
      </c>
      <c r="K408" s="286">
        <f>+D408+H408</f>
        <v>224</v>
      </c>
      <c r="L408" s="431">
        <f>E408+I408</f>
        <v>219</v>
      </c>
      <c r="M408" s="332">
        <f>IF(L408&gt;K408, 1, 0)</f>
        <v>0</v>
      </c>
      <c r="N408" s="432">
        <f>(+H408-D408)</f>
        <v>4</v>
      </c>
      <c r="O408" s="451">
        <f>I408-E408</f>
        <v>5</v>
      </c>
      <c r="P408" s="433">
        <f>IF(OR(AND(N408&gt;0,O408&gt;0),AND(N408&lt;0,O408&lt;0)),1,0)</f>
        <v>1</v>
      </c>
      <c r="Q408" s="460">
        <f>WEEKNUM(tblResultadosNBA[[#This Row],[Fecha]],2)</f>
        <v>51</v>
      </c>
      <c r="R408" s="460" t="str">
        <f>TEXT(tblResultadosNBA[[#This Row],[Fecha]],"mmm")</f>
        <v>dic</v>
      </c>
    </row>
    <row r="409" spans="1:18">
      <c r="A409" s="439">
        <v>46011</v>
      </c>
      <c r="B409" s="422" t="s">
        <v>183</v>
      </c>
      <c r="C409" s="341" t="str">
        <f>LEFT(B409,FIND("@",B409)-2)</f>
        <v>Houston Rockets</v>
      </c>
      <c r="D409" s="341">
        <v>127</v>
      </c>
      <c r="E409" s="342">
        <v>115</v>
      </c>
      <c r="F409" s="333">
        <f>IF(E409&gt;D409, 1, 0)</f>
        <v>0</v>
      </c>
      <c r="G409" s="341" t="str">
        <f>MID(B409,FIND("@",B409)+2,LEN(B409)-FIND("@",B409)-1)</f>
        <v>Denver Nuggets</v>
      </c>
      <c r="H409" s="341">
        <v>123</v>
      </c>
      <c r="I409" s="342">
        <v>101</v>
      </c>
      <c r="J409" s="333">
        <f>IF(I409&gt;H409, 1, 0)</f>
        <v>0</v>
      </c>
      <c r="K409" s="341">
        <f>+D409+H409</f>
        <v>250</v>
      </c>
      <c r="L409" s="342">
        <f>E409+I409</f>
        <v>216</v>
      </c>
      <c r="M409" s="333">
        <f>IF(L409&gt;K409, 1, 0)</f>
        <v>0</v>
      </c>
      <c r="N409" s="343">
        <f>(+H409-D409)</f>
        <v>-4</v>
      </c>
      <c r="O409" s="449">
        <f>I409-E409</f>
        <v>-14</v>
      </c>
      <c r="P409" s="289">
        <f>IF(OR(AND(N409&gt;0,O409&gt;0),AND(N409&lt;0,O409&lt;0)),1,0)</f>
        <v>1</v>
      </c>
      <c r="Q409" s="460">
        <f>WEEKNUM(tblResultadosNBA[[#This Row],[Fecha]],2)</f>
        <v>51</v>
      </c>
      <c r="R409" s="460" t="str">
        <f>TEXT(tblResultadosNBA[[#This Row],[Fecha]],"mmm")</f>
        <v>dic</v>
      </c>
    </row>
    <row r="410" spans="1:18">
      <c r="A410" s="419">
        <v>46011</v>
      </c>
      <c r="B410" s="302" t="s">
        <v>198</v>
      </c>
      <c r="C410" s="177" t="str">
        <f t="shared" ref="C410:C418" si="314">LEFT(B410,FIND("@",B410)-2)</f>
        <v>Dallas Mavericks</v>
      </c>
      <c r="D410" s="177">
        <v>111</v>
      </c>
      <c r="E410" s="336">
        <v>114</v>
      </c>
      <c r="F410" s="327">
        <f t="shared" ref="F410:F418" si="315">IF(E410&gt;D410, 1, 0)</f>
        <v>1</v>
      </c>
      <c r="G410" s="177" t="str">
        <f t="shared" ref="G410:G418" si="316">MID(B410,FIND("@",B410)+2,LEN(B410)-FIND("@",B410)-1)</f>
        <v>Philadelphia 76ers</v>
      </c>
      <c r="H410" s="177">
        <v>118</v>
      </c>
      <c r="I410" s="336">
        <v>121</v>
      </c>
      <c r="J410" s="327">
        <f t="shared" ref="J410:J418" si="317">IF(I410&gt;H410, 1, 0)</f>
        <v>1</v>
      </c>
      <c r="K410" s="177">
        <f t="shared" ref="K410:K418" si="318">+D410+H410</f>
        <v>229</v>
      </c>
      <c r="L410" s="336">
        <f t="shared" ref="L410:L418" si="319">E410+I410</f>
        <v>235</v>
      </c>
      <c r="M410" s="327">
        <f t="shared" ref="M410:M418" si="320">IF(L410&gt;K410, 1, 0)</f>
        <v>1</v>
      </c>
      <c r="N410" s="337">
        <f t="shared" ref="N410:N418" si="321">(+H410-D410)</f>
        <v>7</v>
      </c>
      <c r="O410" s="395">
        <f t="shared" ref="O410:O418" si="322">I410-E410</f>
        <v>7</v>
      </c>
      <c r="P410" s="289">
        <f t="shared" ref="P410:P418" si="323">IF(OR(AND(N410&gt;0,O410&gt;0),AND(N410&lt;0,O410&lt;0)),1,0)</f>
        <v>1</v>
      </c>
      <c r="Q410" s="460">
        <f>WEEKNUM(tblResultadosNBA[[#This Row],[Fecha]],2)</f>
        <v>51</v>
      </c>
      <c r="R410" s="460" t="str">
        <f>TEXT(tblResultadosNBA[[#This Row],[Fecha]],"mmm")</f>
        <v>dic</v>
      </c>
    </row>
    <row r="411" spans="1:18">
      <c r="A411" s="419">
        <v>46011</v>
      </c>
      <c r="B411" s="302" t="s">
        <v>161</v>
      </c>
      <c r="C411" s="177" t="str">
        <f t="shared" si="314"/>
        <v>Boston Celtics</v>
      </c>
      <c r="D411" s="177">
        <v>108</v>
      </c>
      <c r="E411" s="336">
        <v>112</v>
      </c>
      <c r="F411" s="327">
        <f t="shared" si="315"/>
        <v>1</v>
      </c>
      <c r="G411" s="177" t="str">
        <f t="shared" si="316"/>
        <v>Toronto Raptors</v>
      </c>
      <c r="H411" s="177">
        <v>106</v>
      </c>
      <c r="I411" s="336">
        <v>96</v>
      </c>
      <c r="J411" s="327">
        <f t="shared" si="317"/>
        <v>0</v>
      </c>
      <c r="K411" s="177">
        <f t="shared" si="318"/>
        <v>214</v>
      </c>
      <c r="L411" s="336">
        <f t="shared" si="319"/>
        <v>208</v>
      </c>
      <c r="M411" s="327">
        <f t="shared" si="320"/>
        <v>0</v>
      </c>
      <c r="N411" s="337">
        <f t="shared" si="321"/>
        <v>-2</v>
      </c>
      <c r="O411" s="395">
        <f t="shared" si="322"/>
        <v>-16</v>
      </c>
      <c r="P411" s="289">
        <f t="shared" si="323"/>
        <v>1</v>
      </c>
      <c r="Q411" s="460">
        <f>WEEKNUM(tblResultadosNBA[[#This Row],[Fecha]],2)</f>
        <v>51</v>
      </c>
      <c r="R411" s="460" t="str">
        <f>TEXT(tblResultadosNBA[[#This Row],[Fecha]],"mmm")</f>
        <v>dic</v>
      </c>
    </row>
    <row r="412" spans="1:18">
      <c r="A412" s="419">
        <v>46011</v>
      </c>
      <c r="B412" s="302" t="s">
        <v>199</v>
      </c>
      <c r="C412" s="177" t="str">
        <f t="shared" si="314"/>
        <v>Indiana Pacers</v>
      </c>
      <c r="D412" s="177">
        <v>118</v>
      </c>
      <c r="E412" s="336">
        <v>109</v>
      </c>
      <c r="F412" s="327">
        <f t="shared" si="315"/>
        <v>0</v>
      </c>
      <c r="G412" s="177" t="str">
        <f t="shared" si="316"/>
        <v>New Orleans Pelicans</v>
      </c>
      <c r="H412" s="177">
        <v>135</v>
      </c>
      <c r="I412" s="336">
        <v>128</v>
      </c>
      <c r="J412" s="327">
        <f t="shared" si="317"/>
        <v>0</v>
      </c>
      <c r="K412" s="177">
        <f t="shared" si="318"/>
        <v>253</v>
      </c>
      <c r="L412" s="336">
        <f t="shared" si="319"/>
        <v>237</v>
      </c>
      <c r="M412" s="327">
        <f t="shared" si="320"/>
        <v>0</v>
      </c>
      <c r="N412" s="337">
        <f t="shared" si="321"/>
        <v>17</v>
      </c>
      <c r="O412" s="395">
        <f t="shared" si="322"/>
        <v>19</v>
      </c>
      <c r="P412" s="289">
        <f t="shared" si="323"/>
        <v>1</v>
      </c>
      <c r="Q412" s="460">
        <f>WEEKNUM(tblResultadosNBA[[#This Row],[Fecha]],2)</f>
        <v>51</v>
      </c>
      <c r="R412" s="460" t="str">
        <f>TEXT(tblResultadosNBA[[#This Row],[Fecha]],"mmm")</f>
        <v>dic</v>
      </c>
    </row>
    <row r="413" spans="1:18">
      <c r="A413" s="419">
        <v>46011</v>
      </c>
      <c r="B413" s="302" t="s">
        <v>592</v>
      </c>
      <c r="C413" s="177" t="str">
        <f t="shared" si="314"/>
        <v>Charlotte Hornets</v>
      </c>
      <c r="D413" s="177">
        <v>117</v>
      </c>
      <c r="E413" s="336">
        <v>86</v>
      </c>
      <c r="F413" s="327">
        <f t="shared" si="315"/>
        <v>0</v>
      </c>
      <c r="G413" s="177" t="str">
        <f t="shared" si="316"/>
        <v>Detroit Pistons</v>
      </c>
      <c r="H413" s="177">
        <v>113</v>
      </c>
      <c r="I413" s="336">
        <v>112</v>
      </c>
      <c r="J413" s="327">
        <f t="shared" si="317"/>
        <v>0</v>
      </c>
      <c r="K413" s="177">
        <f t="shared" si="318"/>
        <v>230</v>
      </c>
      <c r="L413" s="336">
        <f t="shared" si="319"/>
        <v>198</v>
      </c>
      <c r="M413" s="327">
        <f t="shared" si="320"/>
        <v>0</v>
      </c>
      <c r="N413" s="337">
        <f t="shared" si="321"/>
        <v>-4</v>
      </c>
      <c r="O413" s="395">
        <f t="shared" si="322"/>
        <v>26</v>
      </c>
      <c r="P413" s="289">
        <f t="shared" si="323"/>
        <v>0</v>
      </c>
      <c r="Q413" s="460">
        <f>WEEKNUM(tblResultadosNBA[[#This Row],[Fecha]],2)</f>
        <v>51</v>
      </c>
      <c r="R413" s="460" t="str">
        <f>TEXT(tblResultadosNBA[[#This Row],[Fecha]],"mmm")</f>
        <v>dic</v>
      </c>
    </row>
    <row r="414" spans="1:18">
      <c r="A414" s="419">
        <v>46011</v>
      </c>
      <c r="B414" s="302" t="s">
        <v>200</v>
      </c>
      <c r="C414" s="177" t="str">
        <f t="shared" si="314"/>
        <v>Washington Wizards</v>
      </c>
      <c r="D414" s="177">
        <v>114</v>
      </c>
      <c r="E414" s="336">
        <v>130</v>
      </c>
      <c r="F414" s="327">
        <f t="shared" si="315"/>
        <v>1</v>
      </c>
      <c r="G414" s="177" t="str">
        <f t="shared" si="316"/>
        <v>Memphis Grizzlies</v>
      </c>
      <c r="H414" s="177">
        <v>126</v>
      </c>
      <c r="I414" s="336">
        <v>122</v>
      </c>
      <c r="J414" s="327">
        <f t="shared" si="317"/>
        <v>0</v>
      </c>
      <c r="K414" s="177">
        <f t="shared" si="318"/>
        <v>240</v>
      </c>
      <c r="L414" s="336">
        <f t="shared" si="319"/>
        <v>252</v>
      </c>
      <c r="M414" s="327">
        <f t="shared" si="320"/>
        <v>1</v>
      </c>
      <c r="N414" s="337">
        <f t="shared" si="321"/>
        <v>12</v>
      </c>
      <c r="O414" s="395">
        <f t="shared" si="322"/>
        <v>-8</v>
      </c>
      <c r="P414" s="289">
        <f t="shared" si="323"/>
        <v>0</v>
      </c>
      <c r="Q414" s="460">
        <f>WEEKNUM(tblResultadosNBA[[#This Row],[Fecha]],2)</f>
        <v>51</v>
      </c>
      <c r="R414" s="460" t="str">
        <f>TEXT(tblResultadosNBA[[#This Row],[Fecha]],"mmm")</f>
        <v>dic</v>
      </c>
    </row>
    <row r="415" spans="1:18">
      <c r="A415" s="419">
        <v>46011</v>
      </c>
      <c r="B415" s="302" t="s">
        <v>201</v>
      </c>
      <c r="C415" s="177" t="str">
        <f t="shared" si="314"/>
        <v>Phoenix Suns</v>
      </c>
      <c r="D415" s="177">
        <v>121</v>
      </c>
      <c r="E415" s="336">
        <v>116</v>
      </c>
      <c r="F415" s="327">
        <f t="shared" si="315"/>
        <v>0</v>
      </c>
      <c r="G415" s="177" t="str">
        <f t="shared" si="316"/>
        <v>Golden State Warriors</v>
      </c>
      <c r="H415" s="177">
        <v>123</v>
      </c>
      <c r="I415" s="336">
        <v>119</v>
      </c>
      <c r="J415" s="327">
        <f t="shared" si="317"/>
        <v>0</v>
      </c>
      <c r="K415" s="177">
        <f t="shared" si="318"/>
        <v>244</v>
      </c>
      <c r="L415" s="336">
        <f t="shared" si="319"/>
        <v>235</v>
      </c>
      <c r="M415" s="327">
        <f t="shared" si="320"/>
        <v>0</v>
      </c>
      <c r="N415" s="337">
        <f t="shared" si="321"/>
        <v>2</v>
      </c>
      <c r="O415" s="395">
        <f t="shared" si="322"/>
        <v>3</v>
      </c>
      <c r="P415" s="289">
        <f t="shared" si="323"/>
        <v>1</v>
      </c>
      <c r="Q415" s="460">
        <f>WEEKNUM(tblResultadosNBA[[#This Row],[Fecha]],2)</f>
        <v>51</v>
      </c>
      <c r="R415" s="460" t="str">
        <f>TEXT(tblResultadosNBA[[#This Row],[Fecha]],"mmm")</f>
        <v>dic</v>
      </c>
    </row>
    <row r="416" spans="1:18">
      <c r="A416" s="419">
        <v>46011</v>
      </c>
      <c r="B416" s="302" t="s">
        <v>202</v>
      </c>
      <c r="C416" s="177" t="str">
        <f t="shared" si="314"/>
        <v>Orlando Magic</v>
      </c>
      <c r="D416" s="177">
        <v>117</v>
      </c>
      <c r="E416" s="336">
        <v>128</v>
      </c>
      <c r="F416" s="327">
        <f t="shared" si="315"/>
        <v>1</v>
      </c>
      <c r="G416" s="177" t="str">
        <f t="shared" si="316"/>
        <v>Utah Jazz</v>
      </c>
      <c r="H416" s="177">
        <v>124</v>
      </c>
      <c r="I416" s="336">
        <v>127</v>
      </c>
      <c r="J416" s="327">
        <f t="shared" si="317"/>
        <v>1</v>
      </c>
      <c r="K416" s="177">
        <f t="shared" si="318"/>
        <v>241</v>
      </c>
      <c r="L416" s="336">
        <f t="shared" si="319"/>
        <v>255</v>
      </c>
      <c r="M416" s="327">
        <f t="shared" si="320"/>
        <v>1</v>
      </c>
      <c r="N416" s="337">
        <f t="shared" si="321"/>
        <v>7</v>
      </c>
      <c r="O416" s="395">
        <f t="shared" si="322"/>
        <v>-1</v>
      </c>
      <c r="P416" s="289">
        <f t="shared" si="323"/>
        <v>0</v>
      </c>
      <c r="Q416" s="460">
        <f>WEEKNUM(tblResultadosNBA[[#This Row],[Fecha]],2)</f>
        <v>51</v>
      </c>
      <c r="R416" s="460" t="str">
        <f>TEXT(tblResultadosNBA[[#This Row],[Fecha]],"mmm")</f>
        <v>dic</v>
      </c>
    </row>
    <row r="417" spans="1:18">
      <c r="A417" s="419">
        <v>46011</v>
      </c>
      <c r="B417" s="302" t="s">
        <v>281</v>
      </c>
      <c r="C417" s="177" t="str">
        <f t="shared" si="314"/>
        <v>Portland Trail Blazers</v>
      </c>
      <c r="D417" s="177">
        <v>114</v>
      </c>
      <c r="E417" s="336">
        <v>98</v>
      </c>
      <c r="F417" s="327">
        <f t="shared" si="315"/>
        <v>0</v>
      </c>
      <c r="G417" s="177" t="str">
        <f t="shared" si="316"/>
        <v>Sacramento Kings</v>
      </c>
      <c r="H417" s="177">
        <v>116</v>
      </c>
      <c r="I417" s="336">
        <v>93</v>
      </c>
      <c r="J417" s="327">
        <f t="shared" si="317"/>
        <v>0</v>
      </c>
      <c r="K417" s="177">
        <f t="shared" si="318"/>
        <v>230</v>
      </c>
      <c r="L417" s="336">
        <f t="shared" si="319"/>
        <v>191</v>
      </c>
      <c r="M417" s="327">
        <f t="shared" si="320"/>
        <v>0</v>
      </c>
      <c r="N417" s="337">
        <f t="shared" si="321"/>
        <v>2</v>
      </c>
      <c r="O417" s="395">
        <f t="shared" si="322"/>
        <v>-5</v>
      </c>
      <c r="P417" s="289">
        <f t="shared" si="323"/>
        <v>0</v>
      </c>
      <c r="Q417" s="460">
        <f>WEEKNUM(tblResultadosNBA[[#This Row],[Fecha]],2)</f>
        <v>51</v>
      </c>
      <c r="R417" s="460" t="str">
        <f>TEXT(tblResultadosNBA[[#This Row],[Fecha]],"mmm")</f>
        <v>dic</v>
      </c>
    </row>
    <row r="418" spans="1:18">
      <c r="A418" s="445">
        <v>46011</v>
      </c>
      <c r="B418" s="331" t="s">
        <v>203</v>
      </c>
      <c r="C418" s="286" t="str">
        <f t="shared" si="314"/>
        <v>Los Angeles Lakers</v>
      </c>
      <c r="D418" s="286">
        <v>113</v>
      </c>
      <c r="E418" s="431">
        <v>88</v>
      </c>
      <c r="F418" s="332">
        <f t="shared" si="315"/>
        <v>0</v>
      </c>
      <c r="G418" s="286" t="str">
        <f t="shared" si="316"/>
        <v>LA Clippers</v>
      </c>
      <c r="H418" s="286">
        <v>117</v>
      </c>
      <c r="I418" s="431">
        <v>103</v>
      </c>
      <c r="J418" s="332">
        <f t="shared" si="317"/>
        <v>0</v>
      </c>
      <c r="K418" s="286">
        <f t="shared" si="318"/>
        <v>230</v>
      </c>
      <c r="L418" s="431">
        <f t="shared" si="319"/>
        <v>191</v>
      </c>
      <c r="M418" s="332">
        <f t="shared" si="320"/>
        <v>0</v>
      </c>
      <c r="N418" s="432">
        <f t="shared" si="321"/>
        <v>4</v>
      </c>
      <c r="O418" s="451">
        <f t="shared" si="322"/>
        <v>15</v>
      </c>
      <c r="P418" s="433">
        <f t="shared" si="323"/>
        <v>1</v>
      </c>
      <c r="Q418" s="460">
        <f>WEEKNUM(tblResultadosNBA[[#This Row],[Fecha]],2)</f>
        <v>51</v>
      </c>
      <c r="R418" s="460" t="str">
        <f>TEXT(tblResultadosNBA[[#This Row],[Fecha]],"mmm")</f>
        <v>dic</v>
      </c>
    </row>
    <row r="419" spans="1:18">
      <c r="A419" s="439">
        <v>46012</v>
      </c>
      <c r="B419" s="422" t="s">
        <v>204</v>
      </c>
      <c r="C419" s="341" t="str">
        <f>LEFT(B419,FIND("@",B419)-2)</f>
        <v>Chicago Bulls</v>
      </c>
      <c r="D419" s="341">
        <v>128</v>
      </c>
      <c r="E419" s="342">
        <v>152</v>
      </c>
      <c r="F419" s="333">
        <f>IF(E419&gt;D419, 1, 0)</f>
        <v>1</v>
      </c>
      <c r="G419" s="341" t="str">
        <f>MID(B419,FIND("@",B419)+2,LEN(B419)-FIND("@",B419)-1)</f>
        <v>Atlanta Hawks</v>
      </c>
      <c r="H419" s="341">
        <v>125</v>
      </c>
      <c r="I419" s="342">
        <v>150</v>
      </c>
      <c r="J419" s="333">
        <f>IF(I419&gt;H419, 1, 0)</f>
        <v>1</v>
      </c>
      <c r="K419" s="341">
        <f>+D419+H419</f>
        <v>253</v>
      </c>
      <c r="L419" s="342">
        <f>E419+I419</f>
        <v>302</v>
      </c>
      <c r="M419" s="333">
        <f>IF(L419&gt;K419, 1, 0)</f>
        <v>1</v>
      </c>
      <c r="N419" s="343">
        <f>(+H419-D419)</f>
        <v>-3</v>
      </c>
      <c r="O419" s="449">
        <f>I419-E419</f>
        <v>-2</v>
      </c>
      <c r="P419" s="289">
        <f>IF(OR(AND(N419&gt;0,O419&gt;0),AND(N419&lt;0,O419&lt;0)),1,0)</f>
        <v>1</v>
      </c>
      <c r="Q419" s="460">
        <f>WEEKNUM(tblResultadosNBA[[#This Row],[Fecha]],2)</f>
        <v>51</v>
      </c>
      <c r="R419" s="460" t="str">
        <f>TEXT(tblResultadosNBA[[#This Row],[Fecha]],"mmm")</f>
        <v>dic</v>
      </c>
    </row>
    <row r="420" spans="1:18">
      <c r="A420" s="419">
        <v>46012</v>
      </c>
      <c r="B420" s="302" t="s">
        <v>31</v>
      </c>
      <c r="C420" s="177" t="str">
        <f t="shared" ref="C420:C424" si="324">LEFT(B420,FIND("@",B420)-2)</f>
        <v>Toronto Raptors</v>
      </c>
      <c r="D420" s="177">
        <v>115</v>
      </c>
      <c r="E420" s="336">
        <v>81</v>
      </c>
      <c r="F420" s="327">
        <f t="shared" ref="F420:F424" si="325">IF(E420&gt;D420, 1, 0)</f>
        <v>0</v>
      </c>
      <c r="G420" s="177" t="str">
        <f t="shared" ref="G420:G424" si="326">MID(B420,FIND("@",B420)+2,LEN(B420)-FIND("@",B420)-1)</f>
        <v>Brooklyn Nets</v>
      </c>
      <c r="H420" s="177">
        <v>112</v>
      </c>
      <c r="I420" s="336">
        <v>96</v>
      </c>
      <c r="J420" s="327">
        <f t="shared" ref="J420:J424" si="327">IF(I420&gt;H420, 1, 0)</f>
        <v>0</v>
      </c>
      <c r="K420" s="177">
        <f t="shared" ref="K420:K424" si="328">+D420+H420</f>
        <v>227</v>
      </c>
      <c r="L420" s="336">
        <f t="shared" ref="L420:L424" si="329">E420+I420</f>
        <v>177</v>
      </c>
      <c r="M420" s="327">
        <f t="shared" ref="M420:M424" si="330">IF(L420&gt;K420, 1, 0)</f>
        <v>0</v>
      </c>
      <c r="N420" s="337">
        <f t="shared" ref="N420:N424" si="331">(+H420-D420)</f>
        <v>-3</v>
      </c>
      <c r="O420" s="395">
        <f t="shared" ref="O420:O424" si="332">I420-E420</f>
        <v>15</v>
      </c>
      <c r="P420" s="289">
        <f t="shared" ref="P420:P424" si="333">IF(OR(AND(N420&gt;0,O420&gt;0),AND(N420&lt;0,O420&lt;0)),1,0)</f>
        <v>0</v>
      </c>
      <c r="Q420" s="460">
        <f>WEEKNUM(tblResultadosNBA[[#This Row],[Fecha]],2)</f>
        <v>51</v>
      </c>
      <c r="R420" s="460" t="str">
        <f>TEXT(tblResultadosNBA[[#This Row],[Fecha]],"mmm")</f>
        <v>dic</v>
      </c>
    </row>
    <row r="421" spans="1:18">
      <c r="A421" s="419">
        <v>46012</v>
      </c>
      <c r="B421" s="302" t="s">
        <v>54</v>
      </c>
      <c r="C421" s="177" t="str">
        <f t="shared" si="324"/>
        <v>Miami Heat</v>
      </c>
      <c r="D421" s="177">
        <v>111</v>
      </c>
      <c r="E421" s="336">
        <v>125</v>
      </c>
      <c r="F421" s="327">
        <f t="shared" si="325"/>
        <v>1</v>
      </c>
      <c r="G421" s="177" t="str">
        <f t="shared" si="326"/>
        <v>New York Knicks</v>
      </c>
      <c r="H421" s="177">
        <v>122</v>
      </c>
      <c r="I421" s="336">
        <v>132</v>
      </c>
      <c r="J421" s="327">
        <f t="shared" si="327"/>
        <v>1</v>
      </c>
      <c r="K421" s="177">
        <f t="shared" si="328"/>
        <v>233</v>
      </c>
      <c r="L421" s="336">
        <f t="shared" si="329"/>
        <v>257</v>
      </c>
      <c r="M421" s="327">
        <f t="shared" si="330"/>
        <v>1</v>
      </c>
      <c r="N421" s="337">
        <f t="shared" si="331"/>
        <v>11</v>
      </c>
      <c r="O421" s="395">
        <f t="shared" si="332"/>
        <v>7</v>
      </c>
      <c r="P421" s="289">
        <f t="shared" si="333"/>
        <v>1</v>
      </c>
      <c r="Q421" s="460">
        <f>WEEKNUM(tblResultadosNBA[[#This Row],[Fecha]],2)</f>
        <v>51</v>
      </c>
      <c r="R421" s="460" t="str">
        <f>TEXT(tblResultadosNBA[[#This Row],[Fecha]],"mmm")</f>
        <v>dic</v>
      </c>
    </row>
    <row r="422" spans="1:18">
      <c r="A422" s="419">
        <v>46012</v>
      </c>
      <c r="B422" s="302" t="s">
        <v>205</v>
      </c>
      <c r="C422" s="177" t="str">
        <f t="shared" si="324"/>
        <v>San Antonio Spurs</v>
      </c>
      <c r="D422" s="177">
        <v>131</v>
      </c>
      <c r="E422" s="336">
        <v>124</v>
      </c>
      <c r="F422" s="327">
        <f t="shared" si="325"/>
        <v>0</v>
      </c>
      <c r="G422" s="177" t="str">
        <f t="shared" si="326"/>
        <v>Washington Wizards</v>
      </c>
      <c r="H422" s="177">
        <v>136</v>
      </c>
      <c r="I422" s="336">
        <v>113</v>
      </c>
      <c r="J422" s="327">
        <f t="shared" si="327"/>
        <v>0</v>
      </c>
      <c r="K422" s="177">
        <f t="shared" si="328"/>
        <v>267</v>
      </c>
      <c r="L422" s="336">
        <f t="shared" si="329"/>
        <v>237</v>
      </c>
      <c r="M422" s="327">
        <f t="shared" si="330"/>
        <v>0</v>
      </c>
      <c r="N422" s="337">
        <f t="shared" si="331"/>
        <v>5</v>
      </c>
      <c r="O422" s="395">
        <f t="shared" si="332"/>
        <v>-11</v>
      </c>
      <c r="P422" s="289">
        <f t="shared" si="333"/>
        <v>0</v>
      </c>
      <c r="Q422" s="460">
        <f>WEEKNUM(tblResultadosNBA[[#This Row],[Fecha]],2)</f>
        <v>51</v>
      </c>
      <c r="R422" s="460" t="str">
        <f>TEXT(tblResultadosNBA[[#This Row],[Fecha]],"mmm")</f>
        <v>dic</v>
      </c>
    </row>
    <row r="423" spans="1:18">
      <c r="A423" s="419">
        <v>46012</v>
      </c>
      <c r="B423" s="302" t="s">
        <v>206</v>
      </c>
      <c r="C423" s="177" t="str">
        <f t="shared" si="324"/>
        <v>Milwaukee Bucks</v>
      </c>
      <c r="D423" s="177">
        <v>122</v>
      </c>
      <c r="E423" s="336">
        <v>100</v>
      </c>
      <c r="F423" s="327">
        <f t="shared" si="325"/>
        <v>0</v>
      </c>
      <c r="G423" s="177" t="str">
        <f t="shared" si="326"/>
        <v>Minnesota Timberwolves</v>
      </c>
      <c r="H423" s="177">
        <v>115</v>
      </c>
      <c r="I423" s="336">
        <v>103</v>
      </c>
      <c r="J423" s="327">
        <f t="shared" si="327"/>
        <v>0</v>
      </c>
      <c r="K423" s="177">
        <f t="shared" si="328"/>
        <v>237</v>
      </c>
      <c r="L423" s="336">
        <f t="shared" si="329"/>
        <v>203</v>
      </c>
      <c r="M423" s="327">
        <f t="shared" si="330"/>
        <v>0</v>
      </c>
      <c r="N423" s="337">
        <f t="shared" si="331"/>
        <v>-7</v>
      </c>
      <c r="O423" s="395">
        <f t="shared" si="332"/>
        <v>3</v>
      </c>
      <c r="P423" s="289">
        <f t="shared" si="333"/>
        <v>0</v>
      </c>
      <c r="Q423" s="460">
        <f>WEEKNUM(tblResultadosNBA[[#This Row],[Fecha]],2)</f>
        <v>51</v>
      </c>
      <c r="R423" s="460" t="str">
        <f>TEXT(tblResultadosNBA[[#This Row],[Fecha]],"mmm")</f>
        <v>dic</v>
      </c>
    </row>
    <row r="424" spans="1:18">
      <c r="A424" s="445">
        <v>46012</v>
      </c>
      <c r="B424" s="331" t="s">
        <v>207</v>
      </c>
      <c r="C424" s="286" t="str">
        <f t="shared" si="324"/>
        <v>Houston Rockets</v>
      </c>
      <c r="D424" s="286">
        <v>118</v>
      </c>
      <c r="E424" s="431">
        <v>124</v>
      </c>
      <c r="F424" s="332">
        <f t="shared" si="325"/>
        <v>1</v>
      </c>
      <c r="G424" s="286" t="str">
        <f t="shared" si="326"/>
        <v>Sacramento Kings</v>
      </c>
      <c r="H424" s="286">
        <v>114</v>
      </c>
      <c r="I424" s="431">
        <v>125</v>
      </c>
      <c r="J424" s="332">
        <f t="shared" si="327"/>
        <v>1</v>
      </c>
      <c r="K424" s="286">
        <f t="shared" si="328"/>
        <v>232</v>
      </c>
      <c r="L424" s="431">
        <f t="shared" si="329"/>
        <v>249</v>
      </c>
      <c r="M424" s="332">
        <f t="shared" si="330"/>
        <v>1</v>
      </c>
      <c r="N424" s="432">
        <f t="shared" si="331"/>
        <v>-4</v>
      </c>
      <c r="O424" s="451">
        <f t="shared" si="332"/>
        <v>1</v>
      </c>
      <c r="P424" s="433">
        <f t="shared" si="333"/>
        <v>0</v>
      </c>
      <c r="Q424" s="460">
        <f>WEEKNUM(tblResultadosNBA[[#This Row],[Fecha]],2)</f>
        <v>51</v>
      </c>
      <c r="R424" s="460" t="str">
        <f>TEXT(tblResultadosNBA[[#This Row],[Fecha]],"mmm")</f>
        <v>dic</v>
      </c>
    </row>
    <row r="425" spans="1:18">
      <c r="A425" s="439">
        <v>46013</v>
      </c>
      <c r="B425" s="422" t="s">
        <v>208</v>
      </c>
      <c r="C425" s="341" t="str">
        <f>LEFT(B425,FIND("@",B425)-2)</f>
        <v>Charlotte Hornets</v>
      </c>
      <c r="D425" s="341">
        <v>125</v>
      </c>
      <c r="E425" s="342">
        <v>132</v>
      </c>
      <c r="F425" s="333">
        <f>IF(E425&gt;D425, 1, 0)</f>
        <v>1</v>
      </c>
      <c r="G425" s="341" t="str">
        <f>MID(B425,FIND("@",B425)+2,LEN(B425)-FIND("@",B425)-1)</f>
        <v>Cleveland Cavaliers</v>
      </c>
      <c r="H425" s="341">
        <v>121</v>
      </c>
      <c r="I425" s="342">
        <v>139</v>
      </c>
      <c r="J425" s="333">
        <f>IF(I425&gt;H425, 1, 0)</f>
        <v>1</v>
      </c>
      <c r="K425" s="341">
        <f>+D425+H425</f>
        <v>246</v>
      </c>
      <c r="L425" s="342">
        <f>E425+I425</f>
        <v>271</v>
      </c>
      <c r="M425" s="333">
        <f>IF(L425&gt;K425, 1, 0)</f>
        <v>1</v>
      </c>
      <c r="N425" s="343">
        <f>(+H425-D425)</f>
        <v>-4</v>
      </c>
      <c r="O425" s="449">
        <f>I425-E425</f>
        <v>7</v>
      </c>
      <c r="P425" s="289">
        <f>IF(OR(AND(N425&gt;0,O425&gt;0),AND(N425&lt;0,O425&lt;0)),1,0)</f>
        <v>0</v>
      </c>
      <c r="Q425" s="460">
        <f>WEEKNUM(tblResultadosNBA[[#This Row],[Fecha]],2)</f>
        <v>52</v>
      </c>
      <c r="R425" s="460" t="str">
        <f>TEXT(tblResultadosNBA[[#This Row],[Fecha]],"mmm")</f>
        <v>dic</v>
      </c>
    </row>
    <row r="426" spans="1:18">
      <c r="A426" s="419">
        <v>46013</v>
      </c>
      <c r="B426" s="302" t="s">
        <v>209</v>
      </c>
      <c r="C426" s="177" t="str">
        <f t="shared" ref="C426:C431" si="334">LEFT(B426,FIND("@",B426)-2)</f>
        <v>Indiana Pacers</v>
      </c>
      <c r="D426" s="177">
        <v>110</v>
      </c>
      <c r="E426" s="336">
        <v>95</v>
      </c>
      <c r="F426" s="327">
        <f t="shared" ref="F426:F431" si="335">IF(E426&gt;D426, 1, 0)</f>
        <v>0</v>
      </c>
      <c r="G426" s="177" t="str">
        <f t="shared" ref="G426:G431" si="336">MID(B426,FIND("@",B426)+2,LEN(B426)-FIND("@",B426)-1)</f>
        <v>Boston Celtics</v>
      </c>
      <c r="H426" s="177">
        <v>122</v>
      </c>
      <c r="I426" s="336">
        <v>103</v>
      </c>
      <c r="J426" s="327">
        <f t="shared" ref="J426:J431" si="337">IF(I426&gt;H426, 1, 0)</f>
        <v>0</v>
      </c>
      <c r="K426" s="177">
        <f t="shared" ref="K426:K431" si="338">+D426+H426</f>
        <v>232</v>
      </c>
      <c r="L426" s="336">
        <f t="shared" ref="L426:L431" si="339">E426+I426</f>
        <v>198</v>
      </c>
      <c r="M426" s="327">
        <f t="shared" ref="M426:M431" si="340">IF(L426&gt;K426, 1, 0)</f>
        <v>0</v>
      </c>
      <c r="N426" s="337">
        <f t="shared" ref="N426:N431" si="341">(+H426-D426)</f>
        <v>12</v>
      </c>
      <c r="O426" s="395">
        <f t="shared" ref="O426:O431" si="342">I426-E426</f>
        <v>8</v>
      </c>
      <c r="P426" s="289">
        <f t="shared" ref="P426:P431" si="343">IF(OR(AND(N426&gt;0,O426&gt;0),AND(N426&lt;0,O426&lt;0)),1,0)</f>
        <v>1</v>
      </c>
      <c r="Q426" s="460">
        <f>WEEKNUM(tblResultadosNBA[[#This Row],[Fecha]],2)</f>
        <v>52</v>
      </c>
      <c r="R426" s="460" t="str">
        <f>TEXT(tblResultadosNBA[[#This Row],[Fecha]],"mmm")</f>
        <v>dic</v>
      </c>
    </row>
    <row r="427" spans="1:18">
      <c r="A427" s="419">
        <v>46013</v>
      </c>
      <c r="B427" s="302" t="s">
        <v>210</v>
      </c>
      <c r="C427" s="177" t="str">
        <f t="shared" si="334"/>
        <v>Dallas Mavericks</v>
      </c>
      <c r="D427" s="177">
        <v>115</v>
      </c>
      <c r="E427" s="336">
        <v>113</v>
      </c>
      <c r="F427" s="327">
        <f t="shared" si="335"/>
        <v>0</v>
      </c>
      <c r="G427" s="177" t="str">
        <f t="shared" si="336"/>
        <v>New Orleans Pelicans</v>
      </c>
      <c r="H427" s="177">
        <v>126</v>
      </c>
      <c r="I427" s="336">
        <v>119</v>
      </c>
      <c r="J427" s="327">
        <f t="shared" si="337"/>
        <v>0</v>
      </c>
      <c r="K427" s="177">
        <f t="shared" si="338"/>
        <v>241</v>
      </c>
      <c r="L427" s="336">
        <f t="shared" si="339"/>
        <v>232</v>
      </c>
      <c r="M427" s="327">
        <f t="shared" si="340"/>
        <v>0</v>
      </c>
      <c r="N427" s="337">
        <f t="shared" si="341"/>
        <v>11</v>
      </c>
      <c r="O427" s="395">
        <f t="shared" si="342"/>
        <v>6</v>
      </c>
      <c r="P427" s="289">
        <f t="shared" si="343"/>
        <v>1</v>
      </c>
      <c r="Q427" s="460">
        <f>WEEKNUM(tblResultadosNBA[[#This Row],[Fecha]],2)</f>
        <v>52</v>
      </c>
      <c r="R427" s="460" t="str">
        <f>TEXT(tblResultadosNBA[[#This Row],[Fecha]],"mmm")</f>
        <v>dic</v>
      </c>
    </row>
    <row r="428" spans="1:18">
      <c r="A428" s="419">
        <v>46013</v>
      </c>
      <c r="B428" s="302" t="s">
        <v>593</v>
      </c>
      <c r="C428" s="177" t="str">
        <f t="shared" si="334"/>
        <v>Utah Jazz</v>
      </c>
      <c r="D428" s="177">
        <v>114</v>
      </c>
      <c r="E428" s="336">
        <v>112</v>
      </c>
      <c r="F428" s="327">
        <f t="shared" si="335"/>
        <v>0</v>
      </c>
      <c r="G428" s="177" t="str">
        <f t="shared" si="336"/>
        <v>Denver Nuggets</v>
      </c>
      <c r="H428" s="177">
        <v>133</v>
      </c>
      <c r="I428" s="336">
        <v>135</v>
      </c>
      <c r="J428" s="327">
        <f t="shared" si="337"/>
        <v>1</v>
      </c>
      <c r="K428" s="177">
        <f t="shared" si="338"/>
        <v>247</v>
      </c>
      <c r="L428" s="336">
        <f t="shared" si="339"/>
        <v>247</v>
      </c>
      <c r="M428" s="327">
        <f t="shared" si="340"/>
        <v>0</v>
      </c>
      <c r="N428" s="337">
        <f t="shared" si="341"/>
        <v>19</v>
      </c>
      <c r="O428" s="395">
        <f t="shared" si="342"/>
        <v>23</v>
      </c>
      <c r="P428" s="289">
        <f t="shared" si="343"/>
        <v>1</v>
      </c>
      <c r="Q428" s="460">
        <f>WEEKNUM(tblResultadosNBA[[#This Row],[Fecha]],2)</f>
        <v>52</v>
      </c>
      <c r="R428" s="460" t="str">
        <f>TEXT(tblResultadosNBA[[#This Row],[Fecha]],"mmm")</f>
        <v>dic</v>
      </c>
    </row>
    <row r="429" spans="1:18">
      <c r="A429" s="419">
        <v>46013</v>
      </c>
      <c r="B429" s="302" t="s">
        <v>594</v>
      </c>
      <c r="C429" s="177" t="str">
        <f t="shared" si="334"/>
        <v>Memphis Grizzlies</v>
      </c>
      <c r="D429" s="177">
        <v>105</v>
      </c>
      <c r="E429" s="336">
        <v>103</v>
      </c>
      <c r="F429" s="327">
        <f t="shared" si="335"/>
        <v>0</v>
      </c>
      <c r="G429" s="177" t="str">
        <f t="shared" si="336"/>
        <v>Oklahoma City Thunder</v>
      </c>
      <c r="H429" s="177">
        <v>119</v>
      </c>
      <c r="I429" s="336">
        <v>119</v>
      </c>
      <c r="J429" s="327">
        <f t="shared" si="337"/>
        <v>0</v>
      </c>
      <c r="K429" s="177">
        <f t="shared" si="338"/>
        <v>224</v>
      </c>
      <c r="L429" s="336">
        <f t="shared" si="339"/>
        <v>222</v>
      </c>
      <c r="M429" s="327">
        <f t="shared" si="340"/>
        <v>0</v>
      </c>
      <c r="N429" s="337">
        <f t="shared" si="341"/>
        <v>14</v>
      </c>
      <c r="O429" s="395">
        <f t="shared" si="342"/>
        <v>16</v>
      </c>
      <c r="P429" s="289">
        <f t="shared" si="343"/>
        <v>1</v>
      </c>
      <c r="Q429" s="460">
        <f>WEEKNUM(tblResultadosNBA[[#This Row],[Fecha]],2)</f>
        <v>52</v>
      </c>
      <c r="R429" s="460" t="str">
        <f>TEXT(tblResultadosNBA[[#This Row],[Fecha]],"mmm")</f>
        <v>dic</v>
      </c>
    </row>
    <row r="430" spans="1:18">
      <c r="A430" s="419">
        <v>46013</v>
      </c>
      <c r="B430" s="302" t="s">
        <v>211</v>
      </c>
      <c r="C430" s="177" t="str">
        <f t="shared" si="334"/>
        <v>Orlando Magic</v>
      </c>
      <c r="D430" s="177">
        <v>122</v>
      </c>
      <c r="E430" s="336">
        <v>97</v>
      </c>
      <c r="F430" s="327">
        <f t="shared" si="335"/>
        <v>0</v>
      </c>
      <c r="G430" s="177" t="str">
        <f t="shared" si="336"/>
        <v>Golden State Warriors</v>
      </c>
      <c r="H430" s="177">
        <v>127</v>
      </c>
      <c r="I430" s="336">
        <v>120</v>
      </c>
      <c r="J430" s="327">
        <f t="shared" si="337"/>
        <v>0</v>
      </c>
      <c r="K430" s="177">
        <f t="shared" si="338"/>
        <v>249</v>
      </c>
      <c r="L430" s="336">
        <f t="shared" si="339"/>
        <v>217</v>
      </c>
      <c r="M430" s="327">
        <f t="shared" si="340"/>
        <v>0</v>
      </c>
      <c r="N430" s="337">
        <f t="shared" si="341"/>
        <v>5</v>
      </c>
      <c r="O430" s="395">
        <f t="shared" si="342"/>
        <v>23</v>
      </c>
      <c r="P430" s="289">
        <f t="shared" si="343"/>
        <v>1</v>
      </c>
      <c r="Q430" s="460">
        <f>WEEKNUM(tblResultadosNBA[[#This Row],[Fecha]],2)</f>
        <v>52</v>
      </c>
      <c r="R430" s="460" t="str">
        <f>TEXT(tblResultadosNBA[[#This Row],[Fecha]],"mmm")</f>
        <v>dic</v>
      </c>
    </row>
    <row r="431" spans="1:18">
      <c r="A431" s="445">
        <v>46013</v>
      </c>
      <c r="B431" s="331" t="s">
        <v>212</v>
      </c>
      <c r="C431" s="286" t="str">
        <f t="shared" si="334"/>
        <v>Detroit Pistons</v>
      </c>
      <c r="D431" s="286">
        <v>118</v>
      </c>
      <c r="E431" s="431">
        <v>110</v>
      </c>
      <c r="F431" s="332">
        <f t="shared" si="335"/>
        <v>0</v>
      </c>
      <c r="G431" s="286" t="str">
        <f t="shared" si="336"/>
        <v>Portland Trail Blazers</v>
      </c>
      <c r="H431" s="286">
        <v>116</v>
      </c>
      <c r="I431" s="431">
        <v>102</v>
      </c>
      <c r="J431" s="332">
        <f t="shared" si="337"/>
        <v>0</v>
      </c>
      <c r="K431" s="286">
        <f t="shared" si="338"/>
        <v>234</v>
      </c>
      <c r="L431" s="431">
        <f t="shared" si="339"/>
        <v>212</v>
      </c>
      <c r="M431" s="332">
        <f t="shared" si="340"/>
        <v>0</v>
      </c>
      <c r="N431" s="432">
        <f t="shared" si="341"/>
        <v>-2</v>
      </c>
      <c r="O431" s="451">
        <f t="shared" si="342"/>
        <v>-8</v>
      </c>
      <c r="P431" s="433">
        <f t="shared" si="343"/>
        <v>1</v>
      </c>
      <c r="Q431" s="460">
        <f>WEEKNUM(tblResultadosNBA[[#This Row],[Fecha]],2)</f>
        <v>52</v>
      </c>
      <c r="R431" s="460" t="str">
        <f>TEXT(tblResultadosNBA[[#This Row],[Fecha]],"mmm")</f>
        <v>dic</v>
      </c>
    </row>
    <row r="432" spans="1:18">
      <c r="A432" s="439">
        <v>46014</v>
      </c>
      <c r="B432" s="422" t="s">
        <v>213</v>
      </c>
      <c r="C432" s="341" t="str">
        <f>LEFT(B432,FIND("@",B432)-2)</f>
        <v>Washington Wizards</v>
      </c>
      <c r="D432" s="341">
        <v>133</v>
      </c>
      <c r="E432" s="342">
        <v>109</v>
      </c>
      <c r="F432" s="333">
        <f>IF(E432&gt;D432, 1, 0)</f>
        <v>0</v>
      </c>
      <c r="G432" s="341" t="str">
        <f>MID(B432,FIND("@",B432)+2,LEN(B432)-FIND("@",B432)-1)</f>
        <v>Charlotte Hornets</v>
      </c>
      <c r="H432" s="341">
        <v>124</v>
      </c>
      <c r="I432" s="342">
        <v>126</v>
      </c>
      <c r="J432" s="333">
        <f>IF(I432&gt;H432, 1, 0)</f>
        <v>1</v>
      </c>
      <c r="K432" s="341">
        <f>+D432+H432</f>
        <v>257</v>
      </c>
      <c r="L432" s="342">
        <f>E432+I432</f>
        <v>235</v>
      </c>
      <c r="M432" s="333">
        <f>IF(L432&gt;K432, 1, 0)</f>
        <v>0</v>
      </c>
      <c r="N432" s="343">
        <f>(+H432-D432)</f>
        <v>-9</v>
      </c>
      <c r="O432" s="449">
        <f>I432-E432</f>
        <v>17</v>
      </c>
      <c r="P432" s="289">
        <f>IF(OR(AND(N432&gt;0,O432&gt;0),AND(N432&lt;0,O432&lt;0)),1,0)</f>
        <v>0</v>
      </c>
      <c r="Q432" s="460">
        <f>WEEKNUM(tblResultadosNBA[[#This Row],[Fecha]],2)</f>
        <v>52</v>
      </c>
      <c r="R432" s="460" t="str">
        <f>TEXT(tblResultadosNBA[[#This Row],[Fecha]],"mmm")</f>
        <v>dic</v>
      </c>
    </row>
    <row r="433" spans="1:21">
      <c r="A433" s="419">
        <v>46014</v>
      </c>
      <c r="B433" s="302" t="s">
        <v>214</v>
      </c>
      <c r="C433" s="177" t="str">
        <f t="shared" ref="C433:C445" si="344">LEFT(B433,FIND("@",B433)-2)</f>
        <v>Brooklyn Nets</v>
      </c>
      <c r="D433" s="177">
        <v>111</v>
      </c>
      <c r="E433" s="336">
        <v>114</v>
      </c>
      <c r="F433" s="327">
        <f t="shared" ref="F433:F445" si="345">IF(E433&gt;D433, 1, 0)</f>
        <v>1</v>
      </c>
      <c r="G433" s="177" t="str">
        <f t="shared" ref="G433:G445" si="346">MID(B433,FIND("@",B433)+2,LEN(B433)-FIND("@",B433)-1)</f>
        <v>Philadelphia 76ers</v>
      </c>
      <c r="H433" s="177">
        <v>120</v>
      </c>
      <c r="I433" s="336">
        <v>106</v>
      </c>
      <c r="J433" s="327">
        <f t="shared" ref="J433:J445" si="347">IF(I433&gt;H433, 1, 0)</f>
        <v>0</v>
      </c>
      <c r="K433" s="177">
        <f t="shared" ref="K433:K445" si="348">+D433+H433</f>
        <v>231</v>
      </c>
      <c r="L433" s="336">
        <f t="shared" ref="L433:L445" si="349">E433+I433</f>
        <v>220</v>
      </c>
      <c r="M433" s="327">
        <f t="shared" ref="M433:M445" si="350">IF(L433&gt;K433, 1, 0)</f>
        <v>0</v>
      </c>
      <c r="N433" s="337">
        <f t="shared" ref="N433:N445" si="351">(+H433-D433)</f>
        <v>9</v>
      </c>
      <c r="O433" s="395">
        <f t="shared" ref="O433:O445" si="352">I433-E433</f>
        <v>-8</v>
      </c>
      <c r="P433" s="289">
        <f t="shared" ref="P433:P445" si="353">IF(OR(AND(N433&gt;0,O433&gt;0),AND(N433&lt;0,O433&lt;0)),1,0)</f>
        <v>0</v>
      </c>
      <c r="Q433" s="460">
        <f>WEEKNUM(tblResultadosNBA[[#This Row],[Fecha]],2)</f>
        <v>52</v>
      </c>
      <c r="R433" s="460" t="str">
        <f>TEXT(tblResultadosNBA[[#This Row],[Fecha]],"mmm")</f>
        <v>dic</v>
      </c>
    </row>
    <row r="434" spans="1:21">
      <c r="A434" s="419">
        <v>46014</v>
      </c>
      <c r="B434" s="302" t="s">
        <v>204</v>
      </c>
      <c r="C434" s="177" t="str">
        <f t="shared" si="344"/>
        <v>Chicago Bulls</v>
      </c>
      <c r="D434" s="177">
        <v>113</v>
      </c>
      <c r="E434" s="336">
        <v>126</v>
      </c>
      <c r="F434" s="327">
        <f t="shared" si="345"/>
        <v>1</v>
      </c>
      <c r="G434" s="177" t="str">
        <f t="shared" si="346"/>
        <v>Atlanta Hawks</v>
      </c>
      <c r="H434" s="177">
        <v>119</v>
      </c>
      <c r="I434" s="336">
        <v>123</v>
      </c>
      <c r="J434" s="327">
        <f t="shared" si="347"/>
        <v>1</v>
      </c>
      <c r="K434" s="177">
        <f t="shared" si="348"/>
        <v>232</v>
      </c>
      <c r="L434" s="336">
        <f t="shared" si="349"/>
        <v>249</v>
      </c>
      <c r="M434" s="327">
        <f t="shared" si="350"/>
        <v>1</v>
      </c>
      <c r="N434" s="337">
        <f t="shared" si="351"/>
        <v>6</v>
      </c>
      <c r="O434" s="395">
        <f t="shared" si="352"/>
        <v>-3</v>
      </c>
      <c r="P434" s="289">
        <f t="shared" si="353"/>
        <v>0</v>
      </c>
      <c r="Q434" s="460">
        <f>WEEKNUM(tblResultadosNBA[[#This Row],[Fecha]],2)</f>
        <v>52</v>
      </c>
      <c r="R434" s="460" t="str">
        <f>TEXT(tblResultadosNBA[[#This Row],[Fecha]],"mmm")</f>
        <v>dic</v>
      </c>
    </row>
    <row r="435" spans="1:21">
      <c r="A435" s="419">
        <v>46014</v>
      </c>
      <c r="B435" s="302" t="s">
        <v>215</v>
      </c>
      <c r="C435" s="177" t="str">
        <f t="shared" ref="C435:C436" si="354">LEFT(B435,FIND("@",B435)-2)</f>
        <v>New Orleans Pelicans</v>
      </c>
      <c r="D435" s="177">
        <v>117</v>
      </c>
      <c r="E435" s="336">
        <v>118</v>
      </c>
      <c r="F435" s="327">
        <f t="shared" ref="F435:F436" si="355">IF(E435&gt;D435, 1, 0)</f>
        <v>1</v>
      </c>
      <c r="G435" s="177" t="str">
        <f t="shared" ref="G435:G436" si="356">MID(B435,FIND("@",B435)+2,LEN(B435)-FIND("@",B435)-1)</f>
        <v>Cleveland Cavaliers</v>
      </c>
      <c r="H435" s="177">
        <v>128</v>
      </c>
      <c r="I435" s="336">
        <v>141</v>
      </c>
      <c r="J435" s="327">
        <f t="shared" ref="J435:J436" si="357">IF(I435&gt;H435, 1, 0)</f>
        <v>1</v>
      </c>
      <c r="K435" s="177">
        <f t="shared" ref="K435:K436" si="358">+D435+H435</f>
        <v>245</v>
      </c>
      <c r="L435" s="336">
        <f t="shared" ref="L435:L436" si="359">E435+I435</f>
        <v>259</v>
      </c>
      <c r="M435" s="327">
        <f t="shared" ref="M435:M436" si="360">IF(L435&gt;K435, 1, 0)</f>
        <v>1</v>
      </c>
      <c r="N435" s="337">
        <f t="shared" ref="N435:N436" si="361">(+H435-D435)</f>
        <v>11</v>
      </c>
      <c r="O435" s="395">
        <f t="shared" ref="O435:O436" si="362">I435-E435</f>
        <v>23</v>
      </c>
      <c r="P435" s="289">
        <f t="shared" ref="P435:P436" si="363">IF(OR(AND(N435&gt;0,O435&gt;0),AND(N435&lt;0,O435&lt;0)),1,0)</f>
        <v>1</v>
      </c>
      <c r="Q435" s="460">
        <f>WEEKNUM(tblResultadosNBA[[#This Row],[Fecha]],2)</f>
        <v>52</v>
      </c>
      <c r="R435" s="460" t="str">
        <f>TEXT(tblResultadosNBA[[#This Row],[Fecha]],"mmm")</f>
        <v>dic</v>
      </c>
    </row>
    <row r="436" spans="1:21">
      <c r="A436" s="419">
        <v>46014</v>
      </c>
      <c r="B436" s="302" t="s">
        <v>216</v>
      </c>
      <c r="C436" s="177" t="str">
        <f t="shared" si="354"/>
        <v>Milwaukee Bucks</v>
      </c>
      <c r="D436" s="177">
        <v>111</v>
      </c>
      <c r="E436" s="336">
        <v>111</v>
      </c>
      <c r="F436" s="327">
        <f t="shared" si="355"/>
        <v>0</v>
      </c>
      <c r="G436" s="177" t="str">
        <f t="shared" si="356"/>
        <v>Indiana Pacers</v>
      </c>
      <c r="H436" s="177">
        <v>108</v>
      </c>
      <c r="I436" s="336">
        <v>94</v>
      </c>
      <c r="J436" s="327">
        <f t="shared" si="357"/>
        <v>0</v>
      </c>
      <c r="K436" s="177">
        <f t="shared" si="358"/>
        <v>219</v>
      </c>
      <c r="L436" s="336">
        <f t="shared" si="359"/>
        <v>205</v>
      </c>
      <c r="M436" s="327">
        <f t="shared" si="360"/>
        <v>0</v>
      </c>
      <c r="N436" s="337">
        <f t="shared" si="361"/>
        <v>-3</v>
      </c>
      <c r="O436" s="395">
        <f t="shared" si="362"/>
        <v>-17</v>
      </c>
      <c r="P436" s="289">
        <f t="shared" si="363"/>
        <v>1</v>
      </c>
      <c r="Q436" s="460">
        <f>WEEKNUM(tblResultadosNBA[[#This Row],[Fecha]],2)</f>
        <v>52</v>
      </c>
      <c r="R436" s="460" t="str">
        <f>TEXT(tblResultadosNBA[[#This Row],[Fecha]],"mmm")</f>
        <v>dic</v>
      </c>
    </row>
    <row r="437" spans="1:21">
      <c r="A437" s="419">
        <v>46014</v>
      </c>
      <c r="B437" s="302" t="s">
        <v>586</v>
      </c>
      <c r="C437" s="177" t="str">
        <f t="shared" si="344"/>
        <v>Toronto Raptors</v>
      </c>
      <c r="D437" s="177">
        <v>110</v>
      </c>
      <c r="E437" s="336">
        <v>112</v>
      </c>
      <c r="F437" s="327">
        <f t="shared" si="345"/>
        <v>1</v>
      </c>
      <c r="G437" s="177" t="str">
        <f t="shared" si="346"/>
        <v>Miami Heat</v>
      </c>
      <c r="H437" s="177">
        <v>115</v>
      </c>
      <c r="I437" s="336">
        <v>91</v>
      </c>
      <c r="J437" s="327">
        <f t="shared" si="347"/>
        <v>0</v>
      </c>
      <c r="K437" s="177">
        <f t="shared" si="348"/>
        <v>225</v>
      </c>
      <c r="L437" s="336">
        <f t="shared" si="349"/>
        <v>203</v>
      </c>
      <c r="M437" s="327">
        <f t="shared" si="350"/>
        <v>0</v>
      </c>
      <c r="N437" s="337">
        <f t="shared" si="351"/>
        <v>5</v>
      </c>
      <c r="O437" s="395">
        <f t="shared" si="352"/>
        <v>-21</v>
      </c>
      <c r="P437" s="289">
        <f t="shared" si="353"/>
        <v>0</v>
      </c>
      <c r="Q437" s="460">
        <f>WEEKNUM(tblResultadosNBA[[#This Row],[Fecha]],2)</f>
        <v>52</v>
      </c>
      <c r="R437" s="460" t="str">
        <f>TEXT(tblResultadosNBA[[#This Row],[Fecha]],"mmm")</f>
        <v>dic</v>
      </c>
    </row>
    <row r="438" spans="1:21">
      <c r="A438" s="419">
        <v>46014</v>
      </c>
      <c r="B438" s="302" t="s">
        <v>277</v>
      </c>
      <c r="C438" s="177" t="str">
        <f t="shared" si="344"/>
        <v>Denver Nuggets</v>
      </c>
      <c r="D438" s="177">
        <v>119</v>
      </c>
      <c r="E438" s="336">
        <v>130</v>
      </c>
      <c r="F438" s="327">
        <f t="shared" si="345"/>
        <v>1</v>
      </c>
      <c r="G438" s="177" t="str">
        <f t="shared" si="346"/>
        <v>Dallas Mavericks</v>
      </c>
      <c r="H438" s="177">
        <v>108</v>
      </c>
      <c r="I438" s="336">
        <v>131</v>
      </c>
      <c r="J438" s="327">
        <f t="shared" si="347"/>
        <v>1</v>
      </c>
      <c r="K438" s="177">
        <f t="shared" si="348"/>
        <v>227</v>
      </c>
      <c r="L438" s="336">
        <f t="shared" si="349"/>
        <v>261</v>
      </c>
      <c r="M438" s="327">
        <f t="shared" si="350"/>
        <v>1</v>
      </c>
      <c r="N438" s="337">
        <f t="shared" si="351"/>
        <v>-11</v>
      </c>
      <c r="O438" s="395">
        <f t="shared" si="352"/>
        <v>1</v>
      </c>
      <c r="P438" s="289">
        <f t="shared" si="353"/>
        <v>0</v>
      </c>
      <c r="Q438" s="460">
        <f>WEEKNUM(tblResultadosNBA[[#This Row],[Fecha]],2)</f>
        <v>52</v>
      </c>
      <c r="R438" s="460" t="str">
        <f>TEXT(tblResultadosNBA[[#This Row],[Fecha]],"mmm")</f>
        <v>dic</v>
      </c>
    </row>
    <row r="439" spans="1:21">
      <c r="A439" s="419">
        <v>46014</v>
      </c>
      <c r="B439" s="302" t="s">
        <v>217</v>
      </c>
      <c r="C439" s="177" t="str">
        <f t="shared" si="344"/>
        <v>New York Knicks</v>
      </c>
      <c r="D439" s="177">
        <v>109</v>
      </c>
      <c r="E439" s="336">
        <v>104</v>
      </c>
      <c r="F439" s="327">
        <f t="shared" si="345"/>
        <v>0</v>
      </c>
      <c r="G439" s="177" t="str">
        <f t="shared" si="346"/>
        <v>Minnesota Timberwolves</v>
      </c>
      <c r="H439" s="177">
        <v>125</v>
      </c>
      <c r="I439" s="336">
        <v>115</v>
      </c>
      <c r="J439" s="327">
        <f t="shared" si="347"/>
        <v>0</v>
      </c>
      <c r="K439" s="177">
        <f t="shared" si="348"/>
        <v>234</v>
      </c>
      <c r="L439" s="336">
        <f t="shared" si="349"/>
        <v>219</v>
      </c>
      <c r="M439" s="327">
        <f t="shared" si="350"/>
        <v>0</v>
      </c>
      <c r="N439" s="337">
        <f t="shared" si="351"/>
        <v>16</v>
      </c>
      <c r="O439" s="395">
        <f t="shared" si="352"/>
        <v>11</v>
      </c>
      <c r="P439" s="289">
        <f t="shared" si="353"/>
        <v>1</v>
      </c>
      <c r="Q439" s="460">
        <f>WEEKNUM(tblResultadosNBA[[#This Row],[Fecha]],2)</f>
        <v>52</v>
      </c>
      <c r="R439" s="460" t="str">
        <f>TEXT(tblResultadosNBA[[#This Row],[Fecha]],"mmm")</f>
        <v>dic</v>
      </c>
    </row>
    <row r="440" spans="1:21">
      <c r="A440" s="419">
        <v>46014</v>
      </c>
      <c r="B440" s="302" t="s">
        <v>218</v>
      </c>
      <c r="C440" s="177" t="str">
        <f t="shared" si="344"/>
        <v>Oklahoma City Thunder</v>
      </c>
      <c r="D440" s="177">
        <v>119</v>
      </c>
      <c r="E440" s="336">
        <v>110</v>
      </c>
      <c r="F440" s="327">
        <f t="shared" si="345"/>
        <v>0</v>
      </c>
      <c r="G440" s="177" t="str">
        <f t="shared" si="346"/>
        <v>San Antonio Spurs</v>
      </c>
      <c r="H440" s="177">
        <v>125</v>
      </c>
      <c r="I440" s="336">
        <v>130</v>
      </c>
      <c r="J440" s="327">
        <f t="shared" si="347"/>
        <v>1</v>
      </c>
      <c r="K440" s="177">
        <f t="shared" si="348"/>
        <v>244</v>
      </c>
      <c r="L440" s="336">
        <f t="shared" si="349"/>
        <v>240</v>
      </c>
      <c r="M440" s="327">
        <f t="shared" si="350"/>
        <v>0</v>
      </c>
      <c r="N440" s="337">
        <f t="shared" si="351"/>
        <v>6</v>
      </c>
      <c r="O440" s="395">
        <f t="shared" si="352"/>
        <v>20</v>
      </c>
      <c r="P440" s="289">
        <f t="shared" si="353"/>
        <v>1</v>
      </c>
      <c r="Q440" s="460">
        <f>WEEKNUM(tblResultadosNBA[[#This Row],[Fecha]],2)</f>
        <v>52</v>
      </c>
      <c r="R440" s="460" t="str">
        <f>TEXT(tblResultadosNBA[[#This Row],[Fecha]],"mmm")</f>
        <v>dic</v>
      </c>
    </row>
    <row r="441" spans="1:21">
      <c r="A441" s="419">
        <v>46014</v>
      </c>
      <c r="B441" s="302" t="s">
        <v>219</v>
      </c>
      <c r="C441" s="177" t="str">
        <f t="shared" si="344"/>
        <v>Los Angeles Lakers</v>
      </c>
      <c r="D441" s="177">
        <v>114</v>
      </c>
      <c r="E441" s="336">
        <v>108</v>
      </c>
      <c r="F441" s="327">
        <f t="shared" si="345"/>
        <v>0</v>
      </c>
      <c r="G441" s="177" t="str">
        <f t="shared" si="346"/>
        <v>Phoenix Suns</v>
      </c>
      <c r="H441" s="177">
        <v>117</v>
      </c>
      <c r="I441" s="336">
        <v>132</v>
      </c>
      <c r="J441" s="327">
        <f t="shared" si="347"/>
        <v>1</v>
      </c>
      <c r="K441" s="177">
        <f t="shared" si="348"/>
        <v>231</v>
      </c>
      <c r="L441" s="336">
        <f t="shared" si="349"/>
        <v>240</v>
      </c>
      <c r="M441" s="327">
        <f t="shared" si="350"/>
        <v>1</v>
      </c>
      <c r="N441" s="337">
        <f t="shared" si="351"/>
        <v>3</v>
      </c>
      <c r="O441" s="395">
        <f t="shared" si="352"/>
        <v>24</v>
      </c>
      <c r="P441" s="289">
        <f t="shared" si="353"/>
        <v>1</v>
      </c>
      <c r="Q441" s="460">
        <f>WEEKNUM(tblResultadosNBA[[#This Row],[Fecha]],2)</f>
        <v>52</v>
      </c>
      <c r="R441" s="460" t="str">
        <f>TEXT(tblResultadosNBA[[#This Row],[Fecha]],"mmm")</f>
        <v>dic</v>
      </c>
    </row>
    <row r="442" spans="1:21">
      <c r="A442" s="419">
        <v>46014</v>
      </c>
      <c r="B442" s="302" t="s">
        <v>220</v>
      </c>
      <c r="C442" s="177" t="str">
        <f t="shared" si="344"/>
        <v>Memphis Grizzlies</v>
      </c>
      <c r="D442" s="177">
        <v>123</v>
      </c>
      <c r="E442" s="336">
        <v>137</v>
      </c>
      <c r="F442" s="327">
        <f t="shared" si="345"/>
        <v>1</v>
      </c>
      <c r="G442" s="177" t="str">
        <f t="shared" si="346"/>
        <v>Utah Jazz</v>
      </c>
      <c r="H442" s="177">
        <v>136</v>
      </c>
      <c r="I442" s="336">
        <v>128</v>
      </c>
      <c r="J442" s="327">
        <f t="shared" si="347"/>
        <v>0</v>
      </c>
      <c r="K442" s="177">
        <f t="shared" si="348"/>
        <v>259</v>
      </c>
      <c r="L442" s="336">
        <f t="shared" si="349"/>
        <v>265</v>
      </c>
      <c r="M442" s="327">
        <f t="shared" si="350"/>
        <v>1</v>
      </c>
      <c r="N442" s="337">
        <f t="shared" si="351"/>
        <v>13</v>
      </c>
      <c r="O442" s="395">
        <f t="shared" si="352"/>
        <v>-9</v>
      </c>
      <c r="P442" s="289">
        <f t="shared" si="353"/>
        <v>0</v>
      </c>
      <c r="Q442" s="460">
        <f>WEEKNUM(tblResultadosNBA[[#This Row],[Fecha]],2)</f>
        <v>52</v>
      </c>
      <c r="R442" s="460" t="str">
        <f>TEXT(tblResultadosNBA[[#This Row],[Fecha]],"mmm")</f>
        <v>dic</v>
      </c>
    </row>
    <row r="443" spans="1:21">
      <c r="A443" s="419">
        <v>46014</v>
      </c>
      <c r="B443" s="302" t="s">
        <v>595</v>
      </c>
      <c r="C443" s="177" t="str">
        <f t="shared" si="344"/>
        <v>Orlando Magic</v>
      </c>
      <c r="D443" s="177">
        <v>111</v>
      </c>
      <c r="E443" s="336">
        <v>110</v>
      </c>
      <c r="F443" s="327">
        <f t="shared" si="345"/>
        <v>0</v>
      </c>
      <c r="G443" s="177" t="str">
        <f t="shared" si="346"/>
        <v>Portland Trail Blazers</v>
      </c>
      <c r="H443" s="177">
        <v>116</v>
      </c>
      <c r="I443" s="336">
        <v>106</v>
      </c>
      <c r="J443" s="327">
        <f t="shared" si="347"/>
        <v>0</v>
      </c>
      <c r="K443" s="177">
        <f t="shared" si="348"/>
        <v>227</v>
      </c>
      <c r="L443" s="336">
        <f t="shared" si="349"/>
        <v>216</v>
      </c>
      <c r="M443" s="327">
        <f t="shared" si="350"/>
        <v>0</v>
      </c>
      <c r="N443" s="337">
        <f t="shared" si="351"/>
        <v>5</v>
      </c>
      <c r="O443" s="395">
        <f t="shared" si="352"/>
        <v>-4</v>
      </c>
      <c r="P443" s="289">
        <f t="shared" si="353"/>
        <v>0</v>
      </c>
      <c r="Q443" s="460">
        <f>WEEKNUM(tblResultadosNBA[[#This Row],[Fecha]],2)</f>
        <v>52</v>
      </c>
      <c r="R443" s="460" t="str">
        <f>TEXT(tblResultadosNBA[[#This Row],[Fecha]],"mmm")</f>
        <v>dic</v>
      </c>
    </row>
    <row r="444" spans="1:21">
      <c r="A444" s="419">
        <v>46014</v>
      </c>
      <c r="B444" s="302" t="s">
        <v>221</v>
      </c>
      <c r="C444" s="177" t="str">
        <f t="shared" si="344"/>
        <v>Detroit Pistons</v>
      </c>
      <c r="D444" s="177">
        <v>123</v>
      </c>
      <c r="E444" s="336">
        <v>136</v>
      </c>
      <c r="F444" s="327">
        <f t="shared" si="345"/>
        <v>1</v>
      </c>
      <c r="G444" s="177" t="str">
        <f t="shared" si="346"/>
        <v>Sacramento Kings</v>
      </c>
      <c r="H444" s="177">
        <v>118</v>
      </c>
      <c r="I444" s="336">
        <v>127</v>
      </c>
      <c r="J444" s="327">
        <f t="shared" si="347"/>
        <v>1</v>
      </c>
      <c r="K444" s="177">
        <f t="shared" si="348"/>
        <v>241</v>
      </c>
      <c r="L444" s="336">
        <f t="shared" si="349"/>
        <v>263</v>
      </c>
      <c r="M444" s="327">
        <f t="shared" si="350"/>
        <v>1</v>
      </c>
      <c r="N444" s="337">
        <f t="shared" si="351"/>
        <v>-5</v>
      </c>
      <c r="O444" s="395">
        <f t="shared" si="352"/>
        <v>-9</v>
      </c>
      <c r="P444" s="289">
        <f t="shared" si="353"/>
        <v>1</v>
      </c>
      <c r="Q444" s="460">
        <f>WEEKNUM(tblResultadosNBA[[#This Row],[Fecha]],2)</f>
        <v>52</v>
      </c>
      <c r="R444" s="460" t="str">
        <f>TEXT(tblResultadosNBA[[#This Row],[Fecha]],"mmm")</f>
        <v>dic</v>
      </c>
    </row>
    <row r="445" spans="1:21">
      <c r="A445" s="445">
        <v>46014</v>
      </c>
      <c r="B445" s="331" t="s">
        <v>222</v>
      </c>
      <c r="C445" s="286" t="str">
        <f t="shared" si="344"/>
        <v>Houston Rockets</v>
      </c>
      <c r="D445" s="286">
        <v>114</v>
      </c>
      <c r="E445" s="431">
        <v>108</v>
      </c>
      <c r="F445" s="332">
        <f t="shared" si="345"/>
        <v>0</v>
      </c>
      <c r="G445" s="286" t="str">
        <f t="shared" si="346"/>
        <v>LA Clippers</v>
      </c>
      <c r="H445" s="286">
        <v>126</v>
      </c>
      <c r="I445" s="431">
        <v>128</v>
      </c>
      <c r="J445" s="332">
        <f t="shared" si="347"/>
        <v>1</v>
      </c>
      <c r="K445" s="286">
        <f t="shared" si="348"/>
        <v>240</v>
      </c>
      <c r="L445" s="431">
        <f t="shared" si="349"/>
        <v>236</v>
      </c>
      <c r="M445" s="332">
        <f t="shared" si="350"/>
        <v>0</v>
      </c>
      <c r="N445" s="432">
        <f t="shared" si="351"/>
        <v>12</v>
      </c>
      <c r="O445" s="451">
        <f t="shared" si="352"/>
        <v>20</v>
      </c>
      <c r="P445" s="433">
        <f t="shared" si="353"/>
        <v>1</v>
      </c>
      <c r="Q445" s="460">
        <f>WEEKNUM(tblResultadosNBA[[#This Row],[Fecha]],2)</f>
        <v>52</v>
      </c>
      <c r="R445" s="460" t="str">
        <f>TEXT(tblResultadosNBA[[#This Row],[Fecha]],"mmm")</f>
        <v>dic</v>
      </c>
    </row>
    <row r="446" spans="1:21">
      <c r="A446" s="439">
        <v>46016</v>
      </c>
      <c r="B446" s="422" t="s">
        <v>223</v>
      </c>
      <c r="C446" s="341" t="str">
        <f t="shared" ref="C446:C447" si="364">LEFT(B446,FIND("@",B446)-2)</f>
        <v>Cleveland Cavaliers</v>
      </c>
      <c r="D446" s="341">
        <v>137</v>
      </c>
      <c r="E446" s="342">
        <v>124</v>
      </c>
      <c r="F446" s="333">
        <f t="shared" ref="F446:F447" si="365">IF(E446&gt;D446, 1, 0)</f>
        <v>0</v>
      </c>
      <c r="G446" s="341" t="str">
        <f t="shared" ref="G446:G447" si="366">MID(B446,FIND("@",B446)+2,LEN(B446)-FIND("@",B446)-1)</f>
        <v>New York Knicks</v>
      </c>
      <c r="H446" s="341">
        <v>131</v>
      </c>
      <c r="I446" s="342">
        <v>126</v>
      </c>
      <c r="J446" s="333">
        <f t="shared" ref="J446:J447" si="367">IF(I446&gt;H446, 1, 0)</f>
        <v>0</v>
      </c>
      <c r="K446" s="341">
        <f t="shared" ref="K446:K447" si="368">+D446+H446</f>
        <v>268</v>
      </c>
      <c r="L446" s="342">
        <f t="shared" ref="L446:L447" si="369">E446+I446</f>
        <v>250</v>
      </c>
      <c r="M446" s="333">
        <f t="shared" ref="M446:M447" si="370">IF(L446&gt;K446, 1, 0)</f>
        <v>0</v>
      </c>
      <c r="N446" s="343">
        <f t="shared" ref="N446:N447" si="371">(+H446-D446)</f>
        <v>-6</v>
      </c>
      <c r="O446" s="449">
        <f t="shared" ref="O446:O447" si="372">I446-E446</f>
        <v>2</v>
      </c>
      <c r="P446" s="289">
        <f t="shared" ref="P446:P447" si="373">IF(OR(AND(N446&gt;0,O446&gt;0),AND(N446&lt;0,O446&lt;0)),1,0)</f>
        <v>0</v>
      </c>
      <c r="Q446" s="460">
        <f>WEEKNUM(tblResultadosNBA[[#This Row],[Fecha]],2)</f>
        <v>52</v>
      </c>
      <c r="R446" s="460" t="str">
        <f>TEXT(tblResultadosNBA[[#This Row],[Fecha]],"mmm")</f>
        <v>dic</v>
      </c>
      <c r="U446" s="18"/>
    </row>
    <row r="447" spans="1:21">
      <c r="A447" s="419">
        <v>46016</v>
      </c>
      <c r="B447" s="302" t="s">
        <v>224</v>
      </c>
      <c r="C447" s="177" t="str">
        <f t="shared" si="364"/>
        <v>San Antonio Spurs</v>
      </c>
      <c r="D447" s="177">
        <v>113</v>
      </c>
      <c r="E447" s="336">
        <v>117</v>
      </c>
      <c r="F447" s="327">
        <f t="shared" si="365"/>
        <v>1</v>
      </c>
      <c r="G447" s="177" t="str">
        <f t="shared" si="366"/>
        <v>Oklahoma City Thunder</v>
      </c>
      <c r="H447" s="177">
        <v>131</v>
      </c>
      <c r="I447" s="336">
        <v>102</v>
      </c>
      <c r="J447" s="327">
        <f t="shared" si="367"/>
        <v>0</v>
      </c>
      <c r="K447" s="177">
        <f t="shared" si="368"/>
        <v>244</v>
      </c>
      <c r="L447" s="336">
        <f t="shared" si="369"/>
        <v>219</v>
      </c>
      <c r="M447" s="327">
        <f t="shared" si="370"/>
        <v>0</v>
      </c>
      <c r="N447" s="337">
        <f t="shared" si="371"/>
        <v>18</v>
      </c>
      <c r="O447" s="395">
        <f t="shared" si="372"/>
        <v>-15</v>
      </c>
      <c r="P447" s="289">
        <f t="shared" si="373"/>
        <v>0</v>
      </c>
      <c r="Q447" s="460">
        <f>WEEKNUM(tblResultadosNBA[[#This Row],[Fecha]],2)</f>
        <v>52</v>
      </c>
      <c r="R447" s="460" t="str">
        <f>TEXT(tblResultadosNBA[[#This Row],[Fecha]],"mmm")</f>
        <v>dic</v>
      </c>
    </row>
    <row r="448" spans="1:21">
      <c r="A448" s="419">
        <v>46016</v>
      </c>
      <c r="B448" s="302" t="s">
        <v>225</v>
      </c>
      <c r="C448" s="177" t="str">
        <f t="shared" ref="C448:C450" si="374">LEFT(B448,FIND("@",B448)-2)</f>
        <v>Dallas Mavericks</v>
      </c>
      <c r="D448" s="177">
        <v>117</v>
      </c>
      <c r="E448" s="336">
        <v>116</v>
      </c>
      <c r="F448" s="327">
        <f t="shared" ref="F448:F450" si="375">IF(E448&gt;D448, 1, 0)</f>
        <v>0</v>
      </c>
      <c r="G448" s="177" t="str">
        <f t="shared" ref="G448:G450" si="376">MID(B448,FIND("@",B448)+2,LEN(B448)-FIND("@",B448)-1)</f>
        <v>Golden State Warriors</v>
      </c>
      <c r="H448" s="177">
        <v>126</v>
      </c>
      <c r="I448" s="336">
        <v>126</v>
      </c>
      <c r="J448" s="327">
        <f t="shared" ref="J448:J450" si="377">IF(I448&gt;H448, 1, 0)</f>
        <v>0</v>
      </c>
      <c r="K448" s="177">
        <f t="shared" ref="K448:K450" si="378">+D448+H448</f>
        <v>243</v>
      </c>
      <c r="L448" s="336">
        <f t="shared" ref="L448:L450" si="379">E448+I448</f>
        <v>242</v>
      </c>
      <c r="M448" s="327">
        <f t="shared" ref="M448:M450" si="380">IF(L448&gt;K448, 1, 0)</f>
        <v>0</v>
      </c>
      <c r="N448" s="337">
        <f t="shared" ref="N448:N450" si="381">(+H448-D448)</f>
        <v>9</v>
      </c>
      <c r="O448" s="395">
        <f t="shared" ref="O448:O450" si="382">I448-E448</f>
        <v>10</v>
      </c>
      <c r="P448" s="289">
        <f t="shared" ref="P448:P450" si="383">IF(OR(AND(N448&gt;0,O448&gt;0),AND(N448&lt;0,O448&lt;0)),1,0)</f>
        <v>1</v>
      </c>
      <c r="Q448" s="460">
        <f>WEEKNUM(tblResultadosNBA[[#This Row],[Fecha]],2)</f>
        <v>52</v>
      </c>
      <c r="R448" s="460" t="str">
        <f>TEXT(tblResultadosNBA[[#This Row],[Fecha]],"mmm")</f>
        <v>dic</v>
      </c>
    </row>
    <row r="449" spans="1:18">
      <c r="A449" s="419">
        <v>46016</v>
      </c>
      <c r="B449" s="302" t="s">
        <v>226</v>
      </c>
      <c r="C449" s="177" t="str">
        <f t="shared" si="374"/>
        <v>Houston Rockets</v>
      </c>
      <c r="D449" s="177">
        <v>116</v>
      </c>
      <c r="E449" s="336">
        <v>119</v>
      </c>
      <c r="F449" s="327">
        <f t="shared" si="375"/>
        <v>1</v>
      </c>
      <c r="G449" s="177" t="str">
        <f t="shared" si="376"/>
        <v>Los Angeles Lakers</v>
      </c>
      <c r="H449" s="177">
        <v>127</v>
      </c>
      <c r="I449" s="336">
        <v>96</v>
      </c>
      <c r="J449" s="327">
        <f t="shared" si="377"/>
        <v>0</v>
      </c>
      <c r="K449" s="177">
        <f t="shared" si="378"/>
        <v>243</v>
      </c>
      <c r="L449" s="336">
        <f t="shared" si="379"/>
        <v>215</v>
      </c>
      <c r="M449" s="327">
        <f t="shared" si="380"/>
        <v>0</v>
      </c>
      <c r="N449" s="337">
        <f t="shared" si="381"/>
        <v>11</v>
      </c>
      <c r="O449" s="395">
        <f t="shared" si="382"/>
        <v>-23</v>
      </c>
      <c r="P449" s="289">
        <f t="shared" si="383"/>
        <v>0</v>
      </c>
      <c r="Q449" s="460">
        <f>WEEKNUM(tblResultadosNBA[[#This Row],[Fecha]],2)</f>
        <v>52</v>
      </c>
      <c r="R449" s="460" t="str">
        <f>TEXT(tblResultadosNBA[[#This Row],[Fecha]],"mmm")</f>
        <v>dic</v>
      </c>
    </row>
    <row r="450" spans="1:18">
      <c r="A450" s="445">
        <v>46016</v>
      </c>
      <c r="B450" s="331" t="s">
        <v>596</v>
      </c>
      <c r="C450" s="286" t="str">
        <f t="shared" si="374"/>
        <v>Minnesota Timberwolves</v>
      </c>
      <c r="D450" s="286">
        <v>112</v>
      </c>
      <c r="E450" s="431">
        <v>138</v>
      </c>
      <c r="F450" s="332">
        <f t="shared" si="375"/>
        <v>1</v>
      </c>
      <c r="G450" s="286" t="str">
        <f t="shared" si="376"/>
        <v>Denver Nuggets</v>
      </c>
      <c r="H450" s="286">
        <v>120</v>
      </c>
      <c r="I450" s="431">
        <v>142</v>
      </c>
      <c r="J450" s="332">
        <f t="shared" si="377"/>
        <v>1</v>
      </c>
      <c r="K450" s="286">
        <f t="shared" si="378"/>
        <v>232</v>
      </c>
      <c r="L450" s="431">
        <f t="shared" si="379"/>
        <v>280</v>
      </c>
      <c r="M450" s="332">
        <f t="shared" si="380"/>
        <v>1</v>
      </c>
      <c r="N450" s="432">
        <f t="shared" si="381"/>
        <v>8</v>
      </c>
      <c r="O450" s="451">
        <f t="shared" si="382"/>
        <v>4</v>
      </c>
      <c r="P450" s="433">
        <f t="shared" si="383"/>
        <v>1</v>
      </c>
      <c r="Q450" s="460">
        <f>WEEKNUM(tblResultadosNBA[[#This Row],[Fecha]],2)</f>
        <v>52</v>
      </c>
      <c r="R450" s="460" t="str">
        <f>TEXT(tblResultadosNBA[[#This Row],[Fecha]],"mmm")</f>
        <v>dic</v>
      </c>
    </row>
    <row r="451" spans="1:18">
      <c r="A451" s="439">
        <v>46017</v>
      </c>
      <c r="B451" s="422" t="s">
        <v>227</v>
      </c>
      <c r="C451" s="341" t="str">
        <f>LEFT(B451,FIND("@",B451)-2)</f>
        <v>Miami Heat</v>
      </c>
      <c r="D451" s="341">
        <v>129</v>
      </c>
      <c r="E451" s="342">
        <v>126</v>
      </c>
      <c r="F451" s="333">
        <f>IF(E451&gt;D451, 1, 0)</f>
        <v>0</v>
      </c>
      <c r="G451" s="341" t="str">
        <f>MID(B451,FIND("@",B451)+2,LEN(B451)-FIND("@",B451)-1)</f>
        <v>Atlanta Hawks</v>
      </c>
      <c r="H451" s="341">
        <v>121</v>
      </c>
      <c r="I451" s="342">
        <v>111</v>
      </c>
      <c r="J451" s="333">
        <f>IF(I451&gt;H451, 1, 0)</f>
        <v>0</v>
      </c>
      <c r="K451" s="341">
        <f>+D451+H451</f>
        <v>250</v>
      </c>
      <c r="L451" s="342">
        <f>E451+I451</f>
        <v>237</v>
      </c>
      <c r="M451" s="333">
        <f>IF(L451&gt;K451, 1, 0)</f>
        <v>0</v>
      </c>
      <c r="N451" s="343">
        <f>(+H451-D451)</f>
        <v>-8</v>
      </c>
      <c r="O451" s="449">
        <f>I451-E451</f>
        <v>-15</v>
      </c>
      <c r="P451" s="289">
        <f>IF(OR(AND(N451&gt;0,O451&gt;0),AND(N451&lt;0,O451&lt;0)),1,0)</f>
        <v>1</v>
      </c>
      <c r="Q451" s="460">
        <f>WEEKNUM(tblResultadosNBA[[#This Row],[Fecha]],2)</f>
        <v>52</v>
      </c>
      <c r="R451" s="460" t="str">
        <f>TEXT(tblResultadosNBA[[#This Row],[Fecha]],"mmm")</f>
        <v>dic</v>
      </c>
    </row>
    <row r="452" spans="1:18">
      <c r="A452" s="439">
        <v>46017</v>
      </c>
      <c r="B452" s="302" t="s">
        <v>597</v>
      </c>
      <c r="C452" s="177" t="str">
        <f t="shared" ref="C452:C459" si="384">LEFT(B452,FIND("@",B452)-2)</f>
        <v>Charlotte Hornets</v>
      </c>
      <c r="D452" s="177">
        <v>108</v>
      </c>
      <c r="E452" s="336">
        <v>120</v>
      </c>
      <c r="F452" s="327">
        <f t="shared" ref="F452:F459" si="385">IF(E452&gt;D452, 1, 0)</f>
        <v>1</v>
      </c>
      <c r="G452" s="177" t="str">
        <f t="shared" ref="G452:G459" si="386">MID(B452,FIND("@",B452)+2,LEN(B452)-FIND("@",B452)-1)</f>
        <v>Orlando Magic</v>
      </c>
      <c r="H452" s="177">
        <v>116</v>
      </c>
      <c r="I452" s="336">
        <v>105</v>
      </c>
      <c r="J452" s="327">
        <f t="shared" ref="J452:J459" si="387">IF(I452&gt;H452, 1, 0)</f>
        <v>0</v>
      </c>
      <c r="K452" s="177">
        <f t="shared" ref="K452:K459" si="388">+D452+H452</f>
        <v>224</v>
      </c>
      <c r="L452" s="336">
        <f t="shared" ref="L452:L459" si="389">E452+I452</f>
        <v>225</v>
      </c>
      <c r="M452" s="327">
        <f t="shared" ref="M452:M459" si="390">IF(L452&gt;K452, 1, 0)</f>
        <v>1</v>
      </c>
      <c r="N452" s="337">
        <f t="shared" ref="N452:N459" si="391">(+H452-D452)</f>
        <v>8</v>
      </c>
      <c r="O452" s="395">
        <f t="shared" ref="O452:O459" si="392">I452-E452</f>
        <v>-15</v>
      </c>
      <c r="P452" s="289">
        <f t="shared" ref="P452:P459" si="393">IF(OR(AND(N452&gt;0,O452&gt;0),AND(N452&lt;0,O452&lt;0)),1,0)</f>
        <v>0</v>
      </c>
      <c r="Q452" s="460">
        <f>WEEKNUM(tblResultadosNBA[[#This Row],[Fecha]],2)</f>
        <v>52</v>
      </c>
      <c r="R452" s="460" t="str">
        <f>TEXT(tblResultadosNBA[[#This Row],[Fecha]],"mmm")</f>
        <v>dic</v>
      </c>
    </row>
    <row r="453" spans="1:18">
      <c r="A453" s="439">
        <v>46017</v>
      </c>
      <c r="B453" s="302" t="s">
        <v>228</v>
      </c>
      <c r="C453" s="177" t="str">
        <f t="shared" si="384"/>
        <v>Toronto Raptors</v>
      </c>
      <c r="D453" s="177">
        <v>116</v>
      </c>
      <c r="E453" s="336">
        <v>117</v>
      </c>
      <c r="F453" s="327">
        <f t="shared" si="385"/>
        <v>1</v>
      </c>
      <c r="G453" s="177" t="str">
        <f t="shared" si="386"/>
        <v>Washington Wizards</v>
      </c>
      <c r="H453" s="177">
        <v>126</v>
      </c>
      <c r="I453" s="336">
        <v>138</v>
      </c>
      <c r="J453" s="327">
        <f t="shared" si="387"/>
        <v>1</v>
      </c>
      <c r="K453" s="177">
        <f t="shared" si="388"/>
        <v>242</v>
      </c>
      <c r="L453" s="336">
        <f t="shared" si="389"/>
        <v>255</v>
      </c>
      <c r="M453" s="327">
        <f t="shared" si="390"/>
        <v>1</v>
      </c>
      <c r="N453" s="337">
        <f t="shared" si="391"/>
        <v>10</v>
      </c>
      <c r="O453" s="395">
        <f t="shared" si="392"/>
        <v>21</v>
      </c>
      <c r="P453" s="289">
        <f t="shared" si="393"/>
        <v>1</v>
      </c>
      <c r="Q453" s="460">
        <f>WEEKNUM(tblResultadosNBA[[#This Row],[Fecha]],2)</f>
        <v>52</v>
      </c>
      <c r="R453" s="460" t="str">
        <f>TEXT(tblResultadosNBA[[#This Row],[Fecha]],"mmm")</f>
        <v>dic</v>
      </c>
    </row>
    <row r="454" spans="1:18">
      <c r="A454" s="439">
        <v>46017</v>
      </c>
      <c r="B454" s="302" t="s">
        <v>229</v>
      </c>
      <c r="C454" s="177" t="str">
        <f t="shared" si="384"/>
        <v>Boston Celtics</v>
      </c>
      <c r="D454" s="177">
        <v>118</v>
      </c>
      <c r="E454" s="336">
        <v>140</v>
      </c>
      <c r="F454" s="327">
        <f t="shared" si="385"/>
        <v>1</v>
      </c>
      <c r="G454" s="177" t="str">
        <f t="shared" si="386"/>
        <v>Indiana Pacers</v>
      </c>
      <c r="H454" s="177">
        <v>113</v>
      </c>
      <c r="I454" s="336">
        <v>122</v>
      </c>
      <c r="J454" s="327">
        <f t="shared" si="387"/>
        <v>1</v>
      </c>
      <c r="K454" s="177">
        <f t="shared" si="388"/>
        <v>231</v>
      </c>
      <c r="L454" s="336">
        <f t="shared" si="389"/>
        <v>262</v>
      </c>
      <c r="M454" s="327">
        <f t="shared" si="390"/>
        <v>1</v>
      </c>
      <c r="N454" s="337">
        <f t="shared" si="391"/>
        <v>-5</v>
      </c>
      <c r="O454" s="395">
        <f t="shared" si="392"/>
        <v>-18</v>
      </c>
      <c r="P454" s="289">
        <f t="shared" si="393"/>
        <v>1</v>
      </c>
      <c r="Q454" s="460">
        <f>WEEKNUM(tblResultadosNBA[[#This Row],[Fecha]],2)</f>
        <v>52</v>
      </c>
      <c r="R454" s="460" t="str">
        <f>TEXT(tblResultadosNBA[[#This Row],[Fecha]],"mmm")</f>
        <v>dic</v>
      </c>
    </row>
    <row r="455" spans="1:18">
      <c r="A455" s="439">
        <v>46017</v>
      </c>
      <c r="B455" s="302" t="s">
        <v>499</v>
      </c>
      <c r="C455" s="177" t="str">
        <f t="shared" si="384"/>
        <v>Philadelphia 76ers</v>
      </c>
      <c r="D455" s="177">
        <v>119</v>
      </c>
      <c r="E455" s="336">
        <v>102</v>
      </c>
      <c r="F455" s="327">
        <f t="shared" si="385"/>
        <v>0</v>
      </c>
      <c r="G455" s="177" t="str">
        <f t="shared" si="386"/>
        <v>Chicago Bulls</v>
      </c>
      <c r="H455" s="177">
        <v>112</v>
      </c>
      <c r="I455" s="336">
        <v>109</v>
      </c>
      <c r="J455" s="327">
        <f t="shared" si="387"/>
        <v>0</v>
      </c>
      <c r="K455" s="177">
        <f t="shared" si="388"/>
        <v>231</v>
      </c>
      <c r="L455" s="336">
        <f t="shared" si="389"/>
        <v>211</v>
      </c>
      <c r="M455" s="327">
        <f t="shared" si="390"/>
        <v>0</v>
      </c>
      <c r="N455" s="337">
        <f t="shared" si="391"/>
        <v>-7</v>
      </c>
      <c r="O455" s="395">
        <f t="shared" si="392"/>
        <v>7</v>
      </c>
      <c r="P455" s="289">
        <f t="shared" si="393"/>
        <v>0</v>
      </c>
      <c r="Q455" s="460">
        <f>WEEKNUM(tblResultadosNBA[[#This Row],[Fecha]],2)</f>
        <v>52</v>
      </c>
      <c r="R455" s="460" t="str">
        <f>TEXT(tblResultadosNBA[[#This Row],[Fecha]],"mmm")</f>
        <v>dic</v>
      </c>
    </row>
    <row r="456" spans="1:18">
      <c r="A456" s="439">
        <v>46017</v>
      </c>
      <c r="B456" s="302" t="s">
        <v>230</v>
      </c>
      <c r="C456" s="177" t="str">
        <f t="shared" si="384"/>
        <v>Milwaukee Bucks</v>
      </c>
      <c r="D456" s="177">
        <v>114</v>
      </c>
      <c r="E456" s="336">
        <v>104</v>
      </c>
      <c r="F456" s="327">
        <f t="shared" si="385"/>
        <v>0</v>
      </c>
      <c r="G456" s="177" t="str">
        <f t="shared" si="386"/>
        <v>Memphis Grizzlies</v>
      </c>
      <c r="H456" s="177">
        <v>120</v>
      </c>
      <c r="I456" s="336">
        <v>125</v>
      </c>
      <c r="J456" s="327">
        <f t="shared" si="387"/>
        <v>1</v>
      </c>
      <c r="K456" s="177">
        <f t="shared" si="388"/>
        <v>234</v>
      </c>
      <c r="L456" s="336">
        <f t="shared" si="389"/>
        <v>229</v>
      </c>
      <c r="M456" s="327">
        <f t="shared" si="390"/>
        <v>0</v>
      </c>
      <c r="N456" s="337">
        <f t="shared" si="391"/>
        <v>6</v>
      </c>
      <c r="O456" s="395">
        <f t="shared" si="392"/>
        <v>21</v>
      </c>
      <c r="P456" s="289">
        <f t="shared" si="393"/>
        <v>1</v>
      </c>
      <c r="Q456" s="460">
        <f>WEEKNUM(tblResultadosNBA[[#This Row],[Fecha]],2)</f>
        <v>52</v>
      </c>
      <c r="R456" s="460" t="str">
        <f>TEXT(tblResultadosNBA[[#This Row],[Fecha]],"mmm")</f>
        <v>dic</v>
      </c>
    </row>
    <row r="457" spans="1:18">
      <c r="A457" s="439">
        <v>46017</v>
      </c>
      <c r="B457" s="302" t="s">
        <v>231</v>
      </c>
      <c r="C457" s="177" t="str">
        <f t="shared" si="384"/>
        <v>Phoenix Suns</v>
      </c>
      <c r="D457" s="177">
        <v>122</v>
      </c>
      <c r="E457" s="336">
        <v>115</v>
      </c>
      <c r="F457" s="327">
        <f t="shared" si="385"/>
        <v>0</v>
      </c>
      <c r="G457" s="177" t="str">
        <f t="shared" si="386"/>
        <v>New Orleans Pelicans</v>
      </c>
      <c r="H457" s="177">
        <v>126</v>
      </c>
      <c r="I457" s="336">
        <v>108</v>
      </c>
      <c r="J457" s="327">
        <f t="shared" si="387"/>
        <v>0</v>
      </c>
      <c r="K457" s="177">
        <f t="shared" si="388"/>
        <v>248</v>
      </c>
      <c r="L457" s="336">
        <f t="shared" si="389"/>
        <v>223</v>
      </c>
      <c r="M457" s="327">
        <f t="shared" si="390"/>
        <v>0</v>
      </c>
      <c r="N457" s="337">
        <f t="shared" si="391"/>
        <v>4</v>
      </c>
      <c r="O457" s="395">
        <f t="shared" si="392"/>
        <v>-7</v>
      </c>
      <c r="P457" s="289">
        <f t="shared" si="393"/>
        <v>0</v>
      </c>
      <c r="Q457" s="460">
        <f>WEEKNUM(tblResultadosNBA[[#This Row],[Fecha]],2)</f>
        <v>52</v>
      </c>
      <c r="R457" s="460" t="str">
        <f>TEXT(tblResultadosNBA[[#This Row],[Fecha]],"mmm")</f>
        <v>dic</v>
      </c>
    </row>
    <row r="458" spans="1:18">
      <c r="A458" s="439">
        <v>46017</v>
      </c>
      <c r="B458" s="302" t="s">
        <v>598</v>
      </c>
      <c r="C458" s="177" t="str">
        <f t="shared" si="384"/>
        <v>Detroit Pistons</v>
      </c>
      <c r="D458" s="177">
        <v>116</v>
      </c>
      <c r="E458" s="336">
        <v>129</v>
      </c>
      <c r="F458" s="327">
        <f t="shared" si="385"/>
        <v>1</v>
      </c>
      <c r="G458" s="177" t="str">
        <f t="shared" si="386"/>
        <v>Utah Jazz</v>
      </c>
      <c r="H458" s="177">
        <v>124</v>
      </c>
      <c r="I458" s="336">
        <v>131</v>
      </c>
      <c r="J458" s="327">
        <f t="shared" si="387"/>
        <v>1</v>
      </c>
      <c r="K458" s="177">
        <f t="shared" si="388"/>
        <v>240</v>
      </c>
      <c r="L458" s="336">
        <f t="shared" si="389"/>
        <v>260</v>
      </c>
      <c r="M458" s="327">
        <f t="shared" si="390"/>
        <v>1</v>
      </c>
      <c r="N458" s="337">
        <f t="shared" si="391"/>
        <v>8</v>
      </c>
      <c r="O458" s="395">
        <f t="shared" si="392"/>
        <v>2</v>
      </c>
      <c r="P458" s="289">
        <f t="shared" si="393"/>
        <v>1</v>
      </c>
      <c r="Q458" s="460">
        <f>WEEKNUM(tblResultadosNBA[[#This Row],[Fecha]],2)</f>
        <v>52</v>
      </c>
      <c r="R458" s="460" t="str">
        <f>TEXT(tblResultadosNBA[[#This Row],[Fecha]],"mmm")</f>
        <v>dic</v>
      </c>
    </row>
    <row r="459" spans="1:18">
      <c r="A459" s="446">
        <v>46017</v>
      </c>
      <c r="B459" s="331" t="s">
        <v>232</v>
      </c>
      <c r="C459" s="286" t="str">
        <f t="shared" si="384"/>
        <v>LA Clippers</v>
      </c>
      <c r="D459" s="286">
        <v>119</v>
      </c>
      <c r="E459" s="431">
        <v>119</v>
      </c>
      <c r="F459" s="332">
        <f t="shared" si="385"/>
        <v>0</v>
      </c>
      <c r="G459" s="286" t="str">
        <f t="shared" si="386"/>
        <v>Portland Trail Blazers</v>
      </c>
      <c r="H459" s="286">
        <v>116</v>
      </c>
      <c r="I459" s="431">
        <v>103</v>
      </c>
      <c r="J459" s="332">
        <f t="shared" si="387"/>
        <v>0</v>
      </c>
      <c r="K459" s="286">
        <f t="shared" si="388"/>
        <v>235</v>
      </c>
      <c r="L459" s="431">
        <f t="shared" si="389"/>
        <v>222</v>
      </c>
      <c r="M459" s="332">
        <f t="shared" si="390"/>
        <v>0</v>
      </c>
      <c r="N459" s="432">
        <f t="shared" si="391"/>
        <v>-3</v>
      </c>
      <c r="O459" s="451">
        <f t="shared" si="392"/>
        <v>-16</v>
      </c>
      <c r="P459" s="433">
        <f t="shared" si="393"/>
        <v>1</v>
      </c>
      <c r="Q459" s="460">
        <f>WEEKNUM(tblResultadosNBA[[#This Row],[Fecha]],2)</f>
        <v>52</v>
      </c>
      <c r="R459" s="460" t="str">
        <f>TEXT(tblResultadosNBA[[#This Row],[Fecha]],"mmm")</f>
        <v>dic</v>
      </c>
    </row>
    <row r="460" spans="1:18">
      <c r="A460" s="439">
        <v>46018</v>
      </c>
      <c r="B460" s="422" t="s">
        <v>233</v>
      </c>
      <c r="C460" s="341" t="str">
        <f>LEFT(B460,FIND("@",B460)-2)</f>
        <v>Dallas Mavericks</v>
      </c>
      <c r="D460" s="341">
        <v>128</v>
      </c>
      <c r="E460" s="342">
        <v>107</v>
      </c>
      <c r="F460" s="333">
        <f>IF(E460&gt;D460, 1, 0)</f>
        <v>0</v>
      </c>
      <c r="G460" s="341" t="str">
        <f>MID(B460,FIND("@",B460)+2,LEN(B460)-FIND("@",B460)-1)</f>
        <v>Sacramento Kings</v>
      </c>
      <c r="H460" s="341">
        <v>119</v>
      </c>
      <c r="I460" s="342">
        <v>113</v>
      </c>
      <c r="J460" s="333">
        <f>IF(I460&gt;H460, 1, 0)</f>
        <v>0</v>
      </c>
      <c r="K460" s="341">
        <f>+D460+H460</f>
        <v>247</v>
      </c>
      <c r="L460" s="342">
        <f>E460+I460</f>
        <v>220</v>
      </c>
      <c r="M460" s="333">
        <f>IF(L460&gt;K460, 1, 0)</f>
        <v>0</v>
      </c>
      <c r="N460" s="343">
        <f>(+H460-D460)</f>
        <v>-9</v>
      </c>
      <c r="O460" s="449">
        <f>I460-E460</f>
        <v>6</v>
      </c>
      <c r="P460" s="289">
        <f>IF(OR(AND(N460&gt;0,O460&gt;0),AND(N460&lt;0,O460&lt;0)),1,0)</f>
        <v>0</v>
      </c>
      <c r="Q460" s="460">
        <f>WEEKNUM(tblResultadosNBA[[#This Row],[Fecha]],2)</f>
        <v>52</v>
      </c>
      <c r="R460" s="460" t="str">
        <f>TEXT(tblResultadosNBA[[#This Row],[Fecha]],"mmm")</f>
        <v>dic</v>
      </c>
    </row>
    <row r="461" spans="1:18">
      <c r="A461" s="439">
        <v>46018</v>
      </c>
      <c r="B461" s="302" t="s">
        <v>599</v>
      </c>
      <c r="C461" s="177" t="str">
        <f t="shared" ref="C461:C465" si="394">LEFT(B461,FIND("@",B461)-2)</f>
        <v>Denver Nuggets</v>
      </c>
      <c r="D461" s="177">
        <v>116</v>
      </c>
      <c r="E461" s="336">
        <v>126</v>
      </c>
      <c r="F461" s="327">
        <f t="shared" ref="F461:F465" si="395">IF(E461&gt;D461, 1, 0)</f>
        <v>1</v>
      </c>
      <c r="G461" s="177" t="str">
        <f t="shared" ref="G461:G465" si="396">MID(B461,FIND("@",B461)+2,LEN(B461)-FIND("@",B461)-1)</f>
        <v>Orlando Magic</v>
      </c>
      <c r="H461" s="177">
        <v>113</v>
      </c>
      <c r="I461" s="336">
        <v>127</v>
      </c>
      <c r="J461" s="327">
        <f t="shared" ref="J461:J465" si="397">IF(I461&gt;H461, 1, 0)</f>
        <v>1</v>
      </c>
      <c r="K461" s="177">
        <f t="shared" ref="K461:K465" si="398">+D461+H461</f>
        <v>229</v>
      </c>
      <c r="L461" s="336">
        <f t="shared" ref="L461:L465" si="399">E461+I461</f>
        <v>253</v>
      </c>
      <c r="M461" s="327">
        <f t="shared" ref="M461:M465" si="400">IF(L461&gt;K461, 1, 0)</f>
        <v>1</v>
      </c>
      <c r="N461" s="337">
        <f t="shared" ref="N461:N465" si="401">(+H461-D461)</f>
        <v>-3</v>
      </c>
      <c r="O461" s="395">
        <f t="shared" ref="O461:O465" si="402">I461-E461</f>
        <v>1</v>
      </c>
      <c r="P461" s="289">
        <f t="shared" ref="P461:P465" si="403">IF(OR(AND(N461&gt;0,O461&gt;0),AND(N461&lt;0,O461&lt;0)),1,0)</f>
        <v>0</v>
      </c>
      <c r="Q461" s="460">
        <f>WEEKNUM(tblResultadosNBA[[#This Row],[Fecha]],2)</f>
        <v>52</v>
      </c>
      <c r="R461" s="460" t="str">
        <f>TEXT(tblResultadosNBA[[#This Row],[Fecha]],"mmm")</f>
        <v>dic</v>
      </c>
    </row>
    <row r="462" spans="1:18">
      <c r="A462" s="439">
        <v>46018</v>
      </c>
      <c r="B462" s="302" t="s">
        <v>231</v>
      </c>
      <c r="C462" s="177" t="str">
        <f t="shared" si="394"/>
        <v>Phoenix Suns</v>
      </c>
      <c r="D462" s="177">
        <v>109</v>
      </c>
      <c r="E462" s="336">
        <v>123</v>
      </c>
      <c r="F462" s="327">
        <f t="shared" si="395"/>
        <v>1</v>
      </c>
      <c r="G462" s="177" t="str">
        <f t="shared" si="396"/>
        <v>New Orleans Pelicans</v>
      </c>
      <c r="H462" s="177">
        <v>126</v>
      </c>
      <c r="I462" s="336">
        <v>114</v>
      </c>
      <c r="J462" s="327">
        <f t="shared" si="397"/>
        <v>0</v>
      </c>
      <c r="K462" s="177">
        <f t="shared" si="398"/>
        <v>235</v>
      </c>
      <c r="L462" s="336">
        <f t="shared" si="399"/>
        <v>237</v>
      </c>
      <c r="M462" s="327">
        <f t="shared" si="400"/>
        <v>1</v>
      </c>
      <c r="N462" s="337">
        <f t="shared" si="401"/>
        <v>17</v>
      </c>
      <c r="O462" s="395">
        <f t="shared" si="402"/>
        <v>-9</v>
      </c>
      <c r="P462" s="289">
        <f t="shared" si="403"/>
        <v>0</v>
      </c>
      <c r="Q462" s="460">
        <f>WEEKNUM(tblResultadosNBA[[#This Row],[Fecha]],2)</f>
        <v>52</v>
      </c>
      <c r="R462" s="460" t="str">
        <f>TEXT(tblResultadosNBA[[#This Row],[Fecha]],"mmm")</f>
        <v>dic</v>
      </c>
    </row>
    <row r="463" spans="1:18">
      <c r="A463" s="439">
        <v>46018</v>
      </c>
      <c r="B463" s="302" t="s">
        <v>234</v>
      </c>
      <c r="C463" s="177" t="str">
        <f t="shared" si="394"/>
        <v>New York Knicks</v>
      </c>
      <c r="D463" s="177">
        <v>122</v>
      </c>
      <c r="E463" s="336">
        <v>128</v>
      </c>
      <c r="F463" s="327">
        <f t="shared" si="395"/>
        <v>1</v>
      </c>
      <c r="G463" s="177" t="str">
        <f t="shared" si="396"/>
        <v>Atlanta Hawks</v>
      </c>
      <c r="H463" s="177">
        <v>133</v>
      </c>
      <c r="I463" s="336">
        <v>125</v>
      </c>
      <c r="J463" s="327">
        <f t="shared" si="397"/>
        <v>0</v>
      </c>
      <c r="K463" s="177">
        <f t="shared" si="398"/>
        <v>255</v>
      </c>
      <c r="L463" s="336">
        <f t="shared" si="399"/>
        <v>253</v>
      </c>
      <c r="M463" s="327">
        <f t="shared" si="400"/>
        <v>0</v>
      </c>
      <c r="N463" s="337">
        <f t="shared" si="401"/>
        <v>11</v>
      </c>
      <c r="O463" s="395">
        <f t="shared" si="402"/>
        <v>-3</v>
      </c>
      <c r="P463" s="289">
        <f t="shared" si="403"/>
        <v>0</v>
      </c>
      <c r="Q463" s="460">
        <f>WEEKNUM(tblResultadosNBA[[#This Row],[Fecha]],2)</f>
        <v>52</v>
      </c>
      <c r="R463" s="460" t="str">
        <f>TEXT(tblResultadosNBA[[#This Row],[Fecha]],"mmm")</f>
        <v>dic</v>
      </c>
    </row>
    <row r="464" spans="1:18">
      <c r="A464" s="439">
        <v>46018</v>
      </c>
      <c r="B464" s="302" t="s">
        <v>600</v>
      </c>
      <c r="C464" s="177" t="str">
        <f t="shared" si="394"/>
        <v>Indiana Pacers</v>
      </c>
      <c r="D464" s="177">
        <v>116</v>
      </c>
      <c r="E464" s="336">
        <v>116</v>
      </c>
      <c r="F464" s="327">
        <f t="shared" si="395"/>
        <v>0</v>
      </c>
      <c r="G464" s="177" t="str">
        <f t="shared" si="396"/>
        <v>Miami Heat</v>
      </c>
      <c r="H464" s="177">
        <v>113</v>
      </c>
      <c r="I464" s="336">
        <v>142</v>
      </c>
      <c r="J464" s="327">
        <f t="shared" si="397"/>
        <v>1</v>
      </c>
      <c r="K464" s="177">
        <f t="shared" si="398"/>
        <v>229</v>
      </c>
      <c r="L464" s="336">
        <f t="shared" si="399"/>
        <v>258</v>
      </c>
      <c r="M464" s="327">
        <f t="shared" si="400"/>
        <v>1</v>
      </c>
      <c r="N464" s="337">
        <f t="shared" si="401"/>
        <v>-3</v>
      </c>
      <c r="O464" s="395">
        <f t="shared" si="402"/>
        <v>26</v>
      </c>
      <c r="P464" s="289">
        <f t="shared" si="403"/>
        <v>0</v>
      </c>
      <c r="Q464" s="460">
        <f>WEEKNUM(tblResultadosNBA[[#This Row],[Fecha]],2)</f>
        <v>52</v>
      </c>
      <c r="R464" s="460" t="str">
        <f>TEXT(tblResultadosNBA[[#This Row],[Fecha]],"mmm")</f>
        <v>dic</v>
      </c>
    </row>
    <row r="465" spans="1:18">
      <c r="A465" s="439">
        <v>46018</v>
      </c>
      <c r="B465" s="302" t="s">
        <v>235</v>
      </c>
      <c r="C465" s="177" t="str">
        <f t="shared" si="394"/>
        <v>Milwaukee Bucks</v>
      </c>
      <c r="D465" s="177">
        <v>116</v>
      </c>
      <c r="E465" s="336">
        <v>112</v>
      </c>
      <c r="F465" s="327">
        <f t="shared" si="395"/>
        <v>0</v>
      </c>
      <c r="G465" s="177" t="str">
        <f t="shared" si="396"/>
        <v>Chicago Bulls</v>
      </c>
      <c r="H465" s="177">
        <v>121</v>
      </c>
      <c r="I465" s="336">
        <v>103</v>
      </c>
      <c r="J465" s="327">
        <f t="shared" si="397"/>
        <v>0</v>
      </c>
      <c r="K465" s="177">
        <f t="shared" si="398"/>
        <v>237</v>
      </c>
      <c r="L465" s="336">
        <f t="shared" si="399"/>
        <v>215</v>
      </c>
      <c r="M465" s="327">
        <f t="shared" si="400"/>
        <v>0</v>
      </c>
      <c r="N465" s="337">
        <f t="shared" si="401"/>
        <v>5</v>
      </c>
      <c r="O465" s="395">
        <f t="shared" si="402"/>
        <v>-9</v>
      </c>
      <c r="P465" s="289">
        <f t="shared" si="403"/>
        <v>0</v>
      </c>
      <c r="Q465" s="460">
        <f>WEEKNUM(tblResultadosNBA[[#This Row],[Fecha]],2)</f>
        <v>52</v>
      </c>
      <c r="R465" s="460" t="str">
        <f>TEXT(tblResultadosNBA[[#This Row],[Fecha]],"mmm")</f>
        <v>dic</v>
      </c>
    </row>
    <row r="466" spans="1:18">
      <c r="A466" s="439">
        <v>46018</v>
      </c>
      <c r="B466" s="302" t="s">
        <v>601</v>
      </c>
      <c r="C466" s="177" t="str">
        <f t="shared" ref="C466:C468" si="404">LEFT(B466,FIND("@",B466)-2)</f>
        <v>Cleveland Cavaliers</v>
      </c>
      <c r="D466" s="177">
        <v>118</v>
      </c>
      <c r="E466" s="336">
        <v>100</v>
      </c>
      <c r="F466" s="327">
        <f t="shared" ref="F466:F468" si="405">IF(E466&gt;D466, 1, 0)</f>
        <v>0</v>
      </c>
      <c r="G466" s="177" t="str">
        <f t="shared" ref="G466:G468" si="406">MID(B466,FIND("@",B466)+2,LEN(B466)-FIND("@",B466)-1)</f>
        <v>Houston Rockets</v>
      </c>
      <c r="H466" s="177">
        <v>114</v>
      </c>
      <c r="I466" s="336">
        <v>117</v>
      </c>
      <c r="J466" s="327">
        <f t="shared" ref="J466:J468" si="407">IF(I466&gt;H466, 1, 0)</f>
        <v>1</v>
      </c>
      <c r="K466" s="177">
        <f t="shared" ref="K466:K468" si="408">+D466+H466</f>
        <v>232</v>
      </c>
      <c r="L466" s="336">
        <f t="shared" ref="L466:L468" si="409">E466+I466</f>
        <v>217</v>
      </c>
      <c r="M466" s="327">
        <f t="shared" ref="M466:M468" si="410">IF(L466&gt;K466, 1, 0)</f>
        <v>0</v>
      </c>
      <c r="N466" s="337">
        <f t="shared" ref="N466:N468" si="411">(+H466-D466)</f>
        <v>-4</v>
      </c>
      <c r="O466" s="395">
        <f t="shared" ref="O466:O468" si="412">I466-E466</f>
        <v>17</v>
      </c>
      <c r="P466" s="289">
        <f t="shared" ref="P466:P468" si="413">IF(OR(AND(N466&gt;0,O466&gt;0),AND(N466&lt;0,O466&lt;0)),1,0)</f>
        <v>0</v>
      </c>
      <c r="Q466" s="460">
        <f>WEEKNUM(tblResultadosNBA[[#This Row],[Fecha]],2)</f>
        <v>52</v>
      </c>
      <c r="R466" s="460" t="str">
        <f>TEXT(tblResultadosNBA[[#This Row],[Fecha]],"mmm")</f>
        <v>dic</v>
      </c>
    </row>
    <row r="467" spans="1:18">
      <c r="A467" s="439">
        <v>46018</v>
      </c>
      <c r="B467" s="302" t="s">
        <v>602</v>
      </c>
      <c r="C467" s="177" t="str">
        <f t="shared" si="404"/>
        <v>Brooklyn Nets</v>
      </c>
      <c r="D467" s="177">
        <v>104</v>
      </c>
      <c r="E467" s="336">
        <v>123</v>
      </c>
      <c r="F467" s="327">
        <f t="shared" si="405"/>
        <v>1</v>
      </c>
      <c r="G467" s="177" t="str">
        <f t="shared" si="406"/>
        <v>Minnesota Timberwolves</v>
      </c>
      <c r="H467" s="177">
        <v>118</v>
      </c>
      <c r="I467" s="336">
        <v>107</v>
      </c>
      <c r="J467" s="327">
        <f t="shared" si="407"/>
        <v>0</v>
      </c>
      <c r="K467" s="177">
        <f t="shared" si="408"/>
        <v>222</v>
      </c>
      <c r="L467" s="336">
        <f t="shared" si="409"/>
        <v>230</v>
      </c>
      <c r="M467" s="327">
        <f t="shared" si="410"/>
        <v>1</v>
      </c>
      <c r="N467" s="337">
        <f t="shared" si="411"/>
        <v>14</v>
      </c>
      <c r="O467" s="395">
        <f t="shared" si="412"/>
        <v>-16</v>
      </c>
      <c r="P467" s="450">
        <f t="shared" si="413"/>
        <v>0</v>
      </c>
      <c r="Q467" s="460">
        <f>WEEKNUM(tblResultadosNBA[[#This Row],[Fecha]],2)</f>
        <v>52</v>
      </c>
      <c r="R467" s="460" t="str">
        <f>TEXT(tblResultadosNBA[[#This Row],[Fecha]],"mmm")</f>
        <v>dic</v>
      </c>
    </row>
    <row r="468" spans="1:18">
      <c r="A468" s="528">
        <v>46018</v>
      </c>
      <c r="B468" s="521" t="s">
        <v>236</v>
      </c>
      <c r="C468" s="522" t="str">
        <f t="shared" si="404"/>
        <v>Utah Jazz</v>
      </c>
      <c r="D468" s="522">
        <v>125</v>
      </c>
      <c r="E468" s="523">
        <v>127</v>
      </c>
      <c r="F468" s="524">
        <f t="shared" si="405"/>
        <v>1</v>
      </c>
      <c r="G468" s="522" t="str">
        <f t="shared" si="406"/>
        <v>San Antonio Spurs</v>
      </c>
      <c r="H468" s="522">
        <v>129</v>
      </c>
      <c r="I468" s="523">
        <v>114</v>
      </c>
      <c r="J468" s="524">
        <f t="shared" si="407"/>
        <v>0</v>
      </c>
      <c r="K468" s="522">
        <f t="shared" si="408"/>
        <v>254</v>
      </c>
      <c r="L468" s="523">
        <f t="shared" si="409"/>
        <v>241</v>
      </c>
      <c r="M468" s="524">
        <f t="shared" si="410"/>
        <v>0</v>
      </c>
      <c r="N468" s="525">
        <f t="shared" si="411"/>
        <v>4</v>
      </c>
      <c r="O468" s="526">
        <f t="shared" si="412"/>
        <v>-13</v>
      </c>
      <c r="P468" s="401">
        <f t="shared" si="413"/>
        <v>0</v>
      </c>
      <c r="Q468" s="460">
        <f>WEEKNUM(tblResultadosNBA[[#This Row],[Fecha]],2)</f>
        <v>52</v>
      </c>
      <c r="R468" s="460" t="str">
        <f>TEXT(tblResultadosNBA[[#This Row],[Fecha]],"mmm")</f>
        <v>dic</v>
      </c>
    </row>
    <row r="469" spans="1:18">
      <c r="A469" s="439">
        <v>46019</v>
      </c>
      <c r="B469" s="422" t="s">
        <v>237</v>
      </c>
      <c r="C469" s="341" t="str">
        <f>LEFT(B469,FIND("@",B469)-2)</f>
        <v>Golden State Warriors</v>
      </c>
      <c r="D469" s="341">
        <v>127</v>
      </c>
      <c r="E469" s="342">
        <v>127</v>
      </c>
      <c r="F469" s="333">
        <f>IF(E469&gt;D469, 1, 0)</f>
        <v>0</v>
      </c>
      <c r="G469" s="341" t="str">
        <f>MID(B469,FIND("@",B469)+2,LEN(B469)-FIND("@",B469)-1)</f>
        <v>Toronto Raptors</v>
      </c>
      <c r="H469" s="341">
        <v>123</v>
      </c>
      <c r="I469" s="342">
        <v>141</v>
      </c>
      <c r="J469" s="333">
        <f>IF(I469&gt;H469, 1, 0)</f>
        <v>1</v>
      </c>
      <c r="K469" s="341">
        <f>+D469+H469</f>
        <v>250</v>
      </c>
      <c r="L469" s="342">
        <f>E469+I469</f>
        <v>268</v>
      </c>
      <c r="M469" s="333">
        <f>IF(L469&gt;K469, 1, 0)</f>
        <v>1</v>
      </c>
      <c r="N469" s="343">
        <f>(+H469-D469)</f>
        <v>-4</v>
      </c>
      <c r="O469" s="449">
        <f>I469-E469</f>
        <v>14</v>
      </c>
      <c r="P469" s="289">
        <f>IF(OR(AND(N469&gt;0,O469&gt;0),AND(N469&lt;0,O469&lt;0)),1,0)</f>
        <v>0</v>
      </c>
      <c r="Q469" s="460">
        <f>WEEKNUM(tblResultadosNBA[[#This Row],[Fecha]],2)</f>
        <v>52</v>
      </c>
      <c r="R469" s="460" t="str">
        <f>TEXT(tblResultadosNBA[[#This Row],[Fecha]],"mmm")</f>
        <v>dic</v>
      </c>
    </row>
    <row r="470" spans="1:18">
      <c r="A470" s="439">
        <v>46019</v>
      </c>
      <c r="B470" s="302" t="s">
        <v>238</v>
      </c>
      <c r="C470" s="177" t="str">
        <f t="shared" ref="C470:C474" si="414">LEFT(B470,FIND("@",B470)-2)</f>
        <v>Philadelphia 76ers</v>
      </c>
      <c r="D470" s="177">
        <v>110</v>
      </c>
      <c r="E470" s="336">
        <v>104</v>
      </c>
      <c r="F470" s="327">
        <f t="shared" ref="F470:F474" si="415">IF(E470&gt;D470, 1, 0)</f>
        <v>0</v>
      </c>
      <c r="G470" s="177" t="str">
        <f t="shared" ref="G470:G474" si="416">MID(B470,FIND("@",B470)+2,LEN(B470)-FIND("@",B470)-1)</f>
        <v>Oklahoma City Thunder</v>
      </c>
      <c r="H470" s="177">
        <v>123</v>
      </c>
      <c r="I470" s="336">
        <v>129</v>
      </c>
      <c r="J470" s="327">
        <f t="shared" ref="J470:J474" si="417">IF(I470&gt;H470, 1, 0)</f>
        <v>1</v>
      </c>
      <c r="K470" s="177">
        <f t="shared" ref="K470:K474" si="418">+D470+H470</f>
        <v>233</v>
      </c>
      <c r="L470" s="336">
        <f t="shared" ref="L470:L474" si="419">E470+I470</f>
        <v>233</v>
      </c>
      <c r="M470" s="327">
        <f t="shared" ref="M470:M474" si="420">IF(L470&gt;K470, 1, 0)</f>
        <v>0</v>
      </c>
      <c r="N470" s="337">
        <f t="shared" ref="N470:N474" si="421">(+H470-D470)</f>
        <v>13</v>
      </c>
      <c r="O470" s="395">
        <f t="shared" ref="O470:O474" si="422">I470-E470</f>
        <v>25</v>
      </c>
      <c r="P470" s="289">
        <f t="shared" ref="P470:P474" si="423">IF(OR(AND(N470&gt;0,O470&gt;0),AND(N470&lt;0,O470&lt;0)),1,0)</f>
        <v>1</v>
      </c>
      <c r="Q470" s="460">
        <f>WEEKNUM(tblResultadosNBA[[#This Row],[Fecha]],2)</f>
        <v>52</v>
      </c>
      <c r="R470" s="460" t="str">
        <f>TEXT(tblResultadosNBA[[#This Row],[Fecha]],"mmm")</f>
        <v>dic</v>
      </c>
    </row>
    <row r="471" spans="1:18">
      <c r="A471" s="439">
        <v>46019</v>
      </c>
      <c r="B471" s="302" t="s">
        <v>239</v>
      </c>
      <c r="C471" s="177" t="str">
        <f t="shared" si="414"/>
        <v>Memphis Grizzlies</v>
      </c>
      <c r="D471" s="177">
        <v>110</v>
      </c>
      <c r="E471" s="336">
        <v>112</v>
      </c>
      <c r="F471" s="327">
        <f t="shared" si="415"/>
        <v>1</v>
      </c>
      <c r="G471" s="177" t="str">
        <f t="shared" si="416"/>
        <v>Washington Wizards</v>
      </c>
      <c r="H471" s="177">
        <v>139</v>
      </c>
      <c r="I471" s="336">
        <v>116</v>
      </c>
      <c r="J471" s="327">
        <f t="shared" si="417"/>
        <v>0</v>
      </c>
      <c r="K471" s="177">
        <f t="shared" si="418"/>
        <v>249</v>
      </c>
      <c r="L471" s="336">
        <f t="shared" si="419"/>
        <v>228</v>
      </c>
      <c r="M471" s="327">
        <f t="shared" si="420"/>
        <v>0</v>
      </c>
      <c r="N471" s="337">
        <f t="shared" si="421"/>
        <v>29</v>
      </c>
      <c r="O471" s="395">
        <f t="shared" si="422"/>
        <v>4</v>
      </c>
      <c r="P471" s="289">
        <f t="shared" si="423"/>
        <v>1</v>
      </c>
      <c r="Q471" s="460">
        <f>WEEKNUM(tblResultadosNBA[[#This Row],[Fecha]],2)</f>
        <v>52</v>
      </c>
      <c r="R471" s="460" t="str">
        <f>TEXT(tblResultadosNBA[[#This Row],[Fecha]],"mmm")</f>
        <v>dic</v>
      </c>
    </row>
    <row r="472" spans="1:18">
      <c r="A472" s="439">
        <v>46019</v>
      </c>
      <c r="B472" s="302" t="s">
        <v>240</v>
      </c>
      <c r="C472" s="177" t="str">
        <f t="shared" si="414"/>
        <v>Boston Celtics</v>
      </c>
      <c r="D472" s="177">
        <v>117</v>
      </c>
      <c r="E472" s="336">
        <v>108</v>
      </c>
      <c r="F472" s="327">
        <f t="shared" si="415"/>
        <v>0</v>
      </c>
      <c r="G472" s="177" t="str">
        <f t="shared" si="416"/>
        <v>Portland Trail Blazers</v>
      </c>
      <c r="H472" s="177">
        <v>120</v>
      </c>
      <c r="I472" s="336">
        <v>114</v>
      </c>
      <c r="J472" s="327">
        <f t="shared" si="417"/>
        <v>0</v>
      </c>
      <c r="K472" s="177">
        <f t="shared" si="418"/>
        <v>237</v>
      </c>
      <c r="L472" s="336">
        <f t="shared" si="419"/>
        <v>222</v>
      </c>
      <c r="M472" s="327">
        <f t="shared" si="420"/>
        <v>0</v>
      </c>
      <c r="N472" s="337">
        <f t="shared" si="421"/>
        <v>3</v>
      </c>
      <c r="O472" s="395">
        <f t="shared" si="422"/>
        <v>6</v>
      </c>
      <c r="P472" s="289">
        <f t="shared" si="423"/>
        <v>1</v>
      </c>
      <c r="Q472" s="460">
        <f>WEEKNUM(tblResultadosNBA[[#This Row],[Fecha]],2)</f>
        <v>52</v>
      </c>
      <c r="R472" s="460" t="str">
        <f>TEXT(tblResultadosNBA[[#This Row],[Fecha]],"mmm")</f>
        <v>dic</v>
      </c>
    </row>
    <row r="473" spans="1:18">
      <c r="A473" s="439">
        <v>46019</v>
      </c>
      <c r="B473" s="302" t="s">
        <v>241</v>
      </c>
      <c r="C473" s="177" t="str">
        <f t="shared" si="414"/>
        <v>Detroit Pistons</v>
      </c>
      <c r="D473" s="177">
        <v>118</v>
      </c>
      <c r="E473" s="336">
        <v>99</v>
      </c>
      <c r="F473" s="327">
        <f t="shared" si="415"/>
        <v>0</v>
      </c>
      <c r="G473" s="177" t="str">
        <f t="shared" si="416"/>
        <v>LA Clippers</v>
      </c>
      <c r="H473" s="177">
        <v>106</v>
      </c>
      <c r="I473" s="336">
        <v>112</v>
      </c>
      <c r="J473" s="327">
        <f t="shared" si="417"/>
        <v>1</v>
      </c>
      <c r="K473" s="177">
        <f t="shared" si="418"/>
        <v>224</v>
      </c>
      <c r="L473" s="336">
        <f t="shared" si="419"/>
        <v>211</v>
      </c>
      <c r="M473" s="327">
        <f t="shared" si="420"/>
        <v>0</v>
      </c>
      <c r="N473" s="337">
        <f t="shared" si="421"/>
        <v>-12</v>
      </c>
      <c r="O473" s="395">
        <f t="shared" si="422"/>
        <v>13</v>
      </c>
      <c r="P473" s="289">
        <f t="shared" si="423"/>
        <v>0</v>
      </c>
      <c r="Q473" s="460">
        <f>WEEKNUM(tblResultadosNBA[[#This Row],[Fecha]],2)</f>
        <v>52</v>
      </c>
      <c r="R473" s="460" t="str">
        <f>TEXT(tblResultadosNBA[[#This Row],[Fecha]],"mmm")</f>
        <v>dic</v>
      </c>
    </row>
    <row r="474" spans="1:18">
      <c r="A474" s="446">
        <v>46019</v>
      </c>
      <c r="B474" s="331" t="s">
        <v>242</v>
      </c>
      <c r="C474" s="286" t="str">
        <f t="shared" si="414"/>
        <v>Sacramento Kings</v>
      </c>
      <c r="D474" s="286">
        <v>111</v>
      </c>
      <c r="E474" s="431">
        <v>101</v>
      </c>
      <c r="F474" s="332">
        <f t="shared" si="415"/>
        <v>0</v>
      </c>
      <c r="G474" s="286" t="str">
        <f t="shared" si="416"/>
        <v>Los Angeles Lakers</v>
      </c>
      <c r="H474" s="286">
        <v>124</v>
      </c>
      <c r="I474" s="431">
        <v>125</v>
      </c>
      <c r="J474" s="332">
        <f t="shared" si="417"/>
        <v>1</v>
      </c>
      <c r="K474" s="286">
        <f t="shared" si="418"/>
        <v>235</v>
      </c>
      <c r="L474" s="431">
        <f t="shared" si="419"/>
        <v>226</v>
      </c>
      <c r="M474" s="332">
        <f t="shared" si="420"/>
        <v>0</v>
      </c>
      <c r="N474" s="432">
        <f t="shared" si="421"/>
        <v>13</v>
      </c>
      <c r="O474" s="451">
        <f t="shared" si="422"/>
        <v>24</v>
      </c>
      <c r="P474" s="433">
        <f t="shared" si="423"/>
        <v>1</v>
      </c>
      <c r="Q474" s="460">
        <f>WEEKNUM(tblResultadosNBA[[#This Row],[Fecha]],2)</f>
        <v>52</v>
      </c>
      <c r="R474" s="460" t="str">
        <f>TEXT(tblResultadosNBA[[#This Row],[Fecha]],"mmm")</f>
        <v>dic</v>
      </c>
    </row>
    <row r="475" spans="1:18">
      <c r="A475" s="439">
        <v>46020</v>
      </c>
      <c r="B475" s="422" t="s">
        <v>39</v>
      </c>
      <c r="C475" s="341" t="str">
        <f>LEFT(B475,FIND("@",B475)-2)</f>
        <v>Milwaukee Bucks</v>
      </c>
      <c r="D475" s="341">
        <v>129</v>
      </c>
      <c r="E475" s="342">
        <v>123</v>
      </c>
      <c r="F475" s="333">
        <f>IF(E475&gt;D475, 1, 0)</f>
        <v>0</v>
      </c>
      <c r="G475" s="341" t="str">
        <f>MID(B475,FIND("@",B475)+2,LEN(B475)-FIND("@",B475)-1)</f>
        <v>Charlotte Hornets</v>
      </c>
      <c r="H475" s="341">
        <v>116</v>
      </c>
      <c r="I475" s="342">
        <v>113</v>
      </c>
      <c r="J475" s="333">
        <f>IF(I475&gt;H475, 1, 0)</f>
        <v>0</v>
      </c>
      <c r="K475" s="341">
        <f>+D475+H475</f>
        <v>245</v>
      </c>
      <c r="L475" s="342">
        <f>E475+I475</f>
        <v>236</v>
      </c>
      <c r="M475" s="333">
        <f>IF(L475&gt;K475, 1, 0)</f>
        <v>0</v>
      </c>
      <c r="N475" s="343">
        <f>(+H475-D475)</f>
        <v>-13</v>
      </c>
      <c r="O475" s="449">
        <f>I475-E475</f>
        <v>-10</v>
      </c>
      <c r="P475" s="289">
        <f>IF(OR(AND(N475&gt;0,O475&gt;0),AND(N475&lt;0,O475&lt;0)),1,0)</f>
        <v>1</v>
      </c>
      <c r="Q475" s="460">
        <f>WEEKNUM(tblResultadosNBA[[#This Row],[Fecha]],2)</f>
        <v>53</v>
      </c>
      <c r="R475" s="460" t="str">
        <f>TEXT(tblResultadosNBA[[#This Row],[Fecha]],"mmm")</f>
        <v>dic</v>
      </c>
    </row>
    <row r="476" spans="1:18">
      <c r="A476" s="419">
        <v>46020</v>
      </c>
      <c r="B476" s="302" t="s">
        <v>243</v>
      </c>
      <c r="C476" s="177" t="str">
        <f t="shared" ref="C476:C484" si="424">LEFT(B476,FIND("@",B476)-2)</f>
        <v>Phoenix Suns</v>
      </c>
      <c r="D476" s="177">
        <v>120</v>
      </c>
      <c r="E476" s="336">
        <v>115</v>
      </c>
      <c r="F476" s="327">
        <f t="shared" ref="F476:F484" si="425">IF(E476&gt;D476, 1, 0)</f>
        <v>0</v>
      </c>
      <c r="G476" s="177" t="str">
        <f t="shared" ref="G476:G484" si="426">MID(B476,FIND("@",B476)+2,LEN(B476)-FIND("@",B476)-1)</f>
        <v>Washington Wizards</v>
      </c>
      <c r="H476" s="177">
        <v>130</v>
      </c>
      <c r="I476" s="336">
        <v>101</v>
      </c>
      <c r="J476" s="327">
        <f t="shared" ref="J476:J484" si="427">IF(I476&gt;H476, 1, 0)</f>
        <v>0</v>
      </c>
      <c r="K476" s="177">
        <f t="shared" ref="K476:K484" si="428">+D476+H476</f>
        <v>250</v>
      </c>
      <c r="L476" s="336">
        <f t="shared" ref="L476:L484" si="429">E476+I476</f>
        <v>216</v>
      </c>
      <c r="M476" s="327">
        <f t="shared" ref="M476:M484" si="430">IF(L476&gt;K476, 1, 0)</f>
        <v>0</v>
      </c>
      <c r="N476" s="337">
        <f t="shared" ref="N476:N484" si="431">(+H476-D476)</f>
        <v>10</v>
      </c>
      <c r="O476" s="395">
        <f t="shared" ref="O476:O484" si="432">I476-E476</f>
        <v>-14</v>
      </c>
      <c r="P476" s="289">
        <f t="shared" ref="P476:P484" si="433">IF(OR(AND(N476&gt;0,O476&gt;0),AND(N476&lt;0,O476&lt;0)),1,0)</f>
        <v>0</v>
      </c>
      <c r="Q476" s="460">
        <f>WEEKNUM(tblResultadosNBA[[#This Row],[Fecha]],2)</f>
        <v>53</v>
      </c>
      <c r="R476" s="460" t="str">
        <f>TEXT(tblResultadosNBA[[#This Row],[Fecha]],"mmm")</f>
        <v>dic</v>
      </c>
    </row>
    <row r="477" spans="1:18">
      <c r="A477" s="419">
        <v>46020</v>
      </c>
      <c r="B477" s="302" t="s">
        <v>244</v>
      </c>
      <c r="C477" s="177" t="str">
        <f t="shared" si="424"/>
        <v>Golden State Warriors</v>
      </c>
      <c r="D477" s="177">
        <v>109</v>
      </c>
      <c r="E477" s="336">
        <v>120</v>
      </c>
      <c r="F477" s="327">
        <f t="shared" si="425"/>
        <v>1</v>
      </c>
      <c r="G477" s="177" t="str">
        <f t="shared" si="426"/>
        <v>Brooklyn Nets</v>
      </c>
      <c r="H477" s="177">
        <v>117</v>
      </c>
      <c r="I477" s="336">
        <v>107</v>
      </c>
      <c r="J477" s="327">
        <f t="shared" si="427"/>
        <v>0</v>
      </c>
      <c r="K477" s="177">
        <f t="shared" si="428"/>
        <v>226</v>
      </c>
      <c r="L477" s="336">
        <f t="shared" si="429"/>
        <v>227</v>
      </c>
      <c r="M477" s="327">
        <f t="shared" si="430"/>
        <v>1</v>
      </c>
      <c r="N477" s="337">
        <f t="shared" si="431"/>
        <v>8</v>
      </c>
      <c r="O477" s="395">
        <f t="shared" si="432"/>
        <v>-13</v>
      </c>
      <c r="P477" s="289">
        <f t="shared" si="433"/>
        <v>0</v>
      </c>
      <c r="Q477" s="460">
        <f>WEEKNUM(tblResultadosNBA[[#This Row],[Fecha]],2)</f>
        <v>53</v>
      </c>
      <c r="R477" s="460" t="str">
        <f>TEXT(tblResultadosNBA[[#This Row],[Fecha]],"mmm")</f>
        <v>dic</v>
      </c>
    </row>
    <row r="478" spans="1:18">
      <c r="A478" s="419">
        <v>46020</v>
      </c>
      <c r="B478" s="302" t="s">
        <v>603</v>
      </c>
      <c r="C478" s="177" t="str">
        <f t="shared" si="424"/>
        <v>Denver Nuggets</v>
      </c>
      <c r="D478" s="177">
        <v>115</v>
      </c>
      <c r="E478" s="336">
        <v>123</v>
      </c>
      <c r="F478" s="327">
        <f t="shared" si="425"/>
        <v>1</v>
      </c>
      <c r="G478" s="177" t="str">
        <f t="shared" si="426"/>
        <v>Miami Heat</v>
      </c>
      <c r="H478" s="177">
        <v>123</v>
      </c>
      <c r="I478" s="336">
        <v>147</v>
      </c>
      <c r="J478" s="327">
        <f t="shared" si="427"/>
        <v>1</v>
      </c>
      <c r="K478" s="177">
        <f t="shared" si="428"/>
        <v>238</v>
      </c>
      <c r="L478" s="336">
        <f t="shared" si="429"/>
        <v>270</v>
      </c>
      <c r="M478" s="327">
        <f t="shared" si="430"/>
        <v>1</v>
      </c>
      <c r="N478" s="337">
        <f t="shared" si="431"/>
        <v>8</v>
      </c>
      <c r="O478" s="395">
        <f t="shared" si="432"/>
        <v>24</v>
      </c>
      <c r="P478" s="289">
        <f t="shared" si="433"/>
        <v>1</v>
      </c>
      <c r="Q478" s="460">
        <f>WEEKNUM(tblResultadosNBA[[#This Row],[Fecha]],2)</f>
        <v>53</v>
      </c>
      <c r="R478" s="460" t="str">
        <f>TEXT(tblResultadosNBA[[#This Row],[Fecha]],"mmm")</f>
        <v>dic</v>
      </c>
    </row>
    <row r="479" spans="1:18">
      <c r="A479" s="419">
        <v>46020</v>
      </c>
      <c r="B479" s="302" t="s">
        <v>604</v>
      </c>
      <c r="C479" s="177" t="str">
        <f t="shared" si="424"/>
        <v>Orlando Magic</v>
      </c>
      <c r="D479" s="177">
        <v>102</v>
      </c>
      <c r="E479" s="336">
        <v>106</v>
      </c>
      <c r="F479" s="327">
        <f t="shared" si="425"/>
        <v>1</v>
      </c>
      <c r="G479" s="177" t="str">
        <f t="shared" si="426"/>
        <v>Toronto Raptors</v>
      </c>
      <c r="H479" s="177">
        <v>112</v>
      </c>
      <c r="I479" s="336">
        <v>107</v>
      </c>
      <c r="J479" s="327">
        <f t="shared" si="427"/>
        <v>0</v>
      </c>
      <c r="K479" s="177">
        <f t="shared" si="428"/>
        <v>214</v>
      </c>
      <c r="L479" s="336">
        <f t="shared" si="429"/>
        <v>213</v>
      </c>
      <c r="M479" s="327">
        <f t="shared" si="430"/>
        <v>0</v>
      </c>
      <c r="N479" s="337">
        <f t="shared" si="431"/>
        <v>10</v>
      </c>
      <c r="O479" s="395">
        <f t="shared" si="432"/>
        <v>1</v>
      </c>
      <c r="P479" s="289">
        <f t="shared" si="433"/>
        <v>1</v>
      </c>
      <c r="Q479" s="460">
        <f>WEEKNUM(tblResultadosNBA[[#This Row],[Fecha]],2)</f>
        <v>53</v>
      </c>
      <c r="R479" s="460" t="str">
        <f>TEXT(tblResultadosNBA[[#This Row],[Fecha]],"mmm")</f>
        <v>dic</v>
      </c>
    </row>
    <row r="480" spans="1:18">
      <c r="A480" s="419">
        <v>46020</v>
      </c>
      <c r="B480" s="302" t="s">
        <v>605</v>
      </c>
      <c r="C480" s="177" t="str">
        <f t="shared" si="424"/>
        <v>Minnesota Timberwolves</v>
      </c>
      <c r="D480" s="177">
        <v>115</v>
      </c>
      <c r="E480" s="336">
        <v>136</v>
      </c>
      <c r="F480" s="327">
        <f t="shared" si="425"/>
        <v>1</v>
      </c>
      <c r="G480" s="177" t="str">
        <f t="shared" si="426"/>
        <v>Chicago Bulls</v>
      </c>
      <c r="H480" s="177">
        <v>120</v>
      </c>
      <c r="I480" s="336">
        <v>101</v>
      </c>
      <c r="J480" s="327">
        <f t="shared" si="427"/>
        <v>0</v>
      </c>
      <c r="K480" s="177">
        <f t="shared" si="428"/>
        <v>235</v>
      </c>
      <c r="L480" s="336">
        <f t="shared" si="429"/>
        <v>237</v>
      </c>
      <c r="M480" s="327">
        <f t="shared" si="430"/>
        <v>1</v>
      </c>
      <c r="N480" s="337">
        <f t="shared" si="431"/>
        <v>5</v>
      </c>
      <c r="O480" s="395">
        <f t="shared" si="432"/>
        <v>-35</v>
      </c>
      <c r="P480" s="289">
        <f t="shared" si="433"/>
        <v>0</v>
      </c>
      <c r="Q480" s="460">
        <f>WEEKNUM(tblResultadosNBA[[#This Row],[Fecha]],2)</f>
        <v>53</v>
      </c>
      <c r="R480" s="460" t="str">
        <f>TEXT(tblResultadosNBA[[#This Row],[Fecha]],"mmm")</f>
        <v>dic</v>
      </c>
    </row>
    <row r="481" spans="1:21">
      <c r="A481" s="419">
        <v>46020</v>
      </c>
      <c r="B481" s="302" t="s">
        <v>245</v>
      </c>
      <c r="C481" s="177" t="str">
        <f t="shared" si="424"/>
        <v>Indiana Pacers</v>
      </c>
      <c r="D481" s="177">
        <v>113</v>
      </c>
      <c r="E481" s="336">
        <v>119</v>
      </c>
      <c r="F481" s="327">
        <f t="shared" si="425"/>
        <v>1</v>
      </c>
      <c r="G481" s="177" t="str">
        <f t="shared" si="426"/>
        <v>Houston Rockets</v>
      </c>
      <c r="H481" s="177">
        <v>120</v>
      </c>
      <c r="I481" s="336">
        <v>126</v>
      </c>
      <c r="J481" s="327">
        <f t="shared" si="427"/>
        <v>1</v>
      </c>
      <c r="K481" s="177">
        <f t="shared" si="428"/>
        <v>233</v>
      </c>
      <c r="L481" s="336">
        <f t="shared" si="429"/>
        <v>245</v>
      </c>
      <c r="M481" s="327">
        <f t="shared" si="430"/>
        <v>1</v>
      </c>
      <c r="N481" s="337">
        <f t="shared" si="431"/>
        <v>7</v>
      </c>
      <c r="O481" s="395">
        <f t="shared" si="432"/>
        <v>7</v>
      </c>
      <c r="P481" s="289">
        <f t="shared" si="433"/>
        <v>1</v>
      </c>
      <c r="Q481" s="460">
        <f>WEEKNUM(tblResultadosNBA[[#This Row],[Fecha]],2)</f>
        <v>53</v>
      </c>
      <c r="R481" s="460" t="str">
        <f>TEXT(tblResultadosNBA[[#This Row],[Fecha]],"mmm")</f>
        <v>dic</v>
      </c>
    </row>
    <row r="482" spans="1:21">
      <c r="A482" s="419">
        <v>46020</v>
      </c>
      <c r="B482" s="302" t="s">
        <v>246</v>
      </c>
      <c r="C482" s="177" t="str">
        <f t="shared" si="424"/>
        <v>New York Knicks</v>
      </c>
      <c r="D482" s="177">
        <v>121</v>
      </c>
      <c r="E482" s="336">
        <v>130</v>
      </c>
      <c r="F482" s="327">
        <f t="shared" si="425"/>
        <v>1</v>
      </c>
      <c r="G482" s="177" t="str">
        <f t="shared" si="426"/>
        <v>New Orleans Pelicans</v>
      </c>
      <c r="H482" s="177">
        <v>133</v>
      </c>
      <c r="I482" s="336">
        <v>125</v>
      </c>
      <c r="J482" s="327">
        <f t="shared" si="427"/>
        <v>0</v>
      </c>
      <c r="K482" s="177">
        <f t="shared" si="428"/>
        <v>254</v>
      </c>
      <c r="L482" s="336">
        <f t="shared" si="429"/>
        <v>255</v>
      </c>
      <c r="M482" s="327">
        <f t="shared" si="430"/>
        <v>1</v>
      </c>
      <c r="N482" s="337">
        <f t="shared" si="431"/>
        <v>12</v>
      </c>
      <c r="O482" s="395">
        <f t="shared" si="432"/>
        <v>-5</v>
      </c>
      <c r="P482" s="289">
        <f t="shared" si="433"/>
        <v>0</v>
      </c>
      <c r="Q482" s="460">
        <f>WEEKNUM(tblResultadosNBA[[#This Row],[Fecha]],2)</f>
        <v>53</v>
      </c>
      <c r="R482" s="460" t="str">
        <f>TEXT(tblResultadosNBA[[#This Row],[Fecha]],"mmm")</f>
        <v>dic</v>
      </c>
    </row>
    <row r="483" spans="1:21">
      <c r="A483" s="419">
        <v>46020</v>
      </c>
      <c r="B483" s="302" t="s">
        <v>247</v>
      </c>
      <c r="C483" s="177" t="str">
        <f t="shared" si="424"/>
        <v>Atlanta Hawks</v>
      </c>
      <c r="D483" s="177">
        <v>129</v>
      </c>
      <c r="E483" s="336">
        <v>129</v>
      </c>
      <c r="F483" s="327">
        <f t="shared" si="425"/>
        <v>0</v>
      </c>
      <c r="G483" s="177" t="str">
        <f t="shared" si="426"/>
        <v>Oklahoma City Thunder</v>
      </c>
      <c r="H483" s="177">
        <v>131</v>
      </c>
      <c r="I483" s="336">
        <v>140</v>
      </c>
      <c r="J483" s="327">
        <f t="shared" si="427"/>
        <v>1</v>
      </c>
      <c r="K483" s="177">
        <f t="shared" si="428"/>
        <v>260</v>
      </c>
      <c r="L483" s="336">
        <f t="shared" si="429"/>
        <v>269</v>
      </c>
      <c r="M483" s="327">
        <f t="shared" si="430"/>
        <v>1</v>
      </c>
      <c r="N483" s="337">
        <f t="shared" si="431"/>
        <v>2</v>
      </c>
      <c r="O483" s="395">
        <f t="shared" si="432"/>
        <v>11</v>
      </c>
      <c r="P483" s="289">
        <f t="shared" si="433"/>
        <v>1</v>
      </c>
      <c r="Q483" s="460">
        <f>WEEKNUM(tblResultadosNBA[[#This Row],[Fecha]],2)</f>
        <v>53</v>
      </c>
      <c r="R483" s="460" t="str">
        <f>TEXT(tblResultadosNBA[[#This Row],[Fecha]],"mmm")</f>
        <v>dic</v>
      </c>
    </row>
    <row r="484" spans="1:21">
      <c r="A484" s="419">
        <v>46020</v>
      </c>
      <c r="B484" s="302" t="s">
        <v>248</v>
      </c>
      <c r="C484" s="177" t="str">
        <f t="shared" si="424"/>
        <v>Cleveland Cavaliers</v>
      </c>
      <c r="D484" s="177">
        <v>124</v>
      </c>
      <c r="E484" s="336">
        <v>113</v>
      </c>
      <c r="F484" s="327">
        <f t="shared" si="425"/>
        <v>0</v>
      </c>
      <c r="G484" s="177" t="str">
        <f t="shared" si="426"/>
        <v>San Antonio Spurs</v>
      </c>
      <c r="H484" s="177">
        <v>136</v>
      </c>
      <c r="I484" s="336">
        <v>101</v>
      </c>
      <c r="J484" s="327">
        <f t="shared" si="427"/>
        <v>0</v>
      </c>
      <c r="K484" s="177">
        <f t="shared" si="428"/>
        <v>260</v>
      </c>
      <c r="L484" s="336">
        <f t="shared" si="429"/>
        <v>214</v>
      </c>
      <c r="M484" s="327">
        <f t="shared" si="430"/>
        <v>0</v>
      </c>
      <c r="N484" s="337">
        <f t="shared" si="431"/>
        <v>12</v>
      </c>
      <c r="O484" s="395">
        <f t="shared" si="432"/>
        <v>-12</v>
      </c>
      <c r="P484" s="289">
        <f t="shared" si="433"/>
        <v>0</v>
      </c>
      <c r="Q484" s="460">
        <f>WEEKNUM(tblResultadosNBA[[#This Row],[Fecha]],2)</f>
        <v>53</v>
      </c>
      <c r="R484" s="460" t="str">
        <f>TEXT(tblResultadosNBA[[#This Row],[Fecha]],"mmm")</f>
        <v>dic</v>
      </c>
    </row>
    <row r="485" spans="1:21">
      <c r="A485" s="445">
        <v>46020</v>
      </c>
      <c r="B485" s="331" t="s">
        <v>249</v>
      </c>
      <c r="C485" s="286" t="str">
        <f>LEFT(B485,FIND("@",B485)-2)</f>
        <v>Dallas Mavericks</v>
      </c>
      <c r="D485" s="286">
        <v>119</v>
      </c>
      <c r="E485" s="431">
        <v>122</v>
      </c>
      <c r="F485" s="332">
        <f>IF(E485&gt;D485, 1, 0)</f>
        <v>1</v>
      </c>
      <c r="G485" s="286" t="str">
        <f>MID(B485,FIND("@",B485)+2,LEN(B485)-FIND("@",B485)-1)</f>
        <v>Portland Trail Blazers</v>
      </c>
      <c r="H485" s="286">
        <v>123</v>
      </c>
      <c r="I485" s="431">
        <v>125</v>
      </c>
      <c r="J485" s="332">
        <f>IF(I485&gt;H485, 1, 0)</f>
        <v>1</v>
      </c>
      <c r="K485" s="286">
        <f>+D485+H485</f>
        <v>242</v>
      </c>
      <c r="L485" s="431">
        <f>E485+I485</f>
        <v>247</v>
      </c>
      <c r="M485" s="332">
        <f>IF(L485&gt;K485, 1, 0)</f>
        <v>1</v>
      </c>
      <c r="N485" s="432">
        <f>(+H485-D485)</f>
        <v>4</v>
      </c>
      <c r="O485" s="451">
        <f>I485-E485</f>
        <v>3</v>
      </c>
      <c r="P485" s="433">
        <f>IF(OR(AND(N485&gt;0,O485&gt;0),AND(N485&lt;0,O485&lt;0)),1,0)</f>
        <v>1</v>
      </c>
      <c r="Q485" s="460">
        <f>WEEKNUM(tblResultadosNBA[[#This Row],[Fecha]],2)</f>
        <v>53</v>
      </c>
      <c r="R485" s="460" t="str">
        <f>TEXT(tblResultadosNBA[[#This Row],[Fecha]],"mmm")</f>
        <v>dic</v>
      </c>
    </row>
    <row r="486" spans="1:21">
      <c r="A486" s="439">
        <v>46021</v>
      </c>
      <c r="B486" s="422" t="s">
        <v>250</v>
      </c>
      <c r="C486" s="341" t="str">
        <f>LEFT(B486,FIND("@",B486)-2)</f>
        <v>Philadelphia 76ers</v>
      </c>
      <c r="D486" s="341">
        <v>128</v>
      </c>
      <c r="E486" s="342">
        <v>139</v>
      </c>
      <c r="F486" s="333">
        <f>IF(E486&gt;D486, 1, 0)</f>
        <v>1</v>
      </c>
      <c r="G486" s="341" t="str">
        <f>MID(B486,FIND("@",B486)+2,LEN(B486)-FIND("@",B486)-1)</f>
        <v>Memphis Grizzlies</v>
      </c>
      <c r="H486" s="341">
        <v>119</v>
      </c>
      <c r="I486" s="342">
        <v>136</v>
      </c>
      <c r="J486" s="333">
        <f>IF(I486&gt;H486, 1, 0)</f>
        <v>1</v>
      </c>
      <c r="K486" s="341">
        <f>+D486+H486</f>
        <v>247</v>
      </c>
      <c r="L486" s="342">
        <f>E486+I486</f>
        <v>275</v>
      </c>
      <c r="M486" s="333">
        <f>IF(L486&gt;K486, 1, 0)</f>
        <v>1</v>
      </c>
      <c r="N486" s="343">
        <f>(+H486-D486)</f>
        <v>-9</v>
      </c>
      <c r="O486" s="449">
        <f>I486-E486</f>
        <v>-3</v>
      </c>
      <c r="P486" s="289">
        <f>IF(OR(AND(N486&gt;0,O486&gt;0),AND(N486&lt;0,O486&lt;0)),1,0)</f>
        <v>1</v>
      </c>
      <c r="Q486" s="460">
        <f>WEEKNUM(tblResultadosNBA[[#This Row],[Fecha]],2)</f>
        <v>53</v>
      </c>
      <c r="R486" s="460" t="str">
        <f>TEXT(tblResultadosNBA[[#This Row],[Fecha]],"mmm")</f>
        <v>dic</v>
      </c>
      <c r="S486">
        <f>tblResultadosNBA[[#This Row],[Real]]-tblResultadosNBA[[#This Row],[Pro]]</f>
        <v>11</v>
      </c>
      <c r="T486">
        <f>tblResultadosNBA[[#This Row],[Real3]]-tblResultadosNBA[[#This Row],[Pro2]]</f>
        <v>17</v>
      </c>
      <c r="U486">
        <f>tblResultadosNBA[[#This Row],[Tot R]]-tblResultadosNBA[[#This Row],[Tot]]</f>
        <v>28</v>
      </c>
    </row>
    <row r="487" spans="1:21">
      <c r="A487" s="419">
        <v>46021</v>
      </c>
      <c r="B487" s="302" t="s">
        <v>606</v>
      </c>
      <c r="C487" s="177" t="str">
        <f t="shared" ref="C487:C489" si="434">LEFT(B487,FIND("@",B487)-2)</f>
        <v>Boston Celtics</v>
      </c>
      <c r="D487" s="177">
        <v>122</v>
      </c>
      <c r="E487" s="336">
        <v>125</v>
      </c>
      <c r="F487" s="327">
        <f t="shared" ref="F487:F489" si="435">IF(E487&gt;D487, 1, 0)</f>
        <v>1</v>
      </c>
      <c r="G487" s="177" t="str">
        <f t="shared" ref="G487:G489" si="436">MID(B487,FIND("@",B487)+2,LEN(B487)-FIND("@",B487)-1)</f>
        <v>Utah Jazz</v>
      </c>
      <c r="H487" s="177">
        <v>121</v>
      </c>
      <c r="I487" s="336">
        <v>119</v>
      </c>
      <c r="J487" s="327">
        <f t="shared" ref="J487:J489" si="437">IF(I487&gt;H487, 1, 0)</f>
        <v>0</v>
      </c>
      <c r="K487" s="177">
        <f t="shared" ref="K487:K489" si="438">+D487+H487</f>
        <v>243</v>
      </c>
      <c r="L487" s="336">
        <f t="shared" ref="L487:L489" si="439">E487+I487</f>
        <v>244</v>
      </c>
      <c r="M487" s="327">
        <f t="shared" ref="M487:M489" si="440">IF(L487&gt;K487, 1, 0)</f>
        <v>1</v>
      </c>
      <c r="N487" s="337">
        <f t="shared" ref="N487:N489" si="441">(+H487-D487)</f>
        <v>-1</v>
      </c>
      <c r="O487" s="395">
        <f t="shared" ref="O487:O489" si="442">I487-E487</f>
        <v>-6</v>
      </c>
      <c r="P487" s="289">
        <f t="shared" ref="P487:P489" si="443">IF(OR(AND(N487&gt;0,O487&gt;0),AND(N487&lt;0,O487&lt;0)),1,0)</f>
        <v>1</v>
      </c>
      <c r="Q487" s="460">
        <f>WEEKNUM(tblResultadosNBA[[#This Row],[Fecha]],2)</f>
        <v>53</v>
      </c>
      <c r="R487" s="460" t="str">
        <f>TEXT(tblResultadosNBA[[#This Row],[Fecha]],"mmm")</f>
        <v>dic</v>
      </c>
    </row>
    <row r="488" spans="1:21">
      <c r="A488" s="419">
        <v>46021</v>
      </c>
      <c r="B488" s="302" t="s">
        <v>607</v>
      </c>
      <c r="C488" s="177" t="str">
        <f t="shared" si="434"/>
        <v>Detroit Pistons</v>
      </c>
      <c r="D488" s="177">
        <v>107</v>
      </c>
      <c r="E488" s="336">
        <v>128</v>
      </c>
      <c r="F488" s="327">
        <f t="shared" si="435"/>
        <v>1</v>
      </c>
      <c r="G488" s="177" t="str">
        <f t="shared" si="436"/>
        <v>Los Angeles Lakers</v>
      </c>
      <c r="H488" s="177">
        <v>119</v>
      </c>
      <c r="I488" s="336">
        <v>106</v>
      </c>
      <c r="J488" s="327">
        <f t="shared" si="437"/>
        <v>0</v>
      </c>
      <c r="K488" s="177">
        <f t="shared" si="438"/>
        <v>226</v>
      </c>
      <c r="L488" s="336">
        <f t="shared" si="439"/>
        <v>234</v>
      </c>
      <c r="M488" s="327">
        <f t="shared" si="440"/>
        <v>1</v>
      </c>
      <c r="N488" s="337">
        <f t="shared" si="441"/>
        <v>12</v>
      </c>
      <c r="O488" s="395">
        <f t="shared" si="442"/>
        <v>-22</v>
      </c>
      <c r="P488" s="289">
        <f t="shared" si="443"/>
        <v>0</v>
      </c>
      <c r="Q488" s="460">
        <f>WEEKNUM(tblResultadosNBA[[#This Row],[Fecha]],2)</f>
        <v>53</v>
      </c>
      <c r="R488" s="460" t="str">
        <f>TEXT(tblResultadosNBA[[#This Row],[Fecha]],"mmm")</f>
        <v>dic</v>
      </c>
    </row>
    <row r="489" spans="1:21">
      <c r="A489" s="445">
        <v>46021</v>
      </c>
      <c r="B489" s="331" t="s">
        <v>251</v>
      </c>
      <c r="C489" s="286" t="str">
        <f t="shared" si="434"/>
        <v>Sacramento Kings</v>
      </c>
      <c r="D489" s="286">
        <v>116</v>
      </c>
      <c r="E489" s="431">
        <v>90</v>
      </c>
      <c r="F489" s="332">
        <f t="shared" si="435"/>
        <v>0</v>
      </c>
      <c r="G489" s="286" t="str">
        <f t="shared" si="436"/>
        <v>LA Clippers</v>
      </c>
      <c r="H489" s="286">
        <v>126</v>
      </c>
      <c r="I489" s="431">
        <v>131</v>
      </c>
      <c r="J489" s="332">
        <f t="shared" si="437"/>
        <v>1</v>
      </c>
      <c r="K489" s="286">
        <f t="shared" si="438"/>
        <v>242</v>
      </c>
      <c r="L489" s="431">
        <f t="shared" si="439"/>
        <v>221</v>
      </c>
      <c r="M489" s="332">
        <f t="shared" si="440"/>
        <v>0</v>
      </c>
      <c r="N489" s="432">
        <f t="shared" si="441"/>
        <v>10</v>
      </c>
      <c r="O489" s="451">
        <f t="shared" si="442"/>
        <v>41</v>
      </c>
      <c r="P489" s="433">
        <f t="shared" si="443"/>
        <v>1</v>
      </c>
      <c r="Q489" s="460">
        <f>WEEKNUM(tblResultadosNBA[[#This Row],[Fecha]],2)</f>
        <v>53</v>
      </c>
      <c r="R489" s="460" t="str">
        <f>TEXT(tblResultadosNBA[[#This Row],[Fecha]],"mmm")</f>
        <v>dic</v>
      </c>
    </row>
    <row r="490" spans="1:21">
      <c r="A490" s="439">
        <v>46022</v>
      </c>
      <c r="B490" s="422" t="s">
        <v>252</v>
      </c>
      <c r="C490" s="341" t="str">
        <f>LEFT(B490,FIND("@",B490)-2)</f>
        <v>Golden State Warriors</v>
      </c>
      <c r="D490" s="341">
        <v>133</v>
      </c>
      <c r="E490" s="342">
        <v>132</v>
      </c>
      <c r="F490" s="333">
        <f>IF(E490&gt;D490, 1, 0)</f>
        <v>0</v>
      </c>
      <c r="G490" s="341" t="str">
        <f>MID(B490,FIND("@",B490)+2,LEN(B490)-FIND("@",B490)-1)</f>
        <v>Charlotte Hornets</v>
      </c>
      <c r="H490" s="341">
        <v>126</v>
      </c>
      <c r="I490" s="342">
        <v>125</v>
      </c>
      <c r="J490" s="333">
        <f>IF(I490&gt;H490, 1, 0)</f>
        <v>0</v>
      </c>
      <c r="K490" s="341">
        <f>+D490+H490</f>
        <v>259</v>
      </c>
      <c r="L490" s="342">
        <f>E490+I490</f>
        <v>257</v>
      </c>
      <c r="M490" s="333">
        <f>IF(L490&gt;K490, 1, 0)</f>
        <v>0</v>
      </c>
      <c r="N490" s="343">
        <f>(+H490-D490)</f>
        <v>-7</v>
      </c>
      <c r="O490" s="449">
        <f>I490-E490</f>
        <v>-7</v>
      </c>
      <c r="P490" s="289">
        <f>IF(OR(AND(N490&gt;0,O490&gt;0),AND(N490&lt;0,O490&lt;0)),1,0)</f>
        <v>1</v>
      </c>
      <c r="Q490" s="460">
        <f>WEEKNUM(tblResultadosNBA[[#This Row],[Fecha]],2)</f>
        <v>53</v>
      </c>
      <c r="R490" s="460" t="str">
        <f>TEXT(tblResultadosNBA[[#This Row],[Fecha]],"mmm")</f>
        <v>dic</v>
      </c>
    </row>
    <row r="491" spans="1:21">
      <c r="A491" s="419">
        <v>46022</v>
      </c>
      <c r="B491" s="302" t="s">
        <v>608</v>
      </c>
      <c r="C491" s="177" t="str">
        <f t="shared" ref="C491:C498" si="444">LEFT(B491,FIND("@",B491)-2)</f>
        <v>Minnesota Timberwolves</v>
      </c>
      <c r="D491" s="177">
        <v>122</v>
      </c>
      <c r="E491" s="336">
        <v>102</v>
      </c>
      <c r="F491" s="327">
        <f t="shared" ref="F491:F498" si="445">IF(E491&gt;D491, 1, 0)</f>
        <v>0</v>
      </c>
      <c r="G491" s="177" t="str">
        <f t="shared" ref="G491:G498" si="446">MID(B491,FIND("@",B491)+2,LEN(B491)-FIND("@",B491)-1)</f>
        <v>Atlanta Hawks</v>
      </c>
      <c r="H491" s="177">
        <v>119</v>
      </c>
      <c r="I491" s="336">
        <v>126</v>
      </c>
      <c r="J491" s="327">
        <f t="shared" ref="J491:J498" si="447">IF(I491&gt;H491, 1, 0)</f>
        <v>1</v>
      </c>
      <c r="K491" s="177">
        <f t="shared" ref="K491:K498" si="448">+D491+H491</f>
        <v>241</v>
      </c>
      <c r="L491" s="336">
        <f t="shared" ref="L491:L498" si="449">E491+I491</f>
        <v>228</v>
      </c>
      <c r="M491" s="327">
        <f t="shared" ref="M491:M498" si="450">IF(L491&gt;K491, 1, 0)</f>
        <v>0</v>
      </c>
      <c r="N491" s="337">
        <f t="shared" ref="N491:N498" si="451">(+H491-D491)</f>
        <v>-3</v>
      </c>
      <c r="O491" s="395">
        <f t="shared" ref="O491:O498" si="452">I491-E491</f>
        <v>24</v>
      </c>
      <c r="P491" s="289">
        <f t="shared" ref="P491:P498" si="453">IF(OR(AND(N491&gt;0,O491&gt;0),AND(N491&lt;0,O491&lt;0)),1,0)</f>
        <v>0</v>
      </c>
      <c r="Q491" s="460">
        <f>WEEKNUM(tblResultadosNBA[[#This Row],[Fecha]],2)</f>
        <v>53</v>
      </c>
      <c r="R491" s="460" t="str">
        <f>TEXT(tblResultadosNBA[[#This Row],[Fecha]],"mmm")</f>
        <v>dic</v>
      </c>
    </row>
    <row r="492" spans="1:21">
      <c r="A492" s="419">
        <v>46022</v>
      </c>
      <c r="B492" s="302" t="s">
        <v>609</v>
      </c>
      <c r="C492" s="177" t="str">
        <f t="shared" si="444"/>
        <v>Orlando Magic</v>
      </c>
      <c r="D492" s="177">
        <v>106</v>
      </c>
      <c r="E492" s="336">
        <v>112</v>
      </c>
      <c r="F492" s="327">
        <f t="shared" si="445"/>
        <v>1</v>
      </c>
      <c r="G492" s="177" t="str">
        <f t="shared" si="446"/>
        <v>Indiana Pacers</v>
      </c>
      <c r="H492" s="177">
        <v>111</v>
      </c>
      <c r="I492" s="336">
        <v>110</v>
      </c>
      <c r="J492" s="327">
        <f t="shared" si="447"/>
        <v>0</v>
      </c>
      <c r="K492" s="177">
        <f t="shared" si="448"/>
        <v>217</v>
      </c>
      <c r="L492" s="336">
        <f t="shared" si="449"/>
        <v>222</v>
      </c>
      <c r="M492" s="327">
        <f t="shared" si="450"/>
        <v>1</v>
      </c>
      <c r="N492" s="337">
        <f t="shared" si="451"/>
        <v>5</v>
      </c>
      <c r="O492" s="395">
        <f t="shared" si="452"/>
        <v>-2</v>
      </c>
      <c r="P492" s="289">
        <f t="shared" si="453"/>
        <v>0</v>
      </c>
      <c r="Q492" s="460">
        <f>WEEKNUM(tblResultadosNBA[[#This Row],[Fecha]],2)</f>
        <v>53</v>
      </c>
      <c r="R492" s="460" t="str">
        <f>TEXT(tblResultadosNBA[[#This Row],[Fecha]],"mmm")</f>
        <v>dic</v>
      </c>
    </row>
    <row r="493" spans="1:21">
      <c r="A493" s="419">
        <v>46022</v>
      </c>
      <c r="B493" s="302" t="s">
        <v>253</v>
      </c>
      <c r="C493" s="177" t="str">
        <f t="shared" si="444"/>
        <v>Phoenix Suns</v>
      </c>
      <c r="D493" s="177">
        <v>118</v>
      </c>
      <c r="E493" s="336">
        <v>113</v>
      </c>
      <c r="F493" s="327">
        <f t="shared" si="445"/>
        <v>0</v>
      </c>
      <c r="G493" s="177" t="str">
        <f t="shared" si="446"/>
        <v>Cleveland Cavaliers</v>
      </c>
      <c r="H493" s="177">
        <v>121</v>
      </c>
      <c r="I493" s="336">
        <v>129</v>
      </c>
      <c r="J493" s="327">
        <f t="shared" si="447"/>
        <v>1</v>
      </c>
      <c r="K493" s="177">
        <f t="shared" si="448"/>
        <v>239</v>
      </c>
      <c r="L493" s="336">
        <f t="shared" si="449"/>
        <v>242</v>
      </c>
      <c r="M493" s="327">
        <f t="shared" si="450"/>
        <v>1</v>
      </c>
      <c r="N493" s="337">
        <f t="shared" si="451"/>
        <v>3</v>
      </c>
      <c r="O493" s="395">
        <f t="shared" si="452"/>
        <v>16</v>
      </c>
      <c r="P493" s="289">
        <f t="shared" si="453"/>
        <v>1</v>
      </c>
      <c r="Q493" s="460">
        <f>WEEKNUM(tblResultadosNBA[[#This Row],[Fecha]],2)</f>
        <v>53</v>
      </c>
      <c r="R493" s="460" t="str">
        <f>TEXT(tblResultadosNBA[[#This Row],[Fecha]],"mmm")</f>
        <v>dic</v>
      </c>
    </row>
    <row r="494" spans="1:21">
      <c r="A494" s="419">
        <v>46022</v>
      </c>
      <c r="B494" s="302" t="s">
        <v>181</v>
      </c>
      <c r="C494" s="177" t="str">
        <f t="shared" si="444"/>
        <v>New Orleans Pelicans</v>
      </c>
      <c r="D494" s="177">
        <v>121</v>
      </c>
      <c r="E494" s="336">
        <v>118</v>
      </c>
      <c r="F494" s="327">
        <f t="shared" si="445"/>
        <v>0</v>
      </c>
      <c r="G494" s="177" t="str">
        <f t="shared" si="446"/>
        <v>Chicago Bulls</v>
      </c>
      <c r="H494" s="177">
        <v>115</v>
      </c>
      <c r="I494" s="336">
        <v>134</v>
      </c>
      <c r="J494" s="327">
        <f t="shared" si="447"/>
        <v>1</v>
      </c>
      <c r="K494" s="177">
        <f t="shared" si="448"/>
        <v>236</v>
      </c>
      <c r="L494" s="336">
        <f t="shared" si="449"/>
        <v>252</v>
      </c>
      <c r="M494" s="327">
        <f t="shared" si="450"/>
        <v>1</v>
      </c>
      <c r="N494" s="337">
        <f t="shared" si="451"/>
        <v>-6</v>
      </c>
      <c r="O494" s="395">
        <f t="shared" si="452"/>
        <v>16</v>
      </c>
      <c r="P494" s="289">
        <f t="shared" si="453"/>
        <v>0</v>
      </c>
      <c r="Q494" s="460">
        <f>WEEKNUM(tblResultadosNBA[[#This Row],[Fecha]],2)</f>
        <v>53</v>
      </c>
      <c r="R494" s="460" t="str">
        <f>TEXT(tblResultadosNBA[[#This Row],[Fecha]],"mmm")</f>
        <v>dic</v>
      </c>
    </row>
    <row r="495" spans="1:21">
      <c r="A495" s="419">
        <v>46022</v>
      </c>
      <c r="B495" s="302" t="s">
        <v>254</v>
      </c>
      <c r="C495" s="177" t="str">
        <f t="shared" si="444"/>
        <v>New York Knicks</v>
      </c>
      <c r="D495" s="177">
        <v>125</v>
      </c>
      <c r="E495" s="336">
        <v>132</v>
      </c>
      <c r="F495" s="327">
        <f t="shared" si="445"/>
        <v>1</v>
      </c>
      <c r="G495" s="177" t="str">
        <f t="shared" si="446"/>
        <v>San Antonio Spurs</v>
      </c>
      <c r="H495" s="177">
        <v>133</v>
      </c>
      <c r="I495" s="336">
        <v>134</v>
      </c>
      <c r="J495" s="327">
        <f t="shared" si="447"/>
        <v>1</v>
      </c>
      <c r="K495" s="177">
        <f t="shared" si="448"/>
        <v>258</v>
      </c>
      <c r="L495" s="336">
        <f t="shared" si="449"/>
        <v>266</v>
      </c>
      <c r="M495" s="327">
        <f t="shared" si="450"/>
        <v>1</v>
      </c>
      <c r="N495" s="337">
        <f t="shared" si="451"/>
        <v>8</v>
      </c>
      <c r="O495" s="395">
        <f t="shared" si="452"/>
        <v>2</v>
      </c>
      <c r="P495" s="289">
        <f t="shared" si="453"/>
        <v>1</v>
      </c>
      <c r="Q495" s="460">
        <f>WEEKNUM(tblResultadosNBA[[#This Row],[Fecha]],2)</f>
        <v>53</v>
      </c>
      <c r="R495" s="460" t="str">
        <f>TEXT(tblResultadosNBA[[#This Row],[Fecha]],"mmm")</f>
        <v>dic</v>
      </c>
    </row>
    <row r="496" spans="1:21">
      <c r="A496" s="419">
        <v>46022</v>
      </c>
      <c r="B496" s="302" t="s">
        <v>610</v>
      </c>
      <c r="C496" s="177" t="str">
        <f t="shared" si="444"/>
        <v>Denver Nuggets</v>
      </c>
      <c r="D496" s="177">
        <v>116</v>
      </c>
      <c r="E496" s="336">
        <v>106</v>
      </c>
      <c r="F496" s="327">
        <f t="shared" si="445"/>
        <v>0</v>
      </c>
      <c r="G496" s="177" t="str">
        <f t="shared" si="446"/>
        <v>Toronto Raptors</v>
      </c>
      <c r="H496" s="177">
        <v>107</v>
      </c>
      <c r="I496" s="336">
        <v>103</v>
      </c>
      <c r="J496" s="327">
        <f t="shared" si="447"/>
        <v>0</v>
      </c>
      <c r="K496" s="177">
        <f t="shared" si="448"/>
        <v>223</v>
      </c>
      <c r="L496" s="336">
        <f t="shared" si="449"/>
        <v>209</v>
      </c>
      <c r="M496" s="327">
        <f t="shared" si="450"/>
        <v>0</v>
      </c>
      <c r="N496" s="337">
        <f t="shared" si="451"/>
        <v>-9</v>
      </c>
      <c r="O496" s="395">
        <f t="shared" si="452"/>
        <v>-3</v>
      </c>
      <c r="P496" s="289">
        <f t="shared" si="453"/>
        <v>1</v>
      </c>
      <c r="Q496" s="460">
        <f>WEEKNUM(tblResultadosNBA[[#This Row],[Fecha]],2)</f>
        <v>53</v>
      </c>
      <c r="R496" s="460" t="str">
        <f>TEXT(tblResultadosNBA[[#This Row],[Fecha]],"mmm")</f>
        <v>dic</v>
      </c>
    </row>
    <row r="497" spans="1:18">
      <c r="A497" s="419">
        <v>46022</v>
      </c>
      <c r="B497" s="302" t="s">
        <v>255</v>
      </c>
      <c r="C497" s="177" t="str">
        <f t="shared" si="444"/>
        <v>Washington Wizards</v>
      </c>
      <c r="D497" s="177">
        <v>108</v>
      </c>
      <c r="E497" s="336">
        <v>114</v>
      </c>
      <c r="F497" s="327">
        <f t="shared" si="445"/>
        <v>1</v>
      </c>
      <c r="G497" s="177" t="str">
        <f t="shared" si="446"/>
        <v>Milwaukee Bucks</v>
      </c>
      <c r="H497" s="177">
        <v>125</v>
      </c>
      <c r="I497" s="336">
        <v>113</v>
      </c>
      <c r="J497" s="327">
        <f t="shared" si="447"/>
        <v>0</v>
      </c>
      <c r="K497" s="177">
        <f t="shared" si="448"/>
        <v>233</v>
      </c>
      <c r="L497" s="336">
        <f t="shared" si="449"/>
        <v>227</v>
      </c>
      <c r="M497" s="327">
        <f t="shared" si="450"/>
        <v>0</v>
      </c>
      <c r="N497" s="337">
        <f t="shared" si="451"/>
        <v>17</v>
      </c>
      <c r="O497" s="395">
        <f t="shared" si="452"/>
        <v>-1</v>
      </c>
      <c r="P497" s="289">
        <f t="shared" si="453"/>
        <v>0</v>
      </c>
      <c r="Q497" s="460">
        <f>WEEKNUM(tblResultadosNBA[[#This Row],[Fecha]],2)</f>
        <v>53</v>
      </c>
      <c r="R497" s="460" t="str">
        <f>TEXT(tblResultadosNBA[[#This Row],[Fecha]],"mmm")</f>
        <v>dic</v>
      </c>
    </row>
    <row r="498" spans="1:18">
      <c r="A498" s="445">
        <v>46022</v>
      </c>
      <c r="B498" s="331" t="s">
        <v>95</v>
      </c>
      <c r="C498" s="286" t="str">
        <f t="shared" si="444"/>
        <v>Portland Trail Blazers</v>
      </c>
      <c r="D498" s="286">
        <v>108</v>
      </c>
      <c r="E498" s="431">
        <v>95</v>
      </c>
      <c r="F498" s="332">
        <f t="shared" si="445"/>
        <v>0</v>
      </c>
      <c r="G498" s="286" t="str">
        <f t="shared" si="446"/>
        <v>Oklahoma City Thunder</v>
      </c>
      <c r="H498" s="286">
        <v>125</v>
      </c>
      <c r="I498" s="431">
        <v>124</v>
      </c>
      <c r="J498" s="332">
        <f t="shared" si="447"/>
        <v>0</v>
      </c>
      <c r="K498" s="286">
        <f t="shared" si="448"/>
        <v>233</v>
      </c>
      <c r="L498" s="431">
        <f t="shared" si="449"/>
        <v>219</v>
      </c>
      <c r="M498" s="332">
        <f t="shared" si="450"/>
        <v>0</v>
      </c>
      <c r="N498" s="432">
        <f t="shared" si="451"/>
        <v>17</v>
      </c>
      <c r="O498" s="451">
        <f t="shared" si="452"/>
        <v>29</v>
      </c>
      <c r="P498" s="433">
        <f t="shared" si="453"/>
        <v>1</v>
      </c>
      <c r="Q498" s="460">
        <f>WEEKNUM(tblResultadosNBA[[#This Row],[Fecha]],2)</f>
        <v>53</v>
      </c>
      <c r="R498" s="460" t="str">
        <f>TEXT(tblResultadosNBA[[#This Row],[Fecha]],"mmm")</f>
        <v>dic</v>
      </c>
    </row>
    <row r="499" spans="1:18">
      <c r="A499" s="439">
        <v>46023</v>
      </c>
      <c r="B499" s="422" t="s">
        <v>611</v>
      </c>
      <c r="C499" s="341" t="str">
        <f>LEFT(B499,FIND("@",B499)-2)</f>
        <v>Houston Rockets</v>
      </c>
      <c r="D499" s="341">
        <v>128</v>
      </c>
      <c r="E499" s="342">
        <v>120</v>
      </c>
      <c r="F499" s="333">
        <f>IF(E499&gt;D499, 1, 0)</f>
        <v>0</v>
      </c>
      <c r="G499" s="341" t="str">
        <f>MID(B499,FIND("@",B499)+2,LEN(B499)-FIND("@",B499)-1)</f>
        <v>Brooklyn Nets</v>
      </c>
      <c r="H499" s="341">
        <v>114</v>
      </c>
      <c r="I499" s="342">
        <v>96</v>
      </c>
      <c r="J499" s="333">
        <f>IF(I499&gt;H499, 1, 0)</f>
        <v>0</v>
      </c>
      <c r="K499" s="341">
        <f>+D499+H499</f>
        <v>242</v>
      </c>
      <c r="L499" s="342">
        <f>E499+I499</f>
        <v>216</v>
      </c>
      <c r="M499" s="333">
        <f>IF(L499&gt;K499, 1, 0)</f>
        <v>0</v>
      </c>
      <c r="N499" s="343">
        <f>(+H499-D499)</f>
        <v>-14</v>
      </c>
      <c r="O499" s="449">
        <f>I499-E499</f>
        <v>-24</v>
      </c>
      <c r="P499" s="289">
        <f>IF(OR(AND(N499&gt;0,O499&gt;0),AND(N499&lt;0,O499&lt;0)),1,0)</f>
        <v>1</v>
      </c>
      <c r="Q499" s="460">
        <f>WEEKNUM(tblResultadosNBA[[#This Row],[Fecha]],2)</f>
        <v>1</v>
      </c>
      <c r="R499" s="460" t="str">
        <f>TEXT(tblResultadosNBA[[#This Row],[Fecha]],"mmm")</f>
        <v>ene</v>
      </c>
    </row>
    <row r="500" spans="1:18">
      <c r="A500" s="439">
        <v>46023</v>
      </c>
      <c r="B500" s="302" t="s">
        <v>612</v>
      </c>
      <c r="C500" s="177" t="str">
        <f t="shared" ref="C500:C503" si="454">LEFT(B500,FIND("@",B500)-2)</f>
        <v>Miami Heat</v>
      </c>
      <c r="D500" s="177">
        <v>114</v>
      </c>
      <c r="E500" s="336">
        <v>118</v>
      </c>
      <c r="F500" s="327">
        <f t="shared" ref="F500:F503" si="455">IF(E500&gt;D500, 1, 0)</f>
        <v>1</v>
      </c>
      <c r="G500" s="177" t="str">
        <f t="shared" ref="G500:G503" si="456">MID(B500,FIND("@",B500)+2,LEN(B500)-FIND("@",B500)-1)</f>
        <v>Detroit Pistons</v>
      </c>
      <c r="H500" s="177">
        <v>117</v>
      </c>
      <c r="I500" s="336">
        <v>112</v>
      </c>
      <c r="J500" s="327">
        <f t="shared" ref="J500:J503" si="457">IF(I500&gt;H500, 1, 0)</f>
        <v>0</v>
      </c>
      <c r="K500" s="177">
        <f t="shared" ref="K500:K503" si="458">+D500+H500</f>
        <v>231</v>
      </c>
      <c r="L500" s="336">
        <f t="shared" ref="L500:L503" si="459">E500+I500</f>
        <v>230</v>
      </c>
      <c r="M500" s="327">
        <f t="shared" ref="M500:M503" si="460">IF(L500&gt;K500, 1, 0)</f>
        <v>0</v>
      </c>
      <c r="N500" s="337">
        <f t="shared" ref="N500:N503" si="461">(+H500-D500)</f>
        <v>3</v>
      </c>
      <c r="O500" s="395">
        <f t="shared" ref="O500:O503" si="462">I500-E500</f>
        <v>-6</v>
      </c>
      <c r="P500" s="289">
        <f t="shared" ref="P500:P503" si="463">IF(OR(AND(N500&gt;0,O500&gt;0),AND(N500&lt;0,O500&lt;0)),1,0)</f>
        <v>0</v>
      </c>
      <c r="Q500" s="460">
        <f>WEEKNUM(tblResultadosNBA[[#This Row],[Fecha]],2)</f>
        <v>1</v>
      </c>
      <c r="R500" s="460" t="str">
        <f>TEXT(tblResultadosNBA[[#This Row],[Fecha]],"mmm")</f>
        <v>ene</v>
      </c>
    </row>
    <row r="501" spans="1:18">
      <c r="A501" s="439">
        <v>46023</v>
      </c>
      <c r="B501" s="302" t="s">
        <v>613</v>
      </c>
      <c r="C501" s="177" t="str">
        <f t="shared" si="454"/>
        <v>Philadelphia 76ers</v>
      </c>
      <c r="D501" s="177">
        <v>110</v>
      </c>
      <c r="E501" s="336">
        <v>123</v>
      </c>
      <c r="F501" s="327">
        <f t="shared" si="455"/>
        <v>1</v>
      </c>
      <c r="G501" s="177" t="str">
        <f t="shared" si="456"/>
        <v>Dallas Mavericks</v>
      </c>
      <c r="H501" s="177">
        <v>110</v>
      </c>
      <c r="I501" s="336">
        <v>108</v>
      </c>
      <c r="J501" s="327">
        <f t="shared" si="457"/>
        <v>0</v>
      </c>
      <c r="K501" s="177">
        <f t="shared" si="458"/>
        <v>220</v>
      </c>
      <c r="L501" s="336">
        <f t="shared" si="459"/>
        <v>231</v>
      </c>
      <c r="M501" s="327">
        <f t="shared" si="460"/>
        <v>1</v>
      </c>
      <c r="N501" s="337">
        <f t="shared" si="461"/>
        <v>0</v>
      </c>
      <c r="O501" s="395">
        <f t="shared" si="462"/>
        <v>-15</v>
      </c>
      <c r="P501" s="289">
        <f t="shared" si="463"/>
        <v>0</v>
      </c>
      <c r="Q501" s="460">
        <f>WEEKNUM(tblResultadosNBA[[#This Row],[Fecha]],2)</f>
        <v>1</v>
      </c>
      <c r="R501" s="460" t="str">
        <f>TEXT(tblResultadosNBA[[#This Row],[Fecha]],"mmm")</f>
        <v>ene</v>
      </c>
    </row>
    <row r="502" spans="1:18">
      <c r="A502" s="439">
        <v>46023</v>
      </c>
      <c r="B502" s="302" t="s">
        <v>257</v>
      </c>
      <c r="C502" s="177" t="str">
        <f t="shared" si="454"/>
        <v>Boston Celtics</v>
      </c>
      <c r="D502" s="177">
        <v>121</v>
      </c>
      <c r="E502" s="336">
        <v>120</v>
      </c>
      <c r="F502" s="327">
        <f t="shared" si="455"/>
        <v>0</v>
      </c>
      <c r="G502" s="177" t="str">
        <f t="shared" si="456"/>
        <v>Sacramento Kings</v>
      </c>
      <c r="H502" s="177">
        <v>116</v>
      </c>
      <c r="I502" s="336">
        <v>106</v>
      </c>
      <c r="J502" s="327">
        <f t="shared" si="457"/>
        <v>0</v>
      </c>
      <c r="K502" s="177">
        <f t="shared" si="458"/>
        <v>237</v>
      </c>
      <c r="L502" s="336">
        <f t="shared" si="459"/>
        <v>226</v>
      </c>
      <c r="M502" s="327">
        <f t="shared" si="460"/>
        <v>0</v>
      </c>
      <c r="N502" s="337">
        <f t="shared" si="461"/>
        <v>-5</v>
      </c>
      <c r="O502" s="395">
        <f t="shared" si="462"/>
        <v>-14</v>
      </c>
      <c r="P502" s="289">
        <f t="shared" si="463"/>
        <v>1</v>
      </c>
      <c r="Q502" s="460">
        <f>WEEKNUM(tblResultadosNBA[[#This Row],[Fecha]],2)</f>
        <v>1</v>
      </c>
      <c r="R502" s="460" t="str">
        <f>TEXT(tblResultadosNBA[[#This Row],[Fecha]],"mmm")</f>
        <v>ene</v>
      </c>
    </row>
    <row r="503" spans="1:18">
      <c r="A503" s="446">
        <v>46023</v>
      </c>
      <c r="B503" s="331" t="s">
        <v>256</v>
      </c>
      <c r="C503" s="286" t="str">
        <f t="shared" si="454"/>
        <v>Utah Jazz</v>
      </c>
      <c r="D503" s="286">
        <v>118</v>
      </c>
      <c r="E503" s="431">
        <v>101</v>
      </c>
      <c r="F503" s="332">
        <f t="shared" si="455"/>
        <v>0</v>
      </c>
      <c r="G503" s="286" t="str">
        <f t="shared" si="456"/>
        <v>LA Clippers</v>
      </c>
      <c r="H503" s="286">
        <v>121</v>
      </c>
      <c r="I503" s="431">
        <v>118</v>
      </c>
      <c r="J503" s="332">
        <f t="shared" si="457"/>
        <v>0</v>
      </c>
      <c r="K503" s="286">
        <f t="shared" si="458"/>
        <v>239</v>
      </c>
      <c r="L503" s="431">
        <f t="shared" si="459"/>
        <v>219</v>
      </c>
      <c r="M503" s="332">
        <f t="shared" si="460"/>
        <v>0</v>
      </c>
      <c r="N503" s="432">
        <f t="shared" si="461"/>
        <v>3</v>
      </c>
      <c r="O503" s="451">
        <f t="shared" si="462"/>
        <v>17</v>
      </c>
      <c r="P503" s="433">
        <f t="shared" si="463"/>
        <v>1</v>
      </c>
      <c r="Q503" s="460">
        <f>WEEKNUM(tblResultadosNBA[[#This Row],[Fecha]],2)</f>
        <v>1</v>
      </c>
      <c r="R503" s="460" t="str">
        <f>TEXT(tblResultadosNBA[[#This Row],[Fecha]],"mmm")</f>
        <v>ene</v>
      </c>
    </row>
    <row r="504" spans="1:18">
      <c r="A504" s="439">
        <v>46024</v>
      </c>
      <c r="B504" s="422" t="s">
        <v>258</v>
      </c>
      <c r="C504" s="341" t="str">
        <f>LEFT(B504,FIND("@",B504)-2)</f>
        <v>San Antonio Spurs</v>
      </c>
      <c r="D504" s="341">
        <v>128</v>
      </c>
      <c r="E504" s="342">
        <v>123</v>
      </c>
      <c r="F504" s="333">
        <f>IF(E504&gt;D504, 1, 0)</f>
        <v>0</v>
      </c>
      <c r="G504" s="341" t="str">
        <f>MID(B504,FIND("@",B504)+2,LEN(B504)-FIND("@",B504)-1)</f>
        <v>Indiana Pacers</v>
      </c>
      <c r="H504" s="341">
        <v>125</v>
      </c>
      <c r="I504" s="342">
        <v>113</v>
      </c>
      <c r="J504" s="333">
        <f>IF(I504&gt;H504, 1, 0)</f>
        <v>0</v>
      </c>
      <c r="K504" s="341">
        <f>+D504+H504</f>
        <v>253</v>
      </c>
      <c r="L504" s="342">
        <f>E504+I504</f>
        <v>236</v>
      </c>
      <c r="M504" s="333">
        <f>IF(L504&gt;K504, 1, 0)</f>
        <v>0</v>
      </c>
      <c r="N504" s="343">
        <f>(+H504-D504)</f>
        <v>-3</v>
      </c>
      <c r="O504" s="449">
        <f>I504-E504</f>
        <v>-10</v>
      </c>
      <c r="P504" s="289">
        <f>IF(OR(AND(N504&gt;0,O504&gt;0),AND(N504&lt;0,O504&lt;0)),1,0)</f>
        <v>1</v>
      </c>
      <c r="Q504" s="460">
        <f>WEEKNUM(tblResultadosNBA[[#This Row],[Fecha]],2)</f>
        <v>1</v>
      </c>
      <c r="R504" s="460" t="str">
        <f>TEXT(tblResultadosNBA[[#This Row],[Fecha]],"mmm")</f>
        <v>ene</v>
      </c>
    </row>
    <row r="505" spans="1:18">
      <c r="A505" s="439">
        <v>46024</v>
      </c>
      <c r="B505" s="302" t="s">
        <v>259</v>
      </c>
      <c r="C505" s="177" t="str">
        <f t="shared" ref="C505:C513" si="464">LEFT(B505,FIND("@",B505)-2)</f>
        <v>Brooklyn Nets</v>
      </c>
      <c r="D505" s="177">
        <v>119</v>
      </c>
      <c r="E505" s="336">
        <v>99</v>
      </c>
      <c r="F505" s="327">
        <f t="shared" ref="F505:F513" si="465">IF(E505&gt;D505, 1, 0)</f>
        <v>0</v>
      </c>
      <c r="G505" s="177" t="str">
        <f t="shared" ref="G505:G513" si="466">MID(B505,FIND("@",B505)+2,LEN(B505)-FIND("@",B505)-1)</f>
        <v>Washington Wizards</v>
      </c>
      <c r="H505" s="177">
        <v>133</v>
      </c>
      <c r="I505" s="336">
        <v>119</v>
      </c>
      <c r="J505" s="327">
        <f t="shared" ref="J505:J513" si="467">IF(I505&gt;H505, 1, 0)</f>
        <v>0</v>
      </c>
      <c r="K505" s="177">
        <f t="shared" ref="K505:K513" si="468">+D505+H505</f>
        <v>252</v>
      </c>
      <c r="L505" s="336">
        <f t="shared" ref="L505:L513" si="469">E505+I505</f>
        <v>218</v>
      </c>
      <c r="M505" s="327">
        <f t="shared" ref="M505:M513" si="470">IF(L505&gt;K505, 1, 0)</f>
        <v>0</v>
      </c>
      <c r="N505" s="337">
        <f t="shared" ref="N505:N513" si="471">(+H505-D505)</f>
        <v>14</v>
      </c>
      <c r="O505" s="395">
        <f t="shared" ref="O505:O513" si="472">I505-E505</f>
        <v>20</v>
      </c>
      <c r="P505" s="289">
        <f t="shared" ref="P505:P513" si="473">IF(OR(AND(N505&gt;0,O505&gt;0),AND(N505&lt;0,O505&lt;0)),1,0)</f>
        <v>1</v>
      </c>
      <c r="Q505" s="460">
        <f>WEEKNUM(tblResultadosNBA[[#This Row],[Fecha]],2)</f>
        <v>1</v>
      </c>
      <c r="R505" s="460" t="str">
        <f>TEXT(tblResultadosNBA[[#This Row],[Fecha]],"mmm")</f>
        <v>ene</v>
      </c>
    </row>
    <row r="506" spans="1:18">
      <c r="A506" s="439">
        <v>46024</v>
      </c>
      <c r="B506" s="302" t="s">
        <v>614</v>
      </c>
      <c r="C506" s="177" t="str">
        <f t="shared" si="464"/>
        <v>Denver Nuggets</v>
      </c>
      <c r="D506" s="177">
        <v>114</v>
      </c>
      <c r="E506" s="336">
        <v>108</v>
      </c>
      <c r="F506" s="327">
        <f t="shared" si="465"/>
        <v>0</v>
      </c>
      <c r="G506" s="177" t="str">
        <f t="shared" si="466"/>
        <v>Cleveland Cavaliers</v>
      </c>
      <c r="H506" s="177">
        <v>112</v>
      </c>
      <c r="I506" s="336">
        <v>113</v>
      </c>
      <c r="J506" s="327">
        <f t="shared" si="467"/>
        <v>1</v>
      </c>
      <c r="K506" s="177">
        <f t="shared" si="468"/>
        <v>226</v>
      </c>
      <c r="L506" s="336">
        <f t="shared" si="469"/>
        <v>221</v>
      </c>
      <c r="M506" s="327">
        <f t="shared" si="470"/>
        <v>0</v>
      </c>
      <c r="N506" s="337">
        <f t="shared" si="471"/>
        <v>-2</v>
      </c>
      <c r="O506" s="395">
        <f t="shared" si="472"/>
        <v>5</v>
      </c>
      <c r="P506" s="289">
        <f t="shared" si="473"/>
        <v>0</v>
      </c>
      <c r="Q506" s="460">
        <f>WEEKNUM(tblResultadosNBA[[#This Row],[Fecha]],2)</f>
        <v>1</v>
      </c>
      <c r="R506" s="460" t="str">
        <f>TEXT(tblResultadosNBA[[#This Row],[Fecha]],"mmm")</f>
        <v>ene</v>
      </c>
    </row>
    <row r="507" spans="1:18">
      <c r="A507" s="439">
        <v>46024</v>
      </c>
      <c r="B507" s="302" t="s">
        <v>260</v>
      </c>
      <c r="C507" s="177" t="str">
        <f t="shared" si="464"/>
        <v>Atlanta Hawks</v>
      </c>
      <c r="D507" s="177">
        <v>127</v>
      </c>
      <c r="E507" s="336">
        <v>111</v>
      </c>
      <c r="F507" s="327">
        <f t="shared" si="465"/>
        <v>0</v>
      </c>
      <c r="G507" s="177" t="str">
        <f t="shared" si="466"/>
        <v>New York Knicks</v>
      </c>
      <c r="H507" s="177">
        <v>136</v>
      </c>
      <c r="I507" s="336">
        <v>99</v>
      </c>
      <c r="J507" s="327">
        <f t="shared" si="467"/>
        <v>0</v>
      </c>
      <c r="K507" s="177">
        <f t="shared" si="468"/>
        <v>263</v>
      </c>
      <c r="L507" s="336">
        <f t="shared" si="469"/>
        <v>210</v>
      </c>
      <c r="M507" s="327">
        <f t="shared" si="470"/>
        <v>0</v>
      </c>
      <c r="N507" s="337">
        <f t="shared" si="471"/>
        <v>9</v>
      </c>
      <c r="O507" s="395">
        <f t="shared" si="472"/>
        <v>-12</v>
      </c>
      <c r="P507" s="289">
        <f t="shared" si="473"/>
        <v>0</v>
      </c>
      <c r="Q507" s="460">
        <f>WEEKNUM(tblResultadosNBA[[#This Row],[Fecha]],2)</f>
        <v>1</v>
      </c>
      <c r="R507" s="460" t="str">
        <f>TEXT(tblResultadosNBA[[#This Row],[Fecha]],"mmm")</f>
        <v>ene</v>
      </c>
    </row>
    <row r="508" spans="1:18">
      <c r="A508" s="439">
        <v>46024</v>
      </c>
      <c r="B508" s="302" t="s">
        <v>615</v>
      </c>
      <c r="C508" s="177" t="str">
        <f t="shared" si="464"/>
        <v>Orlando Magic</v>
      </c>
      <c r="D508" s="177">
        <v>119</v>
      </c>
      <c r="E508" s="336">
        <v>114</v>
      </c>
      <c r="F508" s="327">
        <f t="shared" si="465"/>
        <v>0</v>
      </c>
      <c r="G508" s="177" t="str">
        <f t="shared" si="466"/>
        <v>Chicago Bulls</v>
      </c>
      <c r="H508" s="177">
        <v>105</v>
      </c>
      <c r="I508" s="336">
        <v>121</v>
      </c>
      <c r="J508" s="327">
        <f t="shared" si="467"/>
        <v>1</v>
      </c>
      <c r="K508" s="177">
        <f t="shared" si="468"/>
        <v>224</v>
      </c>
      <c r="L508" s="336">
        <f t="shared" si="469"/>
        <v>235</v>
      </c>
      <c r="M508" s="327">
        <f t="shared" si="470"/>
        <v>1</v>
      </c>
      <c r="N508" s="337">
        <f t="shared" si="471"/>
        <v>-14</v>
      </c>
      <c r="O508" s="395">
        <f t="shared" si="472"/>
        <v>7</v>
      </c>
      <c r="P508" s="289">
        <f t="shared" si="473"/>
        <v>0</v>
      </c>
      <c r="Q508" s="460">
        <f>WEEKNUM(tblResultadosNBA[[#This Row],[Fecha]],2)</f>
        <v>1</v>
      </c>
      <c r="R508" s="460" t="str">
        <f>TEXT(tblResultadosNBA[[#This Row],[Fecha]],"mmm")</f>
        <v>ene</v>
      </c>
    </row>
    <row r="509" spans="1:18">
      <c r="A509" s="439">
        <v>46024</v>
      </c>
      <c r="B509" s="302" t="s">
        <v>539</v>
      </c>
      <c r="C509" s="177" t="str">
        <f t="shared" si="464"/>
        <v>Charlotte Hornets</v>
      </c>
      <c r="D509" s="177">
        <v>107</v>
      </c>
      <c r="E509" s="336">
        <v>121</v>
      </c>
      <c r="F509" s="327">
        <f t="shared" si="465"/>
        <v>1</v>
      </c>
      <c r="G509" s="177" t="str">
        <f t="shared" si="466"/>
        <v>Milwaukee Bucks</v>
      </c>
      <c r="H509" s="177">
        <v>120</v>
      </c>
      <c r="I509" s="336">
        <v>122</v>
      </c>
      <c r="J509" s="327">
        <f t="shared" si="467"/>
        <v>1</v>
      </c>
      <c r="K509" s="177">
        <f t="shared" si="468"/>
        <v>227</v>
      </c>
      <c r="L509" s="336">
        <f t="shared" si="469"/>
        <v>243</v>
      </c>
      <c r="M509" s="327">
        <f t="shared" si="470"/>
        <v>1</v>
      </c>
      <c r="N509" s="337">
        <f t="shared" si="471"/>
        <v>13</v>
      </c>
      <c r="O509" s="395">
        <f t="shared" si="472"/>
        <v>1</v>
      </c>
      <c r="P509" s="289">
        <f t="shared" si="473"/>
        <v>1</v>
      </c>
      <c r="Q509" s="460">
        <f>WEEKNUM(tblResultadosNBA[[#This Row],[Fecha]],2)</f>
        <v>1</v>
      </c>
      <c r="R509" s="460" t="str">
        <f>TEXT(tblResultadosNBA[[#This Row],[Fecha]],"mmm")</f>
        <v>ene</v>
      </c>
    </row>
    <row r="510" spans="1:18">
      <c r="A510" s="439">
        <v>46024</v>
      </c>
      <c r="B510" s="302" t="s">
        <v>42</v>
      </c>
      <c r="C510" s="177" t="str">
        <f t="shared" si="464"/>
        <v>Portland Trail Blazers</v>
      </c>
      <c r="D510" s="177">
        <v>121</v>
      </c>
      <c r="E510" s="336">
        <v>122</v>
      </c>
      <c r="F510" s="327">
        <f t="shared" si="465"/>
        <v>1</v>
      </c>
      <c r="G510" s="177" t="str">
        <f t="shared" si="466"/>
        <v>New Orleans Pelicans</v>
      </c>
      <c r="H510" s="177">
        <v>125</v>
      </c>
      <c r="I510" s="336">
        <v>109</v>
      </c>
      <c r="J510" s="327">
        <f t="shared" si="467"/>
        <v>0</v>
      </c>
      <c r="K510" s="177">
        <f t="shared" si="468"/>
        <v>246</v>
      </c>
      <c r="L510" s="336">
        <f t="shared" si="469"/>
        <v>231</v>
      </c>
      <c r="M510" s="327">
        <f t="shared" si="470"/>
        <v>0</v>
      </c>
      <c r="N510" s="337">
        <f t="shared" si="471"/>
        <v>4</v>
      </c>
      <c r="O510" s="395">
        <f t="shared" si="472"/>
        <v>-13</v>
      </c>
      <c r="P510" s="289">
        <f t="shared" si="473"/>
        <v>0</v>
      </c>
      <c r="Q510" s="460">
        <f>WEEKNUM(tblResultadosNBA[[#This Row],[Fecha]],2)</f>
        <v>1</v>
      </c>
      <c r="R510" s="460" t="str">
        <f>TEXT(tblResultadosNBA[[#This Row],[Fecha]],"mmm")</f>
        <v>ene</v>
      </c>
    </row>
    <row r="511" spans="1:18">
      <c r="A511" s="439">
        <v>46024</v>
      </c>
      <c r="B511" s="302" t="s">
        <v>421</v>
      </c>
      <c r="C511" s="177" t="str">
        <f t="shared" si="464"/>
        <v>Sacramento Kings</v>
      </c>
      <c r="D511" s="177">
        <v>106</v>
      </c>
      <c r="E511" s="336">
        <v>102</v>
      </c>
      <c r="F511" s="327">
        <f t="shared" si="465"/>
        <v>0</v>
      </c>
      <c r="G511" s="177" t="str">
        <f t="shared" si="466"/>
        <v>Phoenix Suns</v>
      </c>
      <c r="H511" s="177">
        <v>116</v>
      </c>
      <c r="I511" s="336">
        <v>129</v>
      </c>
      <c r="J511" s="327">
        <f t="shared" si="467"/>
        <v>1</v>
      </c>
      <c r="K511" s="177">
        <f t="shared" si="468"/>
        <v>222</v>
      </c>
      <c r="L511" s="336">
        <f t="shared" si="469"/>
        <v>231</v>
      </c>
      <c r="M511" s="327">
        <f t="shared" si="470"/>
        <v>1</v>
      </c>
      <c r="N511" s="337">
        <f t="shared" si="471"/>
        <v>10</v>
      </c>
      <c r="O511" s="395">
        <f t="shared" si="472"/>
        <v>27</v>
      </c>
      <c r="P511" s="289">
        <f t="shared" si="473"/>
        <v>1</v>
      </c>
      <c r="Q511" s="460">
        <f>WEEKNUM(tblResultadosNBA[[#This Row],[Fecha]],2)</f>
        <v>1</v>
      </c>
      <c r="R511" s="460" t="str">
        <f>TEXT(tblResultadosNBA[[#This Row],[Fecha]],"mmm")</f>
        <v>ene</v>
      </c>
    </row>
    <row r="512" spans="1:18">
      <c r="A512" s="439">
        <v>46024</v>
      </c>
      <c r="B512" s="302" t="s">
        <v>136</v>
      </c>
      <c r="C512" s="177" t="str">
        <f t="shared" si="464"/>
        <v>Oklahoma City Thunder</v>
      </c>
      <c r="D512" s="177">
        <v>120</v>
      </c>
      <c r="E512" s="336">
        <v>131</v>
      </c>
      <c r="F512" s="327">
        <f t="shared" si="465"/>
        <v>1</v>
      </c>
      <c r="G512" s="177" t="str">
        <f t="shared" si="466"/>
        <v>Golden State Warriors</v>
      </c>
      <c r="H512" s="177">
        <v>123</v>
      </c>
      <c r="I512" s="336">
        <v>94</v>
      </c>
      <c r="J512" s="327">
        <f t="shared" si="467"/>
        <v>0</v>
      </c>
      <c r="K512" s="177">
        <f t="shared" si="468"/>
        <v>243</v>
      </c>
      <c r="L512" s="336">
        <f t="shared" si="469"/>
        <v>225</v>
      </c>
      <c r="M512" s="327">
        <f t="shared" si="470"/>
        <v>0</v>
      </c>
      <c r="N512" s="337">
        <f t="shared" si="471"/>
        <v>3</v>
      </c>
      <c r="O512" s="395">
        <f t="shared" si="472"/>
        <v>-37</v>
      </c>
      <c r="P512" s="289">
        <f t="shared" si="473"/>
        <v>0</v>
      </c>
      <c r="Q512" s="460">
        <f>WEEKNUM(tblResultadosNBA[[#This Row],[Fecha]],2)</f>
        <v>1</v>
      </c>
      <c r="R512" s="460" t="str">
        <f>TEXT(tblResultadosNBA[[#This Row],[Fecha]],"mmm")</f>
        <v>ene</v>
      </c>
    </row>
    <row r="513" spans="1:18">
      <c r="A513" s="446">
        <v>46024</v>
      </c>
      <c r="B513" s="331" t="s">
        <v>616</v>
      </c>
      <c r="C513" s="286" t="str">
        <f t="shared" si="464"/>
        <v>Memphis Grizzlies</v>
      </c>
      <c r="D513" s="286">
        <v>114</v>
      </c>
      <c r="E513" s="431">
        <v>121</v>
      </c>
      <c r="F513" s="332">
        <f t="shared" si="465"/>
        <v>1</v>
      </c>
      <c r="G513" s="286" t="str">
        <f t="shared" si="466"/>
        <v>Los Angeles Lakers</v>
      </c>
      <c r="H513" s="286">
        <v>121</v>
      </c>
      <c r="I513" s="431">
        <v>128</v>
      </c>
      <c r="J513" s="332">
        <f t="shared" si="467"/>
        <v>1</v>
      </c>
      <c r="K513" s="286">
        <f t="shared" si="468"/>
        <v>235</v>
      </c>
      <c r="L513" s="431">
        <f t="shared" si="469"/>
        <v>249</v>
      </c>
      <c r="M513" s="332">
        <f t="shared" si="470"/>
        <v>1</v>
      </c>
      <c r="N513" s="432">
        <f t="shared" si="471"/>
        <v>7</v>
      </c>
      <c r="O513" s="451">
        <f t="shared" si="472"/>
        <v>7</v>
      </c>
      <c r="P513" s="433">
        <f t="shared" si="473"/>
        <v>1</v>
      </c>
      <c r="Q513" s="460">
        <f>WEEKNUM(tblResultadosNBA[[#This Row],[Fecha]],2)</f>
        <v>1</v>
      </c>
      <c r="R513" s="460" t="str">
        <f>TEXT(tblResultadosNBA[[#This Row],[Fecha]],"mmm")</f>
        <v>ene</v>
      </c>
    </row>
    <row r="514" spans="1:18">
      <c r="A514" s="439">
        <v>46025</v>
      </c>
      <c r="B514" s="422" t="s">
        <v>261</v>
      </c>
      <c r="C514" s="341" t="str">
        <f>LEFT(B514,FIND("@",B514)-2)</f>
        <v>Minnesota Timberwolves</v>
      </c>
      <c r="D514" s="341">
        <v>125</v>
      </c>
      <c r="E514" s="342">
        <v>125</v>
      </c>
      <c r="F514" s="333">
        <f>IF(E514&gt;D514, 1, 0)</f>
        <v>0</v>
      </c>
      <c r="G514" s="341" t="str">
        <f>MID(B514,FIND("@",B514)+2,LEN(B514)-FIND("@",B514)-1)</f>
        <v>Miami Heat</v>
      </c>
      <c r="H514" s="341">
        <v>121</v>
      </c>
      <c r="I514" s="342">
        <v>115</v>
      </c>
      <c r="J514" s="333">
        <f>IF(I514&gt;H514, 1, 0)</f>
        <v>0</v>
      </c>
      <c r="K514" s="341">
        <f>+D514+H514</f>
        <v>246</v>
      </c>
      <c r="L514" s="342">
        <f>E514+I514</f>
        <v>240</v>
      </c>
      <c r="M514" s="333">
        <f>IF(L514&gt;K514, 1, 0)</f>
        <v>0</v>
      </c>
      <c r="N514" s="343">
        <f>(+H514-D514)</f>
        <v>-4</v>
      </c>
      <c r="O514" s="449">
        <f>I514-E514</f>
        <v>-10</v>
      </c>
      <c r="P514" s="289">
        <f>IF(OR(AND(N514&gt;0,O514&gt;0),AND(N514&lt;0,O514&lt;0)),1,0)</f>
        <v>1</v>
      </c>
      <c r="Q514" s="460">
        <f>WEEKNUM(tblResultadosNBA[[#This Row],[Fecha]],2)</f>
        <v>1</v>
      </c>
      <c r="R514" s="460" t="str">
        <f>TEXT(tblResultadosNBA[[#This Row],[Fecha]],"mmm")</f>
        <v>ene</v>
      </c>
    </row>
    <row r="515" spans="1:18">
      <c r="A515" s="439">
        <v>46025</v>
      </c>
      <c r="B515" s="302" t="s">
        <v>196</v>
      </c>
      <c r="C515" s="177" t="str">
        <f t="shared" ref="C515:C521" si="474">LEFT(B515,FIND("@",B515)-2)</f>
        <v>Philadelphia 76ers</v>
      </c>
      <c r="D515" s="177">
        <v>121</v>
      </c>
      <c r="E515" s="336">
        <v>130</v>
      </c>
      <c r="F515" s="327">
        <f t="shared" ref="F515:F521" si="475">IF(E515&gt;D515, 1, 0)</f>
        <v>1</v>
      </c>
      <c r="G515" s="177" t="str">
        <f t="shared" ref="G515:G521" si="476">MID(B515,FIND("@",B515)+2,LEN(B515)-FIND("@",B515)-1)</f>
        <v>New York Knicks</v>
      </c>
      <c r="H515" s="177">
        <v>130</v>
      </c>
      <c r="I515" s="336">
        <v>119</v>
      </c>
      <c r="J515" s="327">
        <f t="shared" ref="J515:J521" si="477">IF(I515&gt;H515, 1, 0)</f>
        <v>0</v>
      </c>
      <c r="K515" s="177">
        <f t="shared" ref="K515:K521" si="478">+D515+H515</f>
        <v>251</v>
      </c>
      <c r="L515" s="336">
        <f t="shared" ref="L515:L521" si="479">E515+I515</f>
        <v>249</v>
      </c>
      <c r="M515" s="327">
        <f t="shared" ref="M515:M521" si="480">IF(L515&gt;K515, 1, 0)</f>
        <v>0</v>
      </c>
      <c r="N515" s="337">
        <f t="shared" ref="N515:N521" si="481">(+H515-D515)</f>
        <v>9</v>
      </c>
      <c r="O515" s="395">
        <f t="shared" ref="O515:O521" si="482">I515-E515</f>
        <v>-11</v>
      </c>
      <c r="P515" s="289">
        <f t="shared" ref="P515:P521" si="483">IF(OR(AND(N515&gt;0,O515&gt;0),AND(N515&lt;0,O515&lt;0)),1,0)</f>
        <v>0</v>
      </c>
      <c r="Q515" s="460">
        <f>WEEKNUM(tblResultadosNBA[[#This Row],[Fecha]],2)</f>
        <v>1</v>
      </c>
      <c r="R515" s="460" t="str">
        <f>TEXT(tblResultadosNBA[[#This Row],[Fecha]],"mmm")</f>
        <v>ene</v>
      </c>
    </row>
    <row r="516" spans="1:18">
      <c r="A516" s="439">
        <v>46025</v>
      </c>
      <c r="B516" s="302" t="s">
        <v>617</v>
      </c>
      <c r="C516" s="177" t="str">
        <f t="shared" si="474"/>
        <v>Atlanta Hawks</v>
      </c>
      <c r="D516" s="177">
        <v>110</v>
      </c>
      <c r="E516" s="336">
        <v>117</v>
      </c>
      <c r="F516" s="327">
        <f t="shared" si="475"/>
        <v>1</v>
      </c>
      <c r="G516" s="177" t="str">
        <f t="shared" si="476"/>
        <v>Toronto Raptors</v>
      </c>
      <c r="H516" s="177">
        <v>115</v>
      </c>
      <c r="I516" s="336">
        <v>134</v>
      </c>
      <c r="J516" s="327">
        <f t="shared" si="477"/>
        <v>1</v>
      </c>
      <c r="K516" s="177">
        <f t="shared" si="478"/>
        <v>225</v>
      </c>
      <c r="L516" s="336">
        <f t="shared" si="479"/>
        <v>251</v>
      </c>
      <c r="M516" s="327">
        <f t="shared" si="480"/>
        <v>1</v>
      </c>
      <c r="N516" s="337">
        <f t="shared" si="481"/>
        <v>5</v>
      </c>
      <c r="O516" s="395">
        <f t="shared" si="482"/>
        <v>17</v>
      </c>
      <c r="P516" s="289">
        <f t="shared" si="483"/>
        <v>1</v>
      </c>
      <c r="Q516" s="460">
        <f>WEEKNUM(tblResultadosNBA[[#This Row],[Fecha]],2)</f>
        <v>1</v>
      </c>
      <c r="R516" s="460" t="str">
        <f>TEXT(tblResultadosNBA[[#This Row],[Fecha]],"mmm")</f>
        <v>ene</v>
      </c>
    </row>
    <row r="517" spans="1:18">
      <c r="A517" s="439">
        <v>46025</v>
      </c>
      <c r="B517" s="302" t="s">
        <v>618</v>
      </c>
      <c r="C517" s="177" t="str">
        <f t="shared" si="474"/>
        <v>Charlotte Hornets</v>
      </c>
      <c r="D517" s="177">
        <v>113</v>
      </c>
      <c r="E517" s="336">
        <v>112</v>
      </c>
      <c r="F517" s="327">
        <f t="shared" si="475"/>
        <v>0</v>
      </c>
      <c r="G517" s="177" t="str">
        <f t="shared" si="476"/>
        <v>Chicago Bulls</v>
      </c>
      <c r="H517" s="177">
        <v>120</v>
      </c>
      <c r="I517" s="336">
        <v>99</v>
      </c>
      <c r="J517" s="327">
        <f t="shared" si="477"/>
        <v>0</v>
      </c>
      <c r="K517" s="177">
        <f t="shared" si="478"/>
        <v>233</v>
      </c>
      <c r="L517" s="336">
        <f t="shared" si="479"/>
        <v>211</v>
      </c>
      <c r="M517" s="327">
        <f t="shared" si="480"/>
        <v>0</v>
      </c>
      <c r="N517" s="337">
        <f t="shared" si="481"/>
        <v>7</v>
      </c>
      <c r="O517" s="395">
        <f t="shared" si="482"/>
        <v>-13</v>
      </c>
      <c r="P517" s="289">
        <f t="shared" si="483"/>
        <v>0</v>
      </c>
      <c r="Q517" s="460">
        <f>WEEKNUM(tblResultadosNBA[[#This Row],[Fecha]],2)</f>
        <v>1</v>
      </c>
      <c r="R517" s="460" t="str">
        <f>TEXT(tblResultadosNBA[[#This Row],[Fecha]],"mmm")</f>
        <v>ene</v>
      </c>
    </row>
    <row r="518" spans="1:18">
      <c r="A518" s="439">
        <v>46025</v>
      </c>
      <c r="B518" s="302" t="s">
        <v>262</v>
      </c>
      <c r="C518" s="177" t="str">
        <f t="shared" si="474"/>
        <v>Portland Trail Blazers</v>
      </c>
      <c r="D518" s="177">
        <v>113</v>
      </c>
      <c r="E518" s="336">
        <v>115</v>
      </c>
      <c r="F518" s="327">
        <f t="shared" si="475"/>
        <v>1</v>
      </c>
      <c r="G518" s="177" t="str">
        <f t="shared" si="476"/>
        <v>San Antonio Spurs</v>
      </c>
      <c r="H518" s="177">
        <v>128</v>
      </c>
      <c r="I518" s="336">
        <v>110</v>
      </c>
      <c r="J518" s="327">
        <f t="shared" si="477"/>
        <v>0</v>
      </c>
      <c r="K518" s="177">
        <f t="shared" si="478"/>
        <v>241</v>
      </c>
      <c r="L518" s="336">
        <f t="shared" si="479"/>
        <v>225</v>
      </c>
      <c r="M518" s="327">
        <f t="shared" si="480"/>
        <v>0</v>
      </c>
      <c r="N518" s="337">
        <f t="shared" si="481"/>
        <v>15</v>
      </c>
      <c r="O518" s="395">
        <f t="shared" si="482"/>
        <v>-5</v>
      </c>
      <c r="P518" s="289">
        <f t="shared" si="483"/>
        <v>0</v>
      </c>
      <c r="Q518" s="460">
        <f>WEEKNUM(tblResultadosNBA[[#This Row],[Fecha]],2)</f>
        <v>1</v>
      </c>
      <c r="R518" s="460" t="str">
        <f>TEXT(tblResultadosNBA[[#This Row],[Fecha]],"mmm")</f>
        <v>ene</v>
      </c>
    </row>
    <row r="519" spans="1:18">
      <c r="A519" s="439">
        <v>46025</v>
      </c>
      <c r="B519" s="302" t="s">
        <v>159</v>
      </c>
      <c r="C519" s="177" t="str">
        <f t="shared" si="474"/>
        <v>Houston Rockets</v>
      </c>
      <c r="D519" s="177">
        <v>108</v>
      </c>
      <c r="E519" s="336">
        <v>104</v>
      </c>
      <c r="F519" s="327">
        <f t="shared" si="475"/>
        <v>0</v>
      </c>
      <c r="G519" s="177" t="str">
        <f t="shared" si="476"/>
        <v>Dallas Mavericks</v>
      </c>
      <c r="H519" s="177">
        <v>112</v>
      </c>
      <c r="I519" s="336">
        <v>110</v>
      </c>
      <c r="J519" s="327">
        <f t="shared" si="477"/>
        <v>0</v>
      </c>
      <c r="K519" s="177">
        <f t="shared" si="478"/>
        <v>220</v>
      </c>
      <c r="L519" s="336">
        <f t="shared" si="479"/>
        <v>214</v>
      </c>
      <c r="M519" s="327">
        <f t="shared" si="480"/>
        <v>0</v>
      </c>
      <c r="N519" s="337">
        <f t="shared" si="481"/>
        <v>4</v>
      </c>
      <c r="O519" s="395">
        <f t="shared" si="482"/>
        <v>6</v>
      </c>
      <c r="P519" s="289">
        <f t="shared" si="483"/>
        <v>1</v>
      </c>
      <c r="Q519" s="460">
        <f>WEEKNUM(tblResultadosNBA[[#This Row],[Fecha]],2)</f>
        <v>1</v>
      </c>
      <c r="R519" s="460" t="str">
        <f>TEXT(tblResultadosNBA[[#This Row],[Fecha]],"mmm")</f>
        <v>ene</v>
      </c>
    </row>
    <row r="520" spans="1:18">
      <c r="A520" s="439">
        <v>46025</v>
      </c>
      <c r="B520" s="302" t="s">
        <v>263</v>
      </c>
      <c r="C520" s="177" t="str">
        <f t="shared" si="474"/>
        <v>Utah Jazz</v>
      </c>
      <c r="D520" s="177">
        <v>126</v>
      </c>
      <c r="E520" s="336">
        <v>114</v>
      </c>
      <c r="F520" s="327">
        <f t="shared" si="475"/>
        <v>0</v>
      </c>
      <c r="G520" s="177" t="str">
        <f t="shared" si="476"/>
        <v>Golden State Warriors</v>
      </c>
      <c r="H520" s="177">
        <v>131</v>
      </c>
      <c r="I520" s="336">
        <v>123</v>
      </c>
      <c r="J520" s="327">
        <f t="shared" si="477"/>
        <v>0</v>
      </c>
      <c r="K520" s="177">
        <f t="shared" si="478"/>
        <v>257</v>
      </c>
      <c r="L520" s="336">
        <f t="shared" si="479"/>
        <v>237</v>
      </c>
      <c r="M520" s="327">
        <f t="shared" si="480"/>
        <v>0</v>
      </c>
      <c r="N520" s="337">
        <f t="shared" si="481"/>
        <v>5</v>
      </c>
      <c r="O520" s="395">
        <f t="shared" si="482"/>
        <v>9</v>
      </c>
      <c r="P520" s="289">
        <f t="shared" si="483"/>
        <v>1</v>
      </c>
      <c r="Q520" s="460">
        <f>WEEKNUM(tblResultadosNBA[[#This Row],[Fecha]],2)</f>
        <v>1</v>
      </c>
      <c r="R520" s="460" t="str">
        <f>TEXT(tblResultadosNBA[[#This Row],[Fecha]],"mmm")</f>
        <v>ene</v>
      </c>
    </row>
    <row r="521" spans="1:18">
      <c r="A521" s="446">
        <v>46025</v>
      </c>
      <c r="B521" s="331" t="s">
        <v>619</v>
      </c>
      <c r="C521" s="286" t="str">
        <f t="shared" si="474"/>
        <v>Boston Celtics</v>
      </c>
      <c r="D521" s="286">
        <v>108</v>
      </c>
      <c r="E521" s="431">
        <v>146</v>
      </c>
      <c r="F521" s="332">
        <f t="shared" si="475"/>
        <v>1</v>
      </c>
      <c r="G521" s="286" t="str">
        <f t="shared" si="476"/>
        <v>LA Clippers</v>
      </c>
      <c r="H521" s="286">
        <v>112</v>
      </c>
      <c r="I521" s="431">
        <v>115</v>
      </c>
      <c r="J521" s="332">
        <f t="shared" si="477"/>
        <v>1</v>
      </c>
      <c r="K521" s="286">
        <f t="shared" si="478"/>
        <v>220</v>
      </c>
      <c r="L521" s="431">
        <f t="shared" si="479"/>
        <v>261</v>
      </c>
      <c r="M521" s="332">
        <f t="shared" si="480"/>
        <v>1</v>
      </c>
      <c r="N521" s="432">
        <f t="shared" si="481"/>
        <v>4</v>
      </c>
      <c r="O521" s="451">
        <f t="shared" si="482"/>
        <v>-31</v>
      </c>
      <c r="P521" s="433">
        <f t="shared" si="483"/>
        <v>0</v>
      </c>
      <c r="Q521" s="460">
        <f>WEEKNUM(tblResultadosNBA[[#This Row],[Fecha]],2)</f>
        <v>1</v>
      </c>
      <c r="R521" s="460" t="str">
        <f>TEXT(tblResultadosNBA[[#This Row],[Fecha]],"mmm")</f>
        <v>ene</v>
      </c>
    </row>
    <row r="522" spans="1:18">
      <c r="A522" s="439">
        <v>46026</v>
      </c>
      <c r="B522" s="422" t="s">
        <v>264</v>
      </c>
      <c r="C522" s="341" t="str">
        <f>LEFT(B522,FIND("@",B522)-2)</f>
        <v>Detroit Pistons</v>
      </c>
      <c r="D522" s="341">
        <v>129</v>
      </c>
      <c r="E522" s="342">
        <v>114</v>
      </c>
      <c r="F522" s="333">
        <f>IF(E522&gt;D522, 1, 0)</f>
        <v>0</v>
      </c>
      <c r="G522" s="341" t="str">
        <f>MID(B522,FIND("@",B522)+2,LEN(B522)-FIND("@",B522)-1)</f>
        <v>Cleveland Cavaliers</v>
      </c>
      <c r="H522" s="341">
        <v>119</v>
      </c>
      <c r="I522" s="342">
        <v>110</v>
      </c>
      <c r="J522" s="333">
        <f>IF(I522&gt;H522, 1, 0)</f>
        <v>0</v>
      </c>
      <c r="K522" s="341">
        <f>+D522+H522</f>
        <v>248</v>
      </c>
      <c r="L522" s="342">
        <f>E522+I522</f>
        <v>224</v>
      </c>
      <c r="M522" s="333">
        <f>IF(L522&gt;K522, 1, 0)</f>
        <v>0</v>
      </c>
      <c r="N522" s="343">
        <f>(+H522-D522)</f>
        <v>-10</v>
      </c>
      <c r="O522" s="449">
        <f>I522-E522</f>
        <v>-4</v>
      </c>
      <c r="P522" s="289">
        <f>IF(OR(AND(N522&gt;0,O522&gt;0),AND(N522&lt;0,O522&lt;0)),1,0)</f>
        <v>1</v>
      </c>
      <c r="Q522" s="460">
        <f>WEEKNUM(tblResultadosNBA[[#This Row],[Fecha]],2)</f>
        <v>1</v>
      </c>
      <c r="R522" s="460" t="str">
        <f>TEXT(tblResultadosNBA[[#This Row],[Fecha]],"mmm")</f>
        <v>ene</v>
      </c>
    </row>
    <row r="523" spans="1:18">
      <c r="A523" s="439">
        <v>46026</v>
      </c>
      <c r="B523" s="302" t="s">
        <v>265</v>
      </c>
      <c r="C523" s="177" t="str">
        <f t="shared" ref="C523:C528" si="484">LEFT(B523,FIND("@",B523)-2)</f>
        <v>Indiana Pacers</v>
      </c>
      <c r="D523" s="177">
        <v>115</v>
      </c>
      <c r="E523" s="336">
        <v>127</v>
      </c>
      <c r="F523" s="327">
        <f t="shared" ref="F523:F528" si="485">IF(E523&gt;D523, 1, 0)</f>
        <v>1</v>
      </c>
      <c r="G523" s="177" t="str">
        <f t="shared" ref="G523:G528" si="486">MID(B523,FIND("@",B523)+2,LEN(B523)-FIND("@",B523)-1)</f>
        <v>Orlando Magic</v>
      </c>
      <c r="H523" s="177">
        <v>118</v>
      </c>
      <c r="I523" s="336">
        <v>135</v>
      </c>
      <c r="J523" s="327">
        <f t="shared" ref="J523:J528" si="487">IF(I523&gt;H523, 1, 0)</f>
        <v>1</v>
      </c>
      <c r="K523" s="177">
        <f t="shared" ref="K523:K528" si="488">+D523+H523</f>
        <v>233</v>
      </c>
      <c r="L523" s="336">
        <f t="shared" ref="L523:L528" si="489">E523+I523</f>
        <v>262</v>
      </c>
      <c r="M523" s="327">
        <f t="shared" ref="M523:M528" si="490">IF(L523&gt;K523, 1, 0)</f>
        <v>1</v>
      </c>
      <c r="N523" s="337">
        <f t="shared" ref="N523:N528" si="491">(+H523-D523)</f>
        <v>3</v>
      </c>
      <c r="O523" s="395">
        <f t="shared" ref="O523:O528" si="492">I523-E523</f>
        <v>8</v>
      </c>
      <c r="P523" s="289">
        <f t="shared" ref="P523:P528" si="493">IF(OR(AND(N523&gt;0,O523&gt;0),AND(N523&lt;0,O523&lt;0)),1,0)</f>
        <v>1</v>
      </c>
      <c r="Q523" s="460">
        <f>WEEKNUM(tblResultadosNBA[[#This Row],[Fecha]],2)</f>
        <v>1</v>
      </c>
      <c r="R523" s="460" t="str">
        <f>TEXT(tblResultadosNBA[[#This Row],[Fecha]],"mmm")</f>
        <v>ene</v>
      </c>
    </row>
    <row r="524" spans="1:18">
      <c r="A524" s="439">
        <v>46026</v>
      </c>
      <c r="B524" s="302" t="s">
        <v>266</v>
      </c>
      <c r="C524" s="177" t="str">
        <f t="shared" si="484"/>
        <v>Denver Nuggets</v>
      </c>
      <c r="D524" s="177">
        <v>115</v>
      </c>
      <c r="E524" s="336">
        <v>115</v>
      </c>
      <c r="F524" s="327">
        <f t="shared" si="485"/>
        <v>0</v>
      </c>
      <c r="G524" s="177" t="str">
        <f t="shared" si="486"/>
        <v>Brooklyn Nets</v>
      </c>
      <c r="H524" s="177">
        <v>110</v>
      </c>
      <c r="I524" s="336">
        <v>127</v>
      </c>
      <c r="J524" s="327">
        <f t="shared" si="487"/>
        <v>1</v>
      </c>
      <c r="K524" s="177">
        <f t="shared" si="488"/>
        <v>225</v>
      </c>
      <c r="L524" s="336">
        <f t="shared" si="489"/>
        <v>242</v>
      </c>
      <c r="M524" s="327">
        <f t="shared" si="490"/>
        <v>1</v>
      </c>
      <c r="N524" s="337">
        <f t="shared" si="491"/>
        <v>-5</v>
      </c>
      <c r="O524" s="395">
        <f t="shared" si="492"/>
        <v>12</v>
      </c>
      <c r="P524" s="289">
        <f t="shared" si="493"/>
        <v>0</v>
      </c>
      <c r="Q524" s="460">
        <f>WEEKNUM(tblResultadosNBA[[#This Row],[Fecha]],2)</f>
        <v>1</v>
      </c>
      <c r="R524" s="460" t="str">
        <f>TEXT(tblResultadosNBA[[#This Row],[Fecha]],"mmm")</f>
        <v>ene</v>
      </c>
    </row>
    <row r="525" spans="1:18">
      <c r="A525" s="439">
        <v>46026</v>
      </c>
      <c r="B525" s="302" t="s">
        <v>620</v>
      </c>
      <c r="C525" s="177" t="str">
        <f t="shared" si="484"/>
        <v>New Orleans Pelicans</v>
      </c>
      <c r="D525" s="177">
        <v>114</v>
      </c>
      <c r="E525" s="336">
        <v>106</v>
      </c>
      <c r="F525" s="327">
        <f t="shared" si="485"/>
        <v>0</v>
      </c>
      <c r="G525" s="177" t="str">
        <f t="shared" si="486"/>
        <v>Miami Heat</v>
      </c>
      <c r="H525" s="177">
        <v>128</v>
      </c>
      <c r="I525" s="336">
        <v>125</v>
      </c>
      <c r="J525" s="327">
        <f t="shared" si="487"/>
        <v>0</v>
      </c>
      <c r="K525" s="177">
        <f t="shared" si="488"/>
        <v>242</v>
      </c>
      <c r="L525" s="336">
        <f t="shared" si="489"/>
        <v>231</v>
      </c>
      <c r="M525" s="327">
        <f t="shared" si="490"/>
        <v>0</v>
      </c>
      <c r="N525" s="337">
        <f t="shared" si="491"/>
        <v>14</v>
      </c>
      <c r="O525" s="395">
        <f t="shared" si="492"/>
        <v>19</v>
      </c>
      <c r="P525" s="289">
        <f t="shared" si="493"/>
        <v>1</v>
      </c>
      <c r="Q525" s="460">
        <f>WEEKNUM(tblResultadosNBA[[#This Row],[Fecha]],2)</f>
        <v>1</v>
      </c>
      <c r="R525" s="460" t="str">
        <f>TEXT(tblResultadosNBA[[#This Row],[Fecha]],"mmm")</f>
        <v>ene</v>
      </c>
    </row>
    <row r="526" spans="1:18">
      <c r="A526" s="439">
        <v>46026</v>
      </c>
      <c r="B526" s="302" t="s">
        <v>267</v>
      </c>
      <c r="C526" s="177" t="str">
        <f t="shared" si="484"/>
        <v>Minnesota Timberwolves</v>
      </c>
      <c r="D526" s="177">
        <v>117</v>
      </c>
      <c r="E526" s="336">
        <v>141</v>
      </c>
      <c r="F526" s="327">
        <f t="shared" si="485"/>
        <v>1</v>
      </c>
      <c r="G526" s="177" t="str">
        <f t="shared" si="486"/>
        <v>Washington Wizards</v>
      </c>
      <c r="H526" s="177">
        <v>128</v>
      </c>
      <c r="I526" s="336">
        <v>115</v>
      </c>
      <c r="J526" s="327">
        <f t="shared" si="487"/>
        <v>0</v>
      </c>
      <c r="K526" s="177">
        <f t="shared" si="488"/>
        <v>245</v>
      </c>
      <c r="L526" s="336">
        <f t="shared" si="489"/>
        <v>256</v>
      </c>
      <c r="M526" s="327">
        <f t="shared" si="490"/>
        <v>1</v>
      </c>
      <c r="N526" s="337">
        <f t="shared" si="491"/>
        <v>11</v>
      </c>
      <c r="O526" s="395">
        <f t="shared" si="492"/>
        <v>-26</v>
      </c>
      <c r="P526" s="289">
        <f t="shared" si="493"/>
        <v>0</v>
      </c>
      <c r="Q526" s="460">
        <f>WEEKNUM(tblResultadosNBA[[#This Row],[Fecha]],2)</f>
        <v>1</v>
      </c>
      <c r="R526" s="460" t="str">
        <f>TEXT(tblResultadosNBA[[#This Row],[Fecha]],"mmm")</f>
        <v>ene</v>
      </c>
    </row>
    <row r="527" spans="1:18">
      <c r="A527" s="439">
        <v>46026</v>
      </c>
      <c r="B527" s="302" t="s">
        <v>621</v>
      </c>
      <c r="C527" s="177" t="str">
        <f t="shared" si="484"/>
        <v>Oklahoma City Thunder</v>
      </c>
      <c r="D527" s="177">
        <v>113</v>
      </c>
      <c r="E527" s="336">
        <v>105</v>
      </c>
      <c r="F527" s="327">
        <f t="shared" si="485"/>
        <v>0</v>
      </c>
      <c r="G527" s="177" t="str">
        <f t="shared" si="486"/>
        <v>Phoenix Suns</v>
      </c>
      <c r="H527" s="177">
        <v>117</v>
      </c>
      <c r="I527" s="336">
        <v>108</v>
      </c>
      <c r="J527" s="327">
        <f t="shared" si="487"/>
        <v>0</v>
      </c>
      <c r="K527" s="177">
        <f t="shared" si="488"/>
        <v>230</v>
      </c>
      <c r="L527" s="336">
        <f t="shared" si="489"/>
        <v>213</v>
      </c>
      <c r="M527" s="327">
        <f t="shared" si="490"/>
        <v>0</v>
      </c>
      <c r="N527" s="337">
        <f t="shared" si="491"/>
        <v>4</v>
      </c>
      <c r="O527" s="395">
        <f t="shared" si="492"/>
        <v>3</v>
      </c>
      <c r="P527" s="289">
        <f t="shared" si="493"/>
        <v>1</v>
      </c>
      <c r="Q527" s="460">
        <f>WEEKNUM(tblResultadosNBA[[#This Row],[Fecha]],2)</f>
        <v>1</v>
      </c>
      <c r="R527" s="460" t="str">
        <f>TEXT(tblResultadosNBA[[#This Row],[Fecha]],"mmm")</f>
        <v>ene</v>
      </c>
    </row>
    <row r="528" spans="1:18">
      <c r="A528" s="439">
        <v>46026</v>
      </c>
      <c r="B528" s="302" t="s">
        <v>268</v>
      </c>
      <c r="C528" s="177" t="str">
        <f t="shared" si="484"/>
        <v>Milwaukee Bucks</v>
      </c>
      <c r="D528" s="177">
        <v>119</v>
      </c>
      <c r="E528" s="336">
        <v>115</v>
      </c>
      <c r="F528" s="327">
        <f t="shared" si="485"/>
        <v>0</v>
      </c>
      <c r="G528" s="177" t="str">
        <f t="shared" si="486"/>
        <v>Sacramento Kings</v>
      </c>
      <c r="H528" s="177">
        <v>121</v>
      </c>
      <c r="I528" s="336">
        <v>98</v>
      </c>
      <c r="J528" s="327">
        <f t="shared" si="487"/>
        <v>0</v>
      </c>
      <c r="K528" s="177">
        <f t="shared" si="488"/>
        <v>240</v>
      </c>
      <c r="L528" s="336">
        <f t="shared" si="489"/>
        <v>213</v>
      </c>
      <c r="M528" s="327">
        <f t="shared" si="490"/>
        <v>0</v>
      </c>
      <c r="N528" s="337">
        <f t="shared" si="491"/>
        <v>2</v>
      </c>
      <c r="O528" s="395">
        <f t="shared" si="492"/>
        <v>-17</v>
      </c>
      <c r="P528" s="289">
        <f t="shared" si="493"/>
        <v>0</v>
      </c>
      <c r="Q528" s="460">
        <f>WEEKNUM(tblResultadosNBA[[#This Row],[Fecha]],2)</f>
        <v>1</v>
      </c>
      <c r="R528" s="460" t="str">
        <f>TEXT(tblResultadosNBA[[#This Row],[Fecha]],"mmm")</f>
        <v>ene</v>
      </c>
    </row>
    <row r="529" spans="1:18">
      <c r="A529" s="446">
        <v>46026</v>
      </c>
      <c r="B529" s="331" t="s">
        <v>616</v>
      </c>
      <c r="C529" s="286" t="str">
        <f>LEFT(B529,FIND("@",B529)-2)</f>
        <v>Memphis Grizzlies</v>
      </c>
      <c r="D529" s="286">
        <v>108</v>
      </c>
      <c r="E529" s="431">
        <v>114</v>
      </c>
      <c r="F529" s="332">
        <f>IF(E529&gt;D529, 1, 0)</f>
        <v>1</v>
      </c>
      <c r="G529" s="286" t="str">
        <f>MID(B529,FIND("@",B529)+2,LEN(B529)-FIND("@",B529)-1)</f>
        <v>Los Angeles Lakers</v>
      </c>
      <c r="H529" s="286">
        <v>117</v>
      </c>
      <c r="I529" s="431">
        <v>120</v>
      </c>
      <c r="J529" s="332">
        <f>IF(I529&gt;H529, 1, 0)</f>
        <v>1</v>
      </c>
      <c r="K529" s="286">
        <f>+D529+H529</f>
        <v>225</v>
      </c>
      <c r="L529" s="431">
        <f>E529+I529</f>
        <v>234</v>
      </c>
      <c r="M529" s="332">
        <f>IF(L529&gt;K529, 1, 0)</f>
        <v>1</v>
      </c>
      <c r="N529" s="432">
        <f>(+H529-D529)</f>
        <v>9</v>
      </c>
      <c r="O529" s="451">
        <f>I529-E529</f>
        <v>6</v>
      </c>
      <c r="P529" s="433">
        <f>IF(OR(AND(N529&gt;0,O529&gt;0),AND(N529&lt;0,O529&lt;0)),1,0)</f>
        <v>1</v>
      </c>
      <c r="Q529" s="460">
        <f>WEEKNUM(tblResultadosNBA[[#This Row],[Fecha]],2)</f>
        <v>1</v>
      </c>
      <c r="R529" s="460" t="str">
        <f>TEXT(tblResultadosNBA[[#This Row],[Fecha]],"mmm")</f>
        <v>ene</v>
      </c>
    </row>
    <row r="530" spans="1:18">
      <c r="A530" s="439">
        <v>46027</v>
      </c>
      <c r="B530" s="422" t="s">
        <v>269</v>
      </c>
      <c r="C530" s="341" t="str">
        <f>LEFT(B530,FIND("@",B530)-2)</f>
        <v>New York Knicks</v>
      </c>
      <c r="D530" s="341">
        <v>130</v>
      </c>
      <c r="E530" s="342">
        <v>90</v>
      </c>
      <c r="F530" s="333">
        <f>IF(E530&gt;D530, 1, 0)</f>
        <v>0</v>
      </c>
      <c r="G530" s="341" t="str">
        <f>MID(B530,FIND("@",B530)+2,LEN(B530)-FIND("@",B530)-1)</f>
        <v>Detroit Pistons</v>
      </c>
      <c r="H530" s="341">
        <v>124</v>
      </c>
      <c r="I530" s="342">
        <v>121</v>
      </c>
      <c r="J530" s="333">
        <f>IF(I530&gt;H530, 1, 0)</f>
        <v>0</v>
      </c>
      <c r="K530" s="341">
        <f>+D530+H530</f>
        <v>254</v>
      </c>
      <c r="L530" s="342">
        <f>E530+I530</f>
        <v>211</v>
      </c>
      <c r="M530" s="333">
        <f>IF(L530&gt;K530, 1, 0)</f>
        <v>0</v>
      </c>
      <c r="N530" s="343">
        <f>(+H530-D530)</f>
        <v>-6</v>
      </c>
      <c r="O530" s="449">
        <f>I530-E530</f>
        <v>31</v>
      </c>
      <c r="P530" s="289">
        <f>IF(OR(AND(N530&gt;0,O530&gt;0),AND(N530&lt;0,O530&lt;0)),1,0)</f>
        <v>0</v>
      </c>
      <c r="Q530" s="460">
        <f>WEEKNUM(tblResultadosNBA[[#This Row],[Fecha]],2)</f>
        <v>2</v>
      </c>
      <c r="R530" s="460" t="str">
        <f>TEXT(tblResultadosNBA[[#This Row],[Fecha]],"mmm")</f>
        <v>ene</v>
      </c>
    </row>
    <row r="531" spans="1:18">
      <c r="A531" s="439">
        <v>46027</v>
      </c>
      <c r="B531" s="302" t="s">
        <v>360</v>
      </c>
      <c r="C531" s="177" t="str">
        <f t="shared" ref="C531:C537" si="494">LEFT(B531,FIND("@",B531)-2)</f>
        <v>Chicago Bulls</v>
      </c>
      <c r="D531" s="177">
        <v>109</v>
      </c>
      <c r="E531" s="336">
        <v>100</v>
      </c>
      <c r="F531" s="327">
        <f t="shared" ref="F531:F537" si="495">IF(E531&gt;D531, 1, 0)</f>
        <v>0</v>
      </c>
      <c r="G531" s="177" t="str">
        <f t="shared" ref="G531:G537" si="496">MID(B531,FIND("@",B531)+2,LEN(B531)-FIND("@",B531)-1)</f>
        <v>Boston Celtics</v>
      </c>
      <c r="H531" s="177">
        <v>125</v>
      </c>
      <c r="I531" s="336">
        <v>115</v>
      </c>
      <c r="J531" s="327">
        <f t="shared" ref="J531:J537" si="497">IF(I531&gt;H531, 1, 0)</f>
        <v>0</v>
      </c>
      <c r="K531" s="177">
        <f t="shared" ref="K531:K537" si="498">+D531+H531</f>
        <v>234</v>
      </c>
      <c r="L531" s="336">
        <f t="shared" ref="L531:L537" si="499">E531+I531</f>
        <v>215</v>
      </c>
      <c r="M531" s="327">
        <f t="shared" ref="M531:M537" si="500">IF(L531&gt;K531, 1, 0)</f>
        <v>0</v>
      </c>
      <c r="N531" s="337">
        <f t="shared" ref="N531:N537" si="501">(+H531-D531)</f>
        <v>16</v>
      </c>
      <c r="O531" s="395">
        <f t="shared" ref="O531:O537" si="502">I531-E531</f>
        <v>15</v>
      </c>
      <c r="P531" s="289">
        <f t="shared" ref="P531:P537" si="503">IF(OR(AND(N531&gt;0,O531&gt;0),AND(N531&lt;0,O531&lt;0)),1,0)</f>
        <v>1</v>
      </c>
      <c r="Q531" s="460">
        <f>WEEKNUM(tblResultadosNBA[[#This Row],[Fecha]],2)</f>
        <v>2</v>
      </c>
      <c r="R531" s="460" t="str">
        <f>TEXT(tblResultadosNBA[[#This Row],[Fecha]],"mmm")</f>
        <v>ene</v>
      </c>
    </row>
    <row r="532" spans="1:18">
      <c r="A532" s="439">
        <v>46027</v>
      </c>
      <c r="B532" s="302" t="s">
        <v>617</v>
      </c>
      <c r="C532" s="177" t="str">
        <f t="shared" si="494"/>
        <v>Atlanta Hawks</v>
      </c>
      <c r="D532" s="177">
        <v>102</v>
      </c>
      <c r="E532" s="336">
        <v>100</v>
      </c>
      <c r="F532" s="327">
        <f t="shared" si="495"/>
        <v>0</v>
      </c>
      <c r="G532" s="177" t="str">
        <f t="shared" si="496"/>
        <v>Toronto Raptors</v>
      </c>
      <c r="H532" s="177">
        <v>129</v>
      </c>
      <c r="I532" s="336">
        <v>118</v>
      </c>
      <c r="J532" s="327">
        <f t="shared" si="497"/>
        <v>0</v>
      </c>
      <c r="K532" s="177">
        <f t="shared" si="498"/>
        <v>231</v>
      </c>
      <c r="L532" s="336">
        <f t="shared" si="499"/>
        <v>218</v>
      </c>
      <c r="M532" s="327">
        <f t="shared" si="500"/>
        <v>0</v>
      </c>
      <c r="N532" s="337">
        <f t="shared" si="501"/>
        <v>27</v>
      </c>
      <c r="O532" s="395">
        <f t="shared" si="502"/>
        <v>18</v>
      </c>
      <c r="P532" s="289">
        <f t="shared" si="503"/>
        <v>1</v>
      </c>
      <c r="Q532" s="460">
        <f>WEEKNUM(tblResultadosNBA[[#This Row],[Fecha]],2)</f>
        <v>2</v>
      </c>
      <c r="R532" s="460" t="str">
        <f>TEXT(tblResultadosNBA[[#This Row],[Fecha]],"mmm")</f>
        <v>ene</v>
      </c>
    </row>
    <row r="533" spans="1:18">
      <c r="A533" s="439">
        <v>46027</v>
      </c>
      <c r="B533" s="302" t="s">
        <v>153</v>
      </c>
      <c r="C533" s="177" t="str">
        <f t="shared" si="494"/>
        <v>Phoenix Suns</v>
      </c>
      <c r="D533" s="177">
        <v>118</v>
      </c>
      <c r="E533" s="336">
        <v>97</v>
      </c>
      <c r="F533" s="327">
        <f t="shared" si="495"/>
        <v>0</v>
      </c>
      <c r="G533" s="177" t="str">
        <f t="shared" si="496"/>
        <v>Houston Rockets</v>
      </c>
      <c r="H533" s="177">
        <v>124</v>
      </c>
      <c r="I533" s="336">
        <v>100</v>
      </c>
      <c r="J533" s="327">
        <f t="shared" si="497"/>
        <v>0</v>
      </c>
      <c r="K533" s="177">
        <f t="shared" si="498"/>
        <v>242</v>
      </c>
      <c r="L533" s="336">
        <f t="shared" si="499"/>
        <v>197</v>
      </c>
      <c r="M533" s="327">
        <f t="shared" si="500"/>
        <v>0</v>
      </c>
      <c r="N533" s="337">
        <f t="shared" si="501"/>
        <v>6</v>
      </c>
      <c r="O533" s="395">
        <f t="shared" si="502"/>
        <v>3</v>
      </c>
      <c r="P533" s="289">
        <f t="shared" si="503"/>
        <v>1</v>
      </c>
      <c r="Q533" s="460">
        <f>WEEKNUM(tblResultadosNBA[[#This Row],[Fecha]],2)</f>
        <v>2</v>
      </c>
      <c r="R533" s="460" t="str">
        <f>TEXT(tblResultadosNBA[[#This Row],[Fecha]],"mmm")</f>
        <v>ene</v>
      </c>
    </row>
    <row r="534" spans="1:18">
      <c r="A534" s="439">
        <v>46027</v>
      </c>
      <c r="B534" s="302" t="s">
        <v>270</v>
      </c>
      <c r="C534" s="177" t="str">
        <f t="shared" si="494"/>
        <v>Charlotte Hornets</v>
      </c>
      <c r="D534" s="177">
        <v>115</v>
      </c>
      <c r="E534" s="336">
        <v>124</v>
      </c>
      <c r="F534" s="327">
        <f t="shared" si="495"/>
        <v>1</v>
      </c>
      <c r="G534" s="177" t="str">
        <f t="shared" si="496"/>
        <v>Oklahoma City Thunder</v>
      </c>
      <c r="H534" s="177">
        <v>119</v>
      </c>
      <c r="I534" s="336">
        <v>97</v>
      </c>
      <c r="J534" s="327">
        <f t="shared" si="497"/>
        <v>0</v>
      </c>
      <c r="K534" s="177">
        <f t="shared" si="498"/>
        <v>234</v>
      </c>
      <c r="L534" s="336">
        <f t="shared" si="499"/>
        <v>221</v>
      </c>
      <c r="M534" s="327">
        <f t="shared" si="500"/>
        <v>0</v>
      </c>
      <c r="N534" s="337">
        <f t="shared" si="501"/>
        <v>4</v>
      </c>
      <c r="O534" s="395">
        <f t="shared" si="502"/>
        <v>-27</v>
      </c>
      <c r="P534" s="289">
        <f t="shared" si="503"/>
        <v>0</v>
      </c>
      <c r="Q534" s="460">
        <f>WEEKNUM(tblResultadosNBA[[#This Row],[Fecha]],2)</f>
        <v>2</v>
      </c>
      <c r="R534" s="460" t="str">
        <f>TEXT(tblResultadosNBA[[#This Row],[Fecha]],"mmm")</f>
        <v>ene</v>
      </c>
    </row>
    <row r="535" spans="1:18">
      <c r="A535" s="439">
        <v>46027</v>
      </c>
      <c r="B535" s="302" t="s">
        <v>271</v>
      </c>
      <c r="C535" s="177" t="str">
        <f t="shared" si="494"/>
        <v>Denver Nuggets</v>
      </c>
      <c r="D535" s="177">
        <v>114</v>
      </c>
      <c r="E535" s="336">
        <v>125</v>
      </c>
      <c r="F535" s="327">
        <f t="shared" si="495"/>
        <v>1</v>
      </c>
      <c r="G535" s="177" t="str">
        <f t="shared" si="496"/>
        <v>Philadelphia 76ers</v>
      </c>
      <c r="H535" s="177">
        <v>120</v>
      </c>
      <c r="I535" s="336">
        <v>124</v>
      </c>
      <c r="J535" s="327">
        <f t="shared" si="497"/>
        <v>1</v>
      </c>
      <c r="K535" s="177">
        <f t="shared" si="498"/>
        <v>234</v>
      </c>
      <c r="L535" s="336">
        <f t="shared" si="499"/>
        <v>249</v>
      </c>
      <c r="M535" s="327">
        <f t="shared" si="500"/>
        <v>1</v>
      </c>
      <c r="N535" s="337">
        <f t="shared" si="501"/>
        <v>6</v>
      </c>
      <c r="O535" s="395">
        <f t="shared" si="502"/>
        <v>-1</v>
      </c>
      <c r="P535" s="289">
        <f t="shared" si="503"/>
        <v>0</v>
      </c>
      <c r="Q535" s="460">
        <f>WEEKNUM(tblResultadosNBA[[#This Row],[Fecha]],2)</f>
        <v>2</v>
      </c>
      <c r="R535" s="460" t="str">
        <f>TEXT(tblResultadosNBA[[#This Row],[Fecha]],"mmm")</f>
        <v>ene</v>
      </c>
    </row>
    <row r="536" spans="1:18">
      <c r="A536" s="439">
        <v>46027</v>
      </c>
      <c r="B536" s="302" t="s">
        <v>272</v>
      </c>
      <c r="C536" s="177" t="str">
        <f t="shared" si="494"/>
        <v>Golden State Warriors</v>
      </c>
      <c r="D536" s="177">
        <v>113</v>
      </c>
      <c r="E536" s="336">
        <v>102</v>
      </c>
      <c r="F536" s="327">
        <f t="shared" si="495"/>
        <v>0</v>
      </c>
      <c r="G536" s="177" t="str">
        <f t="shared" si="496"/>
        <v>LA Clippers</v>
      </c>
      <c r="H536" s="177">
        <v>122</v>
      </c>
      <c r="I536" s="336">
        <v>103</v>
      </c>
      <c r="J536" s="327">
        <f t="shared" si="497"/>
        <v>0</v>
      </c>
      <c r="K536" s="177">
        <f t="shared" si="498"/>
        <v>235</v>
      </c>
      <c r="L536" s="336">
        <f t="shared" si="499"/>
        <v>205</v>
      </c>
      <c r="M536" s="327">
        <f t="shared" si="500"/>
        <v>0</v>
      </c>
      <c r="N536" s="337">
        <f t="shared" si="501"/>
        <v>9</v>
      </c>
      <c r="O536" s="395">
        <f t="shared" si="502"/>
        <v>1</v>
      </c>
      <c r="P536" s="289">
        <f t="shared" si="503"/>
        <v>1</v>
      </c>
      <c r="Q536" s="460">
        <f>WEEKNUM(tblResultadosNBA[[#This Row],[Fecha]],2)</f>
        <v>2</v>
      </c>
      <c r="R536" s="460" t="str">
        <f>TEXT(tblResultadosNBA[[#This Row],[Fecha]],"mmm")</f>
        <v>ene</v>
      </c>
    </row>
    <row r="537" spans="1:18">
      <c r="A537" s="446">
        <v>46027</v>
      </c>
      <c r="B537" s="331" t="s">
        <v>622</v>
      </c>
      <c r="C537" s="286" t="str">
        <f t="shared" si="494"/>
        <v>Utah Jazz</v>
      </c>
      <c r="D537" s="286">
        <v>115</v>
      </c>
      <c r="E537" s="431">
        <v>117</v>
      </c>
      <c r="F537" s="332">
        <f t="shared" si="495"/>
        <v>1</v>
      </c>
      <c r="G537" s="286" t="str">
        <f t="shared" si="496"/>
        <v>Portland Trail Blazers</v>
      </c>
      <c r="H537" s="286">
        <v>111</v>
      </c>
      <c r="I537" s="431">
        <v>137</v>
      </c>
      <c r="J537" s="332">
        <f t="shared" si="497"/>
        <v>1</v>
      </c>
      <c r="K537" s="286">
        <f t="shared" si="498"/>
        <v>226</v>
      </c>
      <c r="L537" s="431">
        <f t="shared" si="499"/>
        <v>254</v>
      </c>
      <c r="M537" s="332">
        <f t="shared" si="500"/>
        <v>1</v>
      </c>
      <c r="N537" s="432">
        <f t="shared" si="501"/>
        <v>-4</v>
      </c>
      <c r="O537" s="451">
        <f t="shared" si="502"/>
        <v>20</v>
      </c>
      <c r="P537" s="433">
        <f t="shared" si="503"/>
        <v>0</v>
      </c>
      <c r="Q537" s="460">
        <f>WEEKNUM(tblResultadosNBA[[#This Row],[Fecha]],2)</f>
        <v>2</v>
      </c>
      <c r="R537" s="460" t="str">
        <f>TEXT(tblResultadosNBA[[#This Row],[Fecha]],"mmm")</f>
        <v>ene</v>
      </c>
    </row>
    <row r="538" spans="1:18">
      <c r="A538" s="439">
        <v>46028</v>
      </c>
      <c r="B538" s="422" t="s">
        <v>127</v>
      </c>
      <c r="C538" s="341" t="str">
        <f>LEFT(B538,FIND("@",B538)-2)</f>
        <v>Cleveland Cavaliers</v>
      </c>
      <c r="D538" s="341">
        <v>131</v>
      </c>
      <c r="E538" s="342">
        <v>120</v>
      </c>
      <c r="F538" s="333">
        <f>IF(E538&gt;D538, 1, 0)</f>
        <v>0</v>
      </c>
      <c r="G538" s="341" t="str">
        <f>MID(B538,FIND("@",B538)+2,LEN(B538)-FIND("@",B538)-1)</f>
        <v>Indiana Pacers</v>
      </c>
      <c r="H538" s="341">
        <v>117</v>
      </c>
      <c r="I538" s="342">
        <v>116</v>
      </c>
      <c r="J538" s="333">
        <f>IF(I538&gt;H538, 1, 0)</f>
        <v>0</v>
      </c>
      <c r="K538" s="341">
        <f>+D538+H538</f>
        <v>248</v>
      </c>
      <c r="L538" s="342">
        <f>E538+I538</f>
        <v>236</v>
      </c>
      <c r="M538" s="333">
        <f>IF(L538&gt;K538, 1, 0)</f>
        <v>0</v>
      </c>
      <c r="N538" s="343">
        <f>(+H538-D538)</f>
        <v>-14</v>
      </c>
      <c r="O538" s="449">
        <f>I538-E538</f>
        <v>-4</v>
      </c>
      <c r="P538" s="289">
        <f>IF(OR(AND(N538&gt;0,O538&gt;0),AND(N538&lt;0,O538&lt;0)),1,0)</f>
        <v>1</v>
      </c>
      <c r="Q538" s="460">
        <f>WEEKNUM(tblResultadosNBA[[#This Row],[Fecha]],2)</f>
        <v>2</v>
      </c>
      <c r="R538" s="460" t="str">
        <f>TEXT(tblResultadosNBA[[#This Row],[Fecha]],"mmm")</f>
        <v>ene</v>
      </c>
    </row>
    <row r="539" spans="1:18">
      <c r="A539" s="439">
        <v>46028</v>
      </c>
      <c r="B539" s="302" t="s">
        <v>273</v>
      </c>
      <c r="C539" s="177" t="str">
        <f t="shared" ref="C539:C542" si="504">LEFT(B539,FIND("@",B539)-2)</f>
        <v>Orlando Magic</v>
      </c>
      <c r="D539" s="177">
        <v>119</v>
      </c>
      <c r="E539" s="336">
        <v>112</v>
      </c>
      <c r="F539" s="327">
        <f t="shared" ref="F539:F542" si="505">IF(E539&gt;D539, 1, 0)</f>
        <v>0</v>
      </c>
      <c r="G539" s="177" t="str">
        <f t="shared" ref="G539:G542" si="506">MID(B539,FIND("@",B539)+2,LEN(B539)-FIND("@",B539)-1)</f>
        <v>Washington Wizards</v>
      </c>
      <c r="H539" s="177">
        <v>129</v>
      </c>
      <c r="I539" s="336">
        <v>120</v>
      </c>
      <c r="J539" s="327">
        <f t="shared" ref="J539:J542" si="507">IF(I539&gt;H539, 1, 0)</f>
        <v>0</v>
      </c>
      <c r="K539" s="177">
        <f t="shared" ref="K539:K542" si="508">+D539+H539</f>
        <v>248</v>
      </c>
      <c r="L539" s="336">
        <f t="shared" ref="L539:L542" si="509">E539+I539</f>
        <v>232</v>
      </c>
      <c r="M539" s="327">
        <f t="shared" ref="M539:M542" si="510">IF(L539&gt;K539, 1, 0)</f>
        <v>0</v>
      </c>
      <c r="N539" s="337">
        <f t="shared" ref="N539:N542" si="511">(+H539-D539)</f>
        <v>10</v>
      </c>
      <c r="O539" s="395">
        <f t="shared" ref="O539:O542" si="512">I539-E539</f>
        <v>8</v>
      </c>
      <c r="P539" s="289">
        <f t="shared" ref="P539:P542" si="513">IF(OR(AND(N539&gt;0,O539&gt;0),AND(N539&lt;0,O539&lt;0)),1,0)</f>
        <v>1</v>
      </c>
      <c r="Q539" s="460">
        <f>WEEKNUM(tblResultadosNBA[[#This Row],[Fecha]],2)</f>
        <v>2</v>
      </c>
      <c r="R539" s="460" t="str">
        <f>TEXT(tblResultadosNBA[[#This Row],[Fecha]],"mmm")</f>
        <v>ene</v>
      </c>
    </row>
    <row r="540" spans="1:18">
      <c r="A540" s="439">
        <v>46028</v>
      </c>
      <c r="B540" s="302" t="s">
        <v>623</v>
      </c>
      <c r="C540" s="177" t="str">
        <f t="shared" si="504"/>
        <v>San Antonio Spurs</v>
      </c>
      <c r="D540" s="177">
        <v>112</v>
      </c>
      <c r="E540" s="336">
        <v>105</v>
      </c>
      <c r="F540" s="327">
        <f t="shared" si="505"/>
        <v>0</v>
      </c>
      <c r="G540" s="177" t="str">
        <f t="shared" si="506"/>
        <v>Memphis Grizzlies</v>
      </c>
      <c r="H540" s="177">
        <v>123</v>
      </c>
      <c r="I540" s="336">
        <v>106</v>
      </c>
      <c r="J540" s="327">
        <f t="shared" si="507"/>
        <v>0</v>
      </c>
      <c r="K540" s="177">
        <f t="shared" si="508"/>
        <v>235</v>
      </c>
      <c r="L540" s="336">
        <f t="shared" si="509"/>
        <v>211</v>
      </c>
      <c r="M540" s="327">
        <f t="shared" si="510"/>
        <v>0</v>
      </c>
      <c r="N540" s="337">
        <f t="shared" si="511"/>
        <v>11</v>
      </c>
      <c r="O540" s="395">
        <f t="shared" si="512"/>
        <v>1</v>
      </c>
      <c r="P540" s="289">
        <f t="shared" si="513"/>
        <v>1</v>
      </c>
      <c r="Q540" s="460">
        <f>WEEKNUM(tblResultadosNBA[[#This Row],[Fecha]],2)</f>
        <v>2</v>
      </c>
      <c r="R540" s="460" t="str">
        <f>TEXT(tblResultadosNBA[[#This Row],[Fecha]],"mmm")</f>
        <v>ene</v>
      </c>
    </row>
    <row r="541" spans="1:18">
      <c r="A541" s="439">
        <v>46028</v>
      </c>
      <c r="B541" s="302" t="s">
        <v>624</v>
      </c>
      <c r="C541" s="177" t="str">
        <f t="shared" si="504"/>
        <v>Miami Heat</v>
      </c>
      <c r="D541" s="177">
        <v>114</v>
      </c>
      <c r="E541" s="336">
        <v>94</v>
      </c>
      <c r="F541" s="327">
        <f t="shared" si="505"/>
        <v>0</v>
      </c>
      <c r="G541" s="177" t="str">
        <f t="shared" si="506"/>
        <v>Minnesota Timberwolves</v>
      </c>
      <c r="H541" s="177">
        <v>120</v>
      </c>
      <c r="I541" s="336">
        <v>122</v>
      </c>
      <c r="J541" s="327">
        <f t="shared" si="507"/>
        <v>1</v>
      </c>
      <c r="K541" s="177">
        <f t="shared" si="508"/>
        <v>234</v>
      </c>
      <c r="L541" s="336">
        <f t="shared" si="509"/>
        <v>216</v>
      </c>
      <c r="M541" s="327">
        <f t="shared" si="510"/>
        <v>0</v>
      </c>
      <c r="N541" s="337">
        <f t="shared" si="511"/>
        <v>6</v>
      </c>
      <c r="O541" s="395">
        <f t="shared" si="512"/>
        <v>28</v>
      </c>
      <c r="P541" s="289">
        <f t="shared" si="513"/>
        <v>1</v>
      </c>
      <c r="Q541" s="460">
        <f>WEEKNUM(tblResultadosNBA[[#This Row],[Fecha]],2)</f>
        <v>2</v>
      </c>
      <c r="R541" s="460" t="str">
        <f>TEXT(tblResultadosNBA[[#This Row],[Fecha]],"mmm")</f>
        <v>ene</v>
      </c>
    </row>
    <row r="542" spans="1:18">
      <c r="A542" s="439">
        <v>46028</v>
      </c>
      <c r="B542" s="302" t="s">
        <v>56</v>
      </c>
      <c r="C542" s="177" t="str">
        <f t="shared" si="504"/>
        <v>Los Angeles Lakers</v>
      </c>
      <c r="D542" s="177">
        <v>116</v>
      </c>
      <c r="E542" s="336">
        <v>111</v>
      </c>
      <c r="F542" s="327">
        <f t="shared" si="505"/>
        <v>0</v>
      </c>
      <c r="G542" s="177" t="str">
        <f t="shared" si="506"/>
        <v>New Orleans Pelicans</v>
      </c>
      <c r="H542" s="177">
        <v>126</v>
      </c>
      <c r="I542" s="336">
        <v>103</v>
      </c>
      <c r="J542" s="327">
        <f t="shared" si="507"/>
        <v>0</v>
      </c>
      <c r="K542" s="177">
        <f t="shared" si="508"/>
        <v>242</v>
      </c>
      <c r="L542" s="336">
        <f t="shared" si="509"/>
        <v>214</v>
      </c>
      <c r="M542" s="327">
        <f t="shared" si="510"/>
        <v>0</v>
      </c>
      <c r="N542" s="337">
        <f t="shared" si="511"/>
        <v>10</v>
      </c>
      <c r="O542" s="395">
        <f t="shared" si="512"/>
        <v>-8</v>
      </c>
      <c r="P542" s="289">
        <f t="shared" si="513"/>
        <v>0</v>
      </c>
      <c r="Q542" s="460">
        <f>WEEKNUM(tblResultadosNBA[[#This Row],[Fecha]],2)</f>
        <v>2</v>
      </c>
      <c r="R542" s="460" t="str">
        <f>TEXT(tblResultadosNBA[[#This Row],[Fecha]],"mmm")</f>
        <v>ene</v>
      </c>
    </row>
    <row r="543" spans="1:18">
      <c r="A543" s="446">
        <v>46028</v>
      </c>
      <c r="B543" s="331" t="s">
        <v>233</v>
      </c>
      <c r="C543" s="286" t="str">
        <f>LEFT(B543,FIND("@",B543)-2)</f>
        <v>Dallas Mavericks</v>
      </c>
      <c r="D543" s="286">
        <v>113</v>
      </c>
      <c r="E543" s="431">
        <v>100</v>
      </c>
      <c r="F543" s="332">
        <f>IF(E543&gt;D543, 1, 0)</f>
        <v>0</v>
      </c>
      <c r="G543" s="286" t="str">
        <f>MID(B543,FIND("@",B543)+2,LEN(B543)-FIND("@",B543)-1)</f>
        <v>Sacramento Kings</v>
      </c>
      <c r="H543" s="286">
        <v>117</v>
      </c>
      <c r="I543" s="431">
        <v>98</v>
      </c>
      <c r="J543" s="332">
        <f>IF(I543&gt;H543, 1, 0)</f>
        <v>0</v>
      </c>
      <c r="K543" s="286">
        <f>+D543+H543</f>
        <v>230</v>
      </c>
      <c r="L543" s="431">
        <f>E543+I543</f>
        <v>198</v>
      </c>
      <c r="M543" s="332">
        <f>IF(L543&gt;K543, 1, 0)</f>
        <v>0</v>
      </c>
      <c r="N543" s="432">
        <f>(+H543-D543)</f>
        <v>4</v>
      </c>
      <c r="O543" s="451">
        <f>I543-E543</f>
        <v>-2</v>
      </c>
      <c r="P543" s="433">
        <f>IF(OR(AND(N543&gt;0,O543&gt;0),AND(N543&lt;0,O543&lt;0)),1,0)</f>
        <v>0</v>
      </c>
      <c r="Q543" s="460">
        <f>WEEKNUM(tblResultadosNBA[[#This Row],[Fecha]],2)</f>
        <v>2</v>
      </c>
      <c r="R543" s="460" t="str">
        <f>TEXT(tblResultadosNBA[[#This Row],[Fecha]],"mmm")</f>
        <v>ene</v>
      </c>
    </row>
    <row r="544" spans="1:18">
      <c r="A544" s="439">
        <v>46029</v>
      </c>
      <c r="B544" s="422" t="s">
        <v>118</v>
      </c>
      <c r="C544" s="341" t="str">
        <f>LEFT(B544,FIND("@",B544)-2)</f>
        <v>Toronto Raptors</v>
      </c>
      <c r="D544" s="341">
        <v>131</v>
      </c>
      <c r="E544" s="342">
        <v>97</v>
      </c>
      <c r="F544" s="333">
        <f>IF(E544&gt;D544, 1, 0)</f>
        <v>0</v>
      </c>
      <c r="G544" s="341" t="str">
        <f>MID(B544,FIND("@",B544)+2,LEN(B544)-FIND("@",B544)-1)</f>
        <v>Charlotte Hornets</v>
      </c>
      <c r="H544" s="341">
        <v>118</v>
      </c>
      <c r="I544" s="342">
        <v>96</v>
      </c>
      <c r="J544" s="333">
        <f>IF(I544&gt;H544, 1, 0)</f>
        <v>0</v>
      </c>
      <c r="K544" s="341">
        <f>+D544+H544</f>
        <v>249</v>
      </c>
      <c r="L544" s="342">
        <f>E544+I544</f>
        <v>193</v>
      </c>
      <c r="M544" s="333">
        <f>IF(L544&gt;K544, 1, 0)</f>
        <v>0</v>
      </c>
      <c r="N544" s="343">
        <f>(+H544-D544)</f>
        <v>-13</v>
      </c>
      <c r="O544" s="449">
        <f>I544-E544</f>
        <v>-1</v>
      </c>
      <c r="P544" s="289">
        <f>IF(OR(AND(N544&gt;0,O544&gt;0),AND(N544&lt;0,O544&lt;0)),1,0)</f>
        <v>1</v>
      </c>
      <c r="Q544" s="460">
        <f>WEEKNUM(tblResultadosNBA[[#This Row],[Fecha]],2)</f>
        <v>2</v>
      </c>
      <c r="R544" s="460" t="str">
        <f>TEXT(tblResultadosNBA[[#This Row],[Fecha]],"mmm")</f>
        <v>ene</v>
      </c>
    </row>
    <row r="545" spans="1:18">
      <c r="A545" s="419">
        <v>46029</v>
      </c>
      <c r="B545" s="422" t="s">
        <v>40</v>
      </c>
      <c r="C545" s="177" t="str">
        <f t="shared" ref="C545:C552" si="514">LEFT(B545,FIND("@",B545)-2)</f>
        <v>Chicago Bulls</v>
      </c>
      <c r="D545" s="177">
        <v>117</v>
      </c>
      <c r="E545" s="336">
        <v>93</v>
      </c>
      <c r="F545" s="327">
        <f t="shared" ref="F545:F552" si="515">IF(E545&gt;D545, 1, 0)</f>
        <v>0</v>
      </c>
      <c r="G545" s="177" t="str">
        <f t="shared" ref="G545:G552" si="516">MID(B545,FIND("@",B545)+2,LEN(B545)-FIND("@",B545)-1)</f>
        <v>Detroit Pistons</v>
      </c>
      <c r="H545" s="177">
        <v>123</v>
      </c>
      <c r="I545" s="336">
        <v>108</v>
      </c>
      <c r="J545" s="327">
        <f t="shared" ref="J545:J552" si="517">IF(I545&gt;H545, 1, 0)</f>
        <v>0</v>
      </c>
      <c r="K545" s="177">
        <f t="shared" ref="K545:K552" si="518">+D545+H545</f>
        <v>240</v>
      </c>
      <c r="L545" s="336">
        <f t="shared" ref="L545:L552" si="519">E545+I545</f>
        <v>201</v>
      </c>
      <c r="M545" s="327">
        <f t="shared" ref="M545:M552" si="520">IF(L545&gt;K545, 1, 0)</f>
        <v>0</v>
      </c>
      <c r="N545" s="337">
        <f t="shared" ref="N545:N552" si="521">(+H545-D545)</f>
        <v>6</v>
      </c>
      <c r="O545" s="395">
        <f t="shared" ref="O545:O552" si="522">I545-E545</f>
        <v>15</v>
      </c>
      <c r="P545" s="289">
        <f t="shared" ref="P545:P552" si="523">IF(OR(AND(N545&gt;0,O545&gt;0),AND(N545&lt;0,O545&lt;0)),1,0)</f>
        <v>1</v>
      </c>
      <c r="Q545" s="460">
        <f>WEEKNUM(tblResultadosNBA[[#This Row],[Fecha]],2)</f>
        <v>2</v>
      </c>
      <c r="R545" s="460" t="str">
        <f>TEXT(tblResultadosNBA[[#This Row],[Fecha]],"mmm")</f>
        <v>ene</v>
      </c>
    </row>
    <row r="546" spans="1:18">
      <c r="A546" s="419">
        <v>46029</v>
      </c>
      <c r="B546" s="422" t="s">
        <v>132</v>
      </c>
      <c r="C546" s="177" t="str">
        <f t="shared" si="514"/>
        <v>Washington Wizards</v>
      </c>
      <c r="D546" s="177">
        <v>111</v>
      </c>
      <c r="E546" s="336">
        <v>110</v>
      </c>
      <c r="F546" s="327">
        <f t="shared" si="515"/>
        <v>0</v>
      </c>
      <c r="G546" s="177" t="str">
        <f t="shared" si="516"/>
        <v>Philadelphia 76ers</v>
      </c>
      <c r="H546" s="177">
        <v>124</v>
      </c>
      <c r="I546" s="336">
        <v>131</v>
      </c>
      <c r="J546" s="327">
        <f t="shared" si="517"/>
        <v>1</v>
      </c>
      <c r="K546" s="177">
        <f t="shared" si="518"/>
        <v>235</v>
      </c>
      <c r="L546" s="336">
        <f t="shared" si="519"/>
        <v>241</v>
      </c>
      <c r="M546" s="327">
        <f t="shared" si="520"/>
        <v>1</v>
      </c>
      <c r="N546" s="337">
        <f t="shared" si="521"/>
        <v>13</v>
      </c>
      <c r="O546" s="395">
        <f t="shared" si="522"/>
        <v>21</v>
      </c>
      <c r="P546" s="289">
        <f t="shared" si="523"/>
        <v>1</v>
      </c>
      <c r="Q546" s="460">
        <f>WEEKNUM(tblResultadosNBA[[#This Row],[Fecha]],2)</f>
        <v>2</v>
      </c>
      <c r="R546" s="460" t="str">
        <f>TEXT(tblResultadosNBA[[#This Row],[Fecha]],"mmm")</f>
        <v>ene</v>
      </c>
    </row>
    <row r="547" spans="1:18">
      <c r="A547" s="419">
        <v>46029</v>
      </c>
      <c r="B547" s="422" t="s">
        <v>625</v>
      </c>
      <c r="C547" s="177" t="str">
        <f t="shared" si="514"/>
        <v>Denver Nuggets</v>
      </c>
      <c r="D547" s="177">
        <v>114</v>
      </c>
      <c r="E547" s="336">
        <v>114</v>
      </c>
      <c r="F547" s="327">
        <f t="shared" si="515"/>
        <v>0</v>
      </c>
      <c r="G547" s="177" t="str">
        <f t="shared" si="516"/>
        <v>Boston Celtics</v>
      </c>
      <c r="H547" s="177">
        <v>119</v>
      </c>
      <c r="I547" s="336">
        <v>110</v>
      </c>
      <c r="J547" s="327">
        <f t="shared" si="517"/>
        <v>0</v>
      </c>
      <c r="K547" s="177">
        <f t="shared" si="518"/>
        <v>233</v>
      </c>
      <c r="L547" s="336">
        <f t="shared" si="519"/>
        <v>224</v>
      </c>
      <c r="M547" s="327">
        <f t="shared" si="520"/>
        <v>0</v>
      </c>
      <c r="N547" s="337">
        <f t="shared" si="521"/>
        <v>5</v>
      </c>
      <c r="O547" s="395">
        <f t="shared" si="522"/>
        <v>-4</v>
      </c>
      <c r="P547" s="289">
        <f t="shared" si="523"/>
        <v>0</v>
      </c>
      <c r="Q547" s="460">
        <f>WEEKNUM(tblResultadosNBA[[#This Row],[Fecha]],2)</f>
        <v>2</v>
      </c>
      <c r="R547" s="460" t="str">
        <f>TEXT(tblResultadosNBA[[#This Row],[Fecha]],"mmm")</f>
        <v>ene</v>
      </c>
    </row>
    <row r="548" spans="1:18">
      <c r="A548" s="419">
        <v>46029</v>
      </c>
      <c r="B548" s="422" t="s">
        <v>626</v>
      </c>
      <c r="C548" s="177" t="str">
        <f t="shared" si="514"/>
        <v>New Orleans Pelicans</v>
      </c>
      <c r="D548" s="177">
        <v>113</v>
      </c>
      <c r="E548" s="336">
        <v>100</v>
      </c>
      <c r="F548" s="327">
        <f t="shared" si="515"/>
        <v>0</v>
      </c>
      <c r="G548" s="177" t="str">
        <f t="shared" si="516"/>
        <v>Atlanta Hawks</v>
      </c>
      <c r="H548" s="177">
        <v>124</v>
      </c>
      <c r="I548" s="336">
        <v>117</v>
      </c>
      <c r="J548" s="327">
        <f t="shared" si="517"/>
        <v>0</v>
      </c>
      <c r="K548" s="177">
        <f t="shared" si="518"/>
        <v>237</v>
      </c>
      <c r="L548" s="336">
        <f t="shared" si="519"/>
        <v>217</v>
      </c>
      <c r="M548" s="327">
        <f t="shared" si="520"/>
        <v>0</v>
      </c>
      <c r="N548" s="337">
        <f t="shared" si="521"/>
        <v>11</v>
      </c>
      <c r="O548" s="395">
        <f t="shared" si="522"/>
        <v>17</v>
      </c>
      <c r="P548" s="289">
        <f t="shared" si="523"/>
        <v>1</v>
      </c>
      <c r="Q548" s="460">
        <f>WEEKNUM(tblResultadosNBA[[#This Row],[Fecha]],2)</f>
        <v>2</v>
      </c>
      <c r="R548" s="460" t="str">
        <f>TEXT(tblResultadosNBA[[#This Row],[Fecha]],"mmm")</f>
        <v>ene</v>
      </c>
    </row>
    <row r="549" spans="1:18">
      <c r="A549" s="419">
        <v>46029</v>
      </c>
      <c r="B549" s="422" t="s">
        <v>627</v>
      </c>
      <c r="C549" s="177" t="str">
        <f t="shared" si="514"/>
        <v>Orlando Magic</v>
      </c>
      <c r="D549" s="177">
        <v>107</v>
      </c>
      <c r="E549" s="336">
        <v>104</v>
      </c>
      <c r="F549" s="327">
        <f t="shared" si="515"/>
        <v>0</v>
      </c>
      <c r="G549" s="177" t="str">
        <f t="shared" si="516"/>
        <v>Brooklyn Nets</v>
      </c>
      <c r="H549" s="177">
        <v>111</v>
      </c>
      <c r="I549" s="336">
        <v>103</v>
      </c>
      <c r="J549" s="327">
        <f t="shared" si="517"/>
        <v>0</v>
      </c>
      <c r="K549" s="177">
        <f t="shared" si="518"/>
        <v>218</v>
      </c>
      <c r="L549" s="336">
        <f t="shared" si="519"/>
        <v>207</v>
      </c>
      <c r="M549" s="327">
        <f t="shared" si="520"/>
        <v>0</v>
      </c>
      <c r="N549" s="337">
        <f t="shared" si="521"/>
        <v>4</v>
      </c>
      <c r="O549" s="395">
        <f t="shared" si="522"/>
        <v>-1</v>
      </c>
      <c r="P549" s="289">
        <f t="shared" si="523"/>
        <v>0</v>
      </c>
      <c r="Q549" s="460">
        <f>WEEKNUM(tblResultadosNBA[[#This Row],[Fecha]],2)</f>
        <v>2</v>
      </c>
      <c r="R549" s="460" t="str">
        <f>TEXT(tblResultadosNBA[[#This Row],[Fecha]],"mmm")</f>
        <v>ene</v>
      </c>
    </row>
    <row r="550" spans="1:18">
      <c r="A550" s="419">
        <v>46029</v>
      </c>
      <c r="B550" s="422" t="s">
        <v>628</v>
      </c>
      <c r="C550" s="177" t="str">
        <f t="shared" si="514"/>
        <v>LA Clippers</v>
      </c>
      <c r="D550" s="177">
        <v>119</v>
      </c>
      <c r="E550" s="336">
        <v>111</v>
      </c>
      <c r="F550" s="327">
        <f t="shared" si="515"/>
        <v>0</v>
      </c>
      <c r="G550" s="177" t="str">
        <f t="shared" si="516"/>
        <v>New York Knicks</v>
      </c>
      <c r="H550" s="177">
        <v>127</v>
      </c>
      <c r="I550" s="336">
        <v>123</v>
      </c>
      <c r="J550" s="327">
        <f t="shared" si="517"/>
        <v>0</v>
      </c>
      <c r="K550" s="177">
        <f t="shared" si="518"/>
        <v>246</v>
      </c>
      <c r="L550" s="336">
        <f t="shared" si="519"/>
        <v>234</v>
      </c>
      <c r="M550" s="327">
        <f t="shared" si="520"/>
        <v>0</v>
      </c>
      <c r="N550" s="337">
        <f t="shared" si="521"/>
        <v>8</v>
      </c>
      <c r="O550" s="395">
        <f t="shared" si="522"/>
        <v>12</v>
      </c>
      <c r="P550" s="289">
        <f t="shared" si="523"/>
        <v>1</v>
      </c>
      <c r="Q550" s="460">
        <f>WEEKNUM(tblResultadosNBA[[#This Row],[Fecha]],2)</f>
        <v>2</v>
      </c>
      <c r="R550" s="460" t="str">
        <f>TEXT(tblResultadosNBA[[#This Row],[Fecha]],"mmm")</f>
        <v>ene</v>
      </c>
    </row>
    <row r="551" spans="1:18">
      <c r="A551" s="419">
        <v>46029</v>
      </c>
      <c r="B551" s="422" t="s">
        <v>629</v>
      </c>
      <c r="C551" s="177" t="str">
        <f t="shared" si="514"/>
        <v>Phoenix Suns</v>
      </c>
      <c r="D551" s="177">
        <v>109</v>
      </c>
      <c r="E551" s="336">
        <v>117</v>
      </c>
      <c r="F551" s="327">
        <f t="shared" si="515"/>
        <v>1</v>
      </c>
      <c r="G551" s="177" t="str">
        <f t="shared" si="516"/>
        <v>Memphis Grizzlies</v>
      </c>
      <c r="H551" s="177">
        <v>120</v>
      </c>
      <c r="I551" s="336">
        <v>101</v>
      </c>
      <c r="J551" s="327">
        <f t="shared" si="517"/>
        <v>0</v>
      </c>
      <c r="K551" s="177">
        <f t="shared" si="518"/>
        <v>229</v>
      </c>
      <c r="L551" s="336">
        <f t="shared" si="519"/>
        <v>218</v>
      </c>
      <c r="M551" s="327">
        <f t="shared" si="520"/>
        <v>0</v>
      </c>
      <c r="N551" s="337">
        <f t="shared" si="521"/>
        <v>11</v>
      </c>
      <c r="O551" s="395">
        <f t="shared" si="522"/>
        <v>-16</v>
      </c>
      <c r="P551" s="289">
        <f t="shared" si="523"/>
        <v>0</v>
      </c>
      <c r="Q551" s="460">
        <f>WEEKNUM(tblResultadosNBA[[#This Row],[Fecha]],2)</f>
        <v>2</v>
      </c>
      <c r="R551" s="460" t="str">
        <f>TEXT(tblResultadosNBA[[#This Row],[Fecha]],"mmm")</f>
        <v>ene</v>
      </c>
    </row>
    <row r="552" spans="1:18">
      <c r="A552" s="419">
        <v>46029</v>
      </c>
      <c r="B552" s="422" t="s">
        <v>630</v>
      </c>
      <c r="C552" s="177" t="str">
        <f t="shared" si="514"/>
        <v>Utah Jazz</v>
      </c>
      <c r="D552" s="177">
        <v>126</v>
      </c>
      <c r="E552" s="336">
        <v>125</v>
      </c>
      <c r="F552" s="327">
        <f t="shared" si="515"/>
        <v>0</v>
      </c>
      <c r="G552" s="177" t="str">
        <f t="shared" si="516"/>
        <v>Oklahoma City Thunder</v>
      </c>
      <c r="H552" s="177">
        <v>134</v>
      </c>
      <c r="I552" s="336">
        <v>129</v>
      </c>
      <c r="J552" s="327">
        <f t="shared" si="517"/>
        <v>0</v>
      </c>
      <c r="K552" s="177">
        <f t="shared" si="518"/>
        <v>260</v>
      </c>
      <c r="L552" s="336">
        <f t="shared" si="519"/>
        <v>254</v>
      </c>
      <c r="M552" s="327">
        <f t="shared" si="520"/>
        <v>0</v>
      </c>
      <c r="N552" s="337">
        <f t="shared" si="521"/>
        <v>8</v>
      </c>
      <c r="O552" s="395">
        <f t="shared" si="522"/>
        <v>4</v>
      </c>
      <c r="P552" s="289">
        <f t="shared" si="523"/>
        <v>1</v>
      </c>
      <c r="Q552" s="460">
        <f>WEEKNUM(tblResultadosNBA[[#This Row],[Fecha]],2)</f>
        <v>2</v>
      </c>
      <c r="R552" s="460" t="str">
        <f>TEXT(tblResultadosNBA[[#This Row],[Fecha]],"mmm")</f>
        <v>ene</v>
      </c>
    </row>
    <row r="553" spans="1:18">
      <c r="A553" s="419">
        <v>46029</v>
      </c>
      <c r="B553" s="422" t="s">
        <v>631</v>
      </c>
      <c r="C553" s="177" t="str">
        <f t="shared" ref="C553:C555" si="524">LEFT(B553,FIND("@",B553)-2)</f>
        <v>Los Angeles Lakers</v>
      </c>
      <c r="D553" s="177">
        <v>122</v>
      </c>
      <c r="E553" s="336">
        <v>91</v>
      </c>
      <c r="F553" s="327">
        <f t="shared" ref="F553:F555" si="525">IF(E553&gt;D553, 1, 0)</f>
        <v>0</v>
      </c>
      <c r="G553" s="177" t="str">
        <f t="shared" ref="G553:G555" si="526">MID(B553,FIND("@",B553)+2,LEN(B553)-FIND("@",B553)-1)</f>
        <v>San Antonio Spurs</v>
      </c>
      <c r="H553" s="177">
        <v>135</v>
      </c>
      <c r="I553" s="336">
        <v>107</v>
      </c>
      <c r="J553" s="327">
        <f t="shared" ref="J553:J555" si="527">IF(I553&gt;H553, 1, 0)</f>
        <v>0</v>
      </c>
      <c r="K553" s="177">
        <f t="shared" ref="K553:K555" si="528">+D553+H553</f>
        <v>257</v>
      </c>
      <c r="L553" s="336">
        <f t="shared" ref="L553:L555" si="529">E553+I553</f>
        <v>198</v>
      </c>
      <c r="M553" s="327">
        <f t="shared" ref="M553:M555" si="530">IF(L553&gt;K553, 1, 0)</f>
        <v>0</v>
      </c>
      <c r="N553" s="337">
        <f t="shared" ref="N553:N555" si="531">(+H553-D553)</f>
        <v>13</v>
      </c>
      <c r="O553" s="395">
        <f t="shared" ref="O553:O555" si="532">I553-E553</f>
        <v>16</v>
      </c>
      <c r="P553" s="289">
        <f t="shared" ref="P553:P555" si="533">IF(OR(AND(N553&gt;0,O553&gt;0),AND(N553&lt;0,O553&lt;0)),1,0)</f>
        <v>1</v>
      </c>
      <c r="Q553" s="460">
        <f>WEEKNUM(tblResultadosNBA[[#This Row],[Fecha]],2)</f>
        <v>2</v>
      </c>
      <c r="R553" s="460" t="str">
        <f>TEXT(tblResultadosNBA[[#This Row],[Fecha]],"mmm")</f>
        <v>ene</v>
      </c>
    </row>
    <row r="554" spans="1:18">
      <c r="A554" s="419">
        <v>46029</v>
      </c>
      <c r="B554" s="422" t="s">
        <v>632</v>
      </c>
      <c r="C554" s="177" t="str">
        <f t="shared" si="524"/>
        <v>Milwaukee Bucks</v>
      </c>
      <c r="D554" s="177">
        <v>115</v>
      </c>
      <c r="E554" s="336">
        <v>113</v>
      </c>
      <c r="F554" s="327">
        <f t="shared" si="525"/>
        <v>0</v>
      </c>
      <c r="G554" s="177" t="str">
        <f t="shared" si="526"/>
        <v>Golden State Warriors</v>
      </c>
      <c r="H554" s="177">
        <v>130</v>
      </c>
      <c r="I554" s="336">
        <v>120</v>
      </c>
      <c r="J554" s="327">
        <f t="shared" si="527"/>
        <v>0</v>
      </c>
      <c r="K554" s="177">
        <f t="shared" si="528"/>
        <v>245</v>
      </c>
      <c r="L554" s="336">
        <f t="shared" si="529"/>
        <v>233</v>
      </c>
      <c r="M554" s="327">
        <f t="shared" si="530"/>
        <v>0</v>
      </c>
      <c r="N554" s="337">
        <f t="shared" si="531"/>
        <v>15</v>
      </c>
      <c r="O554" s="395">
        <f t="shared" si="532"/>
        <v>7</v>
      </c>
      <c r="P554" s="289">
        <f t="shared" si="533"/>
        <v>1</v>
      </c>
      <c r="Q554" s="460">
        <f>WEEKNUM(tblResultadosNBA[[#This Row],[Fecha]],2)</f>
        <v>2</v>
      </c>
      <c r="R554" s="460" t="str">
        <f>TEXT(tblResultadosNBA[[#This Row],[Fecha]],"mmm")</f>
        <v>ene</v>
      </c>
    </row>
    <row r="555" spans="1:18">
      <c r="A555" s="445">
        <v>46029</v>
      </c>
      <c r="B555" s="521" t="s">
        <v>633</v>
      </c>
      <c r="C555" s="286" t="str">
        <f t="shared" si="524"/>
        <v>Houston Rockets</v>
      </c>
      <c r="D555" s="286">
        <v>124</v>
      </c>
      <c r="E555" s="431">
        <v>102</v>
      </c>
      <c r="F555" s="332">
        <f t="shared" si="525"/>
        <v>0</v>
      </c>
      <c r="G555" s="286" t="str">
        <f t="shared" si="526"/>
        <v>Portland Trail Blazers</v>
      </c>
      <c r="H555" s="286">
        <v>105</v>
      </c>
      <c r="I555" s="431">
        <v>103</v>
      </c>
      <c r="J555" s="332">
        <f t="shared" si="527"/>
        <v>0</v>
      </c>
      <c r="K555" s="286">
        <f t="shared" si="528"/>
        <v>229</v>
      </c>
      <c r="L555" s="431">
        <f t="shared" si="529"/>
        <v>205</v>
      </c>
      <c r="M555" s="332">
        <f t="shared" si="530"/>
        <v>0</v>
      </c>
      <c r="N555" s="432">
        <f t="shared" si="531"/>
        <v>-19</v>
      </c>
      <c r="O555" s="451">
        <f t="shared" si="532"/>
        <v>1</v>
      </c>
      <c r="P555" s="433">
        <f t="shared" si="533"/>
        <v>0</v>
      </c>
      <c r="Q555" s="460">
        <f>WEEKNUM(tblResultadosNBA[[#This Row],[Fecha]],2)</f>
        <v>2</v>
      </c>
      <c r="R555" s="460" t="str">
        <f>TEXT(tblResultadosNBA[[#This Row],[Fecha]],"mmm")</f>
        <v>ene</v>
      </c>
    </row>
    <row r="556" spans="1:18">
      <c r="A556" s="439">
        <v>46030</v>
      </c>
      <c r="B556" s="422" t="s">
        <v>634</v>
      </c>
      <c r="C556" s="341" t="str">
        <f>LEFT(B556,FIND("@",B556)-2)</f>
        <v>Indiana Pacers</v>
      </c>
      <c r="D556" s="341">
        <v>128</v>
      </c>
      <c r="E556" s="342">
        <v>114</v>
      </c>
      <c r="F556" s="333">
        <f>IF(E556&gt;D556, 1, 0)</f>
        <v>0</v>
      </c>
      <c r="G556" s="341" t="str">
        <f>MID(B556,FIND("@",B556)+2,LEN(B556)-FIND("@",B556)-1)</f>
        <v>Charlotte Hornets</v>
      </c>
      <c r="H556" s="341">
        <v>119</v>
      </c>
      <c r="I556" s="342">
        <v>112</v>
      </c>
      <c r="J556" s="333">
        <f>IF(I556&gt;H556, 1, 0)</f>
        <v>0</v>
      </c>
      <c r="K556" s="341">
        <f>+D556+H556</f>
        <v>247</v>
      </c>
      <c r="L556" s="342">
        <f>E556+I556</f>
        <v>226</v>
      </c>
      <c r="M556" s="333">
        <f>IF(L556&gt;K556, 1, 0)</f>
        <v>0</v>
      </c>
      <c r="N556" s="343">
        <f>(+H556-D556)</f>
        <v>-9</v>
      </c>
      <c r="O556" s="449">
        <f>I556-E556</f>
        <v>-2</v>
      </c>
      <c r="P556" s="289">
        <f>IF(OR(AND(N556&gt;0,O556&gt;0),AND(N556&lt;0,O556&lt;0)),1,0)</f>
        <v>1</v>
      </c>
      <c r="Q556" s="460">
        <f>WEEKNUM(tblResultadosNBA[[#This Row],[Fecha]],2)</f>
        <v>2</v>
      </c>
      <c r="R556" s="460" t="str">
        <f>TEXT(tblResultadosNBA[[#This Row],[Fecha]],"mmm")</f>
        <v>ene</v>
      </c>
    </row>
    <row r="557" spans="1:18">
      <c r="A557" s="439">
        <v>46030</v>
      </c>
      <c r="B557" s="422" t="s">
        <v>635</v>
      </c>
      <c r="C557" s="177" t="str">
        <f t="shared" ref="C557:C558" si="534">LEFT(B557,FIND("@",B557)-2)</f>
        <v>Cleveland Cavaliers</v>
      </c>
      <c r="D557" s="177">
        <v>112</v>
      </c>
      <c r="E557" s="336">
        <v>122</v>
      </c>
      <c r="F557" s="327">
        <f t="shared" ref="F557:F558" si="535">IF(E557&gt;D557, 1, 0)</f>
        <v>1</v>
      </c>
      <c r="G557" s="177" t="str">
        <f t="shared" ref="G557:G558" si="536">MID(B557,FIND("@",B557)+2,LEN(B557)-FIND("@",B557)-1)</f>
        <v>Minnesota Timberwolves</v>
      </c>
      <c r="H557" s="177">
        <v>114</v>
      </c>
      <c r="I557" s="336">
        <v>131</v>
      </c>
      <c r="J557" s="327">
        <f t="shared" ref="J557:J558" si="537">IF(I557&gt;H557, 1, 0)</f>
        <v>1</v>
      </c>
      <c r="K557" s="177">
        <f t="shared" ref="K557:K558" si="538">+D557+H557</f>
        <v>226</v>
      </c>
      <c r="L557" s="336">
        <f t="shared" ref="L557:L558" si="539">E557+I557</f>
        <v>253</v>
      </c>
      <c r="M557" s="327">
        <f t="shared" ref="M557:M558" si="540">IF(L557&gt;K557, 1, 0)</f>
        <v>1</v>
      </c>
      <c r="N557" s="337">
        <f t="shared" ref="N557:N558" si="541">(+H557-D557)</f>
        <v>2</v>
      </c>
      <c r="O557" s="395">
        <f t="shared" ref="O557:O558" si="542">I557-E557</f>
        <v>9</v>
      </c>
      <c r="P557" s="289">
        <f t="shared" ref="P557:P558" si="543">IF(OR(AND(N557&gt;0,O557&gt;0),AND(N557&lt;0,O557&lt;0)),1,0)</f>
        <v>1</v>
      </c>
      <c r="Q557" s="460">
        <f>WEEKNUM(tblResultadosNBA[[#This Row],[Fecha]],2)</f>
        <v>2</v>
      </c>
      <c r="R557" s="460" t="str">
        <f>TEXT(tblResultadosNBA[[#This Row],[Fecha]],"mmm")</f>
        <v>ene</v>
      </c>
    </row>
    <row r="558" spans="1:18">
      <c r="A558" s="446">
        <v>46030</v>
      </c>
      <c r="B558" s="521" t="s">
        <v>182</v>
      </c>
      <c r="C558" s="286" t="str">
        <f t="shared" si="534"/>
        <v>Dallas Mavericks</v>
      </c>
      <c r="D558" s="286">
        <v>122</v>
      </c>
      <c r="E558" s="431">
        <v>114</v>
      </c>
      <c r="F558" s="332">
        <f t="shared" si="535"/>
        <v>0</v>
      </c>
      <c r="G558" s="286" t="str">
        <f t="shared" si="536"/>
        <v>Utah Jazz</v>
      </c>
      <c r="H558" s="286">
        <v>135</v>
      </c>
      <c r="I558" s="431">
        <v>116</v>
      </c>
      <c r="J558" s="332">
        <f t="shared" si="537"/>
        <v>0</v>
      </c>
      <c r="K558" s="286">
        <f t="shared" si="538"/>
        <v>257</v>
      </c>
      <c r="L558" s="431">
        <f t="shared" si="539"/>
        <v>230</v>
      </c>
      <c r="M558" s="332">
        <f t="shared" si="540"/>
        <v>0</v>
      </c>
      <c r="N558" s="432">
        <f t="shared" si="541"/>
        <v>13</v>
      </c>
      <c r="O558" s="451">
        <f t="shared" si="542"/>
        <v>2</v>
      </c>
      <c r="P558" s="433">
        <f t="shared" si="543"/>
        <v>1</v>
      </c>
      <c r="Q558" s="460">
        <f>WEEKNUM(tblResultadosNBA[[#This Row],[Fecha]],2)</f>
        <v>2</v>
      </c>
      <c r="R558" s="460" t="str">
        <f>TEXT(tblResultadosNBA[[#This Row],[Fecha]],"mmm")</f>
        <v>ene</v>
      </c>
    </row>
    <row r="559" spans="1:18">
      <c r="A559" s="439">
        <v>46031</v>
      </c>
      <c r="B559" s="422" t="s">
        <v>636</v>
      </c>
      <c r="C559" s="341" t="str">
        <f>LEFT(B559,FIND("@",B559)-2)</f>
        <v>Toronto Raptors</v>
      </c>
      <c r="D559" s="341">
        <v>123</v>
      </c>
      <c r="E559" s="342">
        <v>117</v>
      </c>
      <c r="F559" s="333">
        <f>IF(E559&gt;D559, 1, 0)</f>
        <v>0</v>
      </c>
      <c r="G559" s="341" t="str">
        <f>MID(B559,FIND("@",B559)+2,LEN(B559)-FIND("@",B559)-1)</f>
        <v>Boston Celtics</v>
      </c>
      <c r="H559" s="341">
        <v>120</v>
      </c>
      <c r="I559" s="342">
        <v>125</v>
      </c>
      <c r="J559" s="333">
        <f>IF(I559&gt;H559, 1, 0)</f>
        <v>1</v>
      </c>
      <c r="K559" s="341">
        <f>+D559+H559</f>
        <v>243</v>
      </c>
      <c r="L559" s="342">
        <f>E559+I559</f>
        <v>242</v>
      </c>
      <c r="M559" s="333">
        <f>IF(L559&gt;K559, 1, 0)</f>
        <v>0</v>
      </c>
      <c r="N559" s="343">
        <f>(+H559-D559)</f>
        <v>-3</v>
      </c>
      <c r="O559" s="449">
        <f>I559-E559</f>
        <v>8</v>
      </c>
      <c r="P559" s="289">
        <f>IF(OR(AND(N559&gt;0,O559&gt;0),AND(N559&lt;0,O559&lt;0)),1,0)</f>
        <v>0</v>
      </c>
      <c r="Q559" s="460">
        <f>WEEKNUM(tblResultadosNBA[[#This Row],[Fecha]],2)</f>
        <v>2</v>
      </c>
      <c r="R559" s="460" t="str">
        <f>TEXT(tblResultadosNBA[[#This Row],[Fecha]],"mmm")</f>
        <v>ene</v>
      </c>
    </row>
    <row r="560" spans="1:18">
      <c r="A560" s="439">
        <v>46031</v>
      </c>
      <c r="B560" s="302" t="s">
        <v>637</v>
      </c>
      <c r="C560" s="177" t="str">
        <f t="shared" ref="C560:C568" si="544">LEFT(B560,FIND("@",B560)-2)</f>
        <v>Philadelphia 76ers</v>
      </c>
      <c r="D560" s="177">
        <v>115</v>
      </c>
      <c r="E560" s="336">
        <v>103</v>
      </c>
      <c r="F560" s="327">
        <f t="shared" ref="F560:F568" si="545">IF(E560&gt;D560, 1, 0)</f>
        <v>0</v>
      </c>
      <c r="G560" s="177" t="str">
        <f t="shared" ref="G560:G568" si="546">MID(B560,FIND("@",B560)+2,LEN(B560)-FIND("@",B560)-1)</f>
        <v>Orlando Magic</v>
      </c>
      <c r="H560" s="177">
        <v>117</v>
      </c>
      <c r="I560" s="336">
        <v>91</v>
      </c>
      <c r="J560" s="327">
        <f t="shared" ref="J560:J568" si="547">IF(I560&gt;H560, 1, 0)</f>
        <v>0</v>
      </c>
      <c r="K560" s="177">
        <f t="shared" ref="K560:K568" si="548">+D560+H560</f>
        <v>232</v>
      </c>
      <c r="L560" s="336">
        <f t="shared" ref="L560:L568" si="549">E560+I560</f>
        <v>194</v>
      </c>
      <c r="M560" s="327">
        <f t="shared" ref="M560:M568" si="550">IF(L560&gt;K560, 1, 0)</f>
        <v>0</v>
      </c>
      <c r="N560" s="337">
        <f t="shared" ref="N560:N568" si="551">(+H560-D560)</f>
        <v>2</v>
      </c>
      <c r="O560" s="395">
        <f t="shared" ref="O560:O568" si="552">I560-E560</f>
        <v>-12</v>
      </c>
      <c r="P560" s="289">
        <f t="shared" ref="P560:P568" si="553">IF(OR(AND(N560&gt;0,O560&gt;0),AND(N560&lt;0,O560&lt;0)),1,0)</f>
        <v>0</v>
      </c>
      <c r="Q560" s="460">
        <f>WEEKNUM(tblResultadosNBA[[#This Row],[Fecha]],2)</f>
        <v>2</v>
      </c>
      <c r="R560" s="460" t="str">
        <f>TEXT(tblResultadosNBA[[#This Row],[Fecha]],"mmm")</f>
        <v>ene</v>
      </c>
    </row>
    <row r="561" spans="1:18">
      <c r="A561" s="439">
        <v>46031</v>
      </c>
      <c r="B561" s="302" t="s">
        <v>638</v>
      </c>
      <c r="C561" s="177" t="str">
        <f t="shared" si="544"/>
        <v>New Orleans Pelicans</v>
      </c>
      <c r="D561" s="177">
        <v>124</v>
      </c>
      <c r="E561" s="336">
        <v>128</v>
      </c>
      <c r="F561" s="327">
        <f t="shared" si="545"/>
        <v>1</v>
      </c>
      <c r="G561" s="177" t="str">
        <f t="shared" si="546"/>
        <v>Washington Wizards</v>
      </c>
      <c r="H561" s="177">
        <v>128</v>
      </c>
      <c r="I561" s="336">
        <v>107</v>
      </c>
      <c r="J561" s="327">
        <f t="shared" si="547"/>
        <v>0</v>
      </c>
      <c r="K561" s="177">
        <f t="shared" si="548"/>
        <v>252</v>
      </c>
      <c r="L561" s="336">
        <f t="shared" si="549"/>
        <v>235</v>
      </c>
      <c r="M561" s="327">
        <f t="shared" si="550"/>
        <v>0</v>
      </c>
      <c r="N561" s="337">
        <f t="shared" si="551"/>
        <v>4</v>
      </c>
      <c r="O561" s="395">
        <f t="shared" si="552"/>
        <v>-21</v>
      </c>
      <c r="P561" s="289">
        <f t="shared" si="553"/>
        <v>0</v>
      </c>
      <c r="Q561" s="460">
        <f>WEEKNUM(tblResultadosNBA[[#This Row],[Fecha]],2)</f>
        <v>2</v>
      </c>
      <c r="R561" s="460" t="str">
        <f>TEXT(tblResultadosNBA[[#This Row],[Fecha]],"mmm")</f>
        <v>ene</v>
      </c>
    </row>
    <row r="562" spans="1:18">
      <c r="A562" s="439">
        <v>46031</v>
      </c>
      <c r="B562" s="302" t="s">
        <v>639</v>
      </c>
      <c r="C562" s="177" t="str">
        <f t="shared" si="544"/>
        <v>LA Clippers</v>
      </c>
      <c r="D562" s="177">
        <v>114</v>
      </c>
      <c r="E562" s="336">
        <v>121</v>
      </c>
      <c r="F562" s="327">
        <f t="shared" si="545"/>
        <v>1</v>
      </c>
      <c r="G562" s="177" t="str">
        <f t="shared" si="546"/>
        <v>Brooklyn Nets</v>
      </c>
      <c r="H562" s="177">
        <v>120</v>
      </c>
      <c r="I562" s="336">
        <v>105</v>
      </c>
      <c r="J562" s="327">
        <f t="shared" si="547"/>
        <v>0</v>
      </c>
      <c r="K562" s="177">
        <f t="shared" si="548"/>
        <v>234</v>
      </c>
      <c r="L562" s="336">
        <f t="shared" si="549"/>
        <v>226</v>
      </c>
      <c r="M562" s="327">
        <f t="shared" si="550"/>
        <v>0</v>
      </c>
      <c r="N562" s="337">
        <f t="shared" si="551"/>
        <v>6</v>
      </c>
      <c r="O562" s="395">
        <f t="shared" si="552"/>
        <v>-16</v>
      </c>
      <c r="P562" s="289">
        <f t="shared" si="553"/>
        <v>0</v>
      </c>
      <c r="Q562" s="460">
        <f>WEEKNUM(tblResultadosNBA[[#This Row],[Fecha]],2)</f>
        <v>2</v>
      </c>
      <c r="R562" s="460" t="str">
        <f>TEXT(tblResultadosNBA[[#This Row],[Fecha]],"mmm")</f>
        <v>ene</v>
      </c>
    </row>
    <row r="563" spans="1:18">
      <c r="A563" s="439">
        <v>46031</v>
      </c>
      <c r="B563" s="302" t="s">
        <v>529</v>
      </c>
      <c r="C563" s="177" t="str">
        <f t="shared" si="544"/>
        <v>Oklahoma City Thunder</v>
      </c>
      <c r="D563" s="177">
        <v>115</v>
      </c>
      <c r="E563" s="336">
        <v>117</v>
      </c>
      <c r="F563" s="327">
        <f t="shared" si="545"/>
        <v>1</v>
      </c>
      <c r="G563" s="177" t="str">
        <f t="shared" si="546"/>
        <v>Memphis Grizzlies</v>
      </c>
      <c r="H563" s="177">
        <v>112</v>
      </c>
      <c r="I563" s="336">
        <v>116</v>
      </c>
      <c r="J563" s="327">
        <f t="shared" si="547"/>
        <v>1</v>
      </c>
      <c r="K563" s="177">
        <f t="shared" si="548"/>
        <v>227</v>
      </c>
      <c r="L563" s="336">
        <f t="shared" si="549"/>
        <v>233</v>
      </c>
      <c r="M563" s="327">
        <f t="shared" si="550"/>
        <v>1</v>
      </c>
      <c r="N563" s="337">
        <f t="shared" si="551"/>
        <v>-3</v>
      </c>
      <c r="O563" s="395">
        <f t="shared" si="552"/>
        <v>-1</v>
      </c>
      <c r="P563" s="289">
        <f t="shared" si="553"/>
        <v>1</v>
      </c>
      <c r="Q563" s="460">
        <f>WEEKNUM(tblResultadosNBA[[#This Row],[Fecha]],2)</f>
        <v>2</v>
      </c>
      <c r="R563" s="460" t="str">
        <f>TEXT(tblResultadosNBA[[#This Row],[Fecha]],"mmm")</f>
        <v>ene</v>
      </c>
    </row>
    <row r="564" spans="1:18">
      <c r="A564" s="439">
        <v>46031</v>
      </c>
      <c r="B564" s="302" t="s">
        <v>640</v>
      </c>
      <c r="C564" s="177" t="str">
        <f t="shared" si="544"/>
        <v>Atlanta Hawks</v>
      </c>
      <c r="D564" s="177">
        <v>112</v>
      </c>
      <c r="E564" s="336">
        <v>110</v>
      </c>
      <c r="F564" s="327">
        <f t="shared" si="545"/>
        <v>0</v>
      </c>
      <c r="G564" s="177" t="str">
        <f t="shared" si="546"/>
        <v>Denver Nuggets</v>
      </c>
      <c r="H564" s="177">
        <v>122</v>
      </c>
      <c r="I564" s="336">
        <v>87</v>
      </c>
      <c r="J564" s="327">
        <f t="shared" si="547"/>
        <v>0</v>
      </c>
      <c r="K564" s="177">
        <f t="shared" si="548"/>
        <v>234</v>
      </c>
      <c r="L564" s="336">
        <f t="shared" si="549"/>
        <v>197</v>
      </c>
      <c r="M564" s="327">
        <f t="shared" si="550"/>
        <v>0</v>
      </c>
      <c r="N564" s="337">
        <f t="shared" si="551"/>
        <v>10</v>
      </c>
      <c r="O564" s="395">
        <f t="shared" si="552"/>
        <v>-23</v>
      </c>
      <c r="P564" s="289">
        <f t="shared" si="553"/>
        <v>0</v>
      </c>
      <c r="Q564" s="460">
        <f>WEEKNUM(tblResultadosNBA[[#This Row],[Fecha]],2)</f>
        <v>2</v>
      </c>
      <c r="R564" s="460" t="str">
        <f>TEXT(tblResultadosNBA[[#This Row],[Fecha]],"mmm")</f>
        <v>ene</v>
      </c>
    </row>
    <row r="565" spans="1:18">
      <c r="A565" s="439">
        <v>46031</v>
      </c>
      <c r="B565" s="302" t="s">
        <v>641</v>
      </c>
      <c r="C565" s="177" t="str">
        <f t="shared" si="544"/>
        <v>New York Knicks</v>
      </c>
      <c r="D565" s="177">
        <v>113</v>
      </c>
      <c r="E565" s="336">
        <v>107</v>
      </c>
      <c r="F565" s="327">
        <f t="shared" si="545"/>
        <v>0</v>
      </c>
      <c r="G565" s="177" t="str">
        <f t="shared" si="546"/>
        <v>Phoenix Suns</v>
      </c>
      <c r="H565" s="177">
        <v>128</v>
      </c>
      <c r="I565" s="336">
        <v>112</v>
      </c>
      <c r="J565" s="327">
        <f t="shared" si="547"/>
        <v>0</v>
      </c>
      <c r="K565" s="177">
        <f t="shared" si="548"/>
        <v>241</v>
      </c>
      <c r="L565" s="336">
        <f t="shared" si="549"/>
        <v>219</v>
      </c>
      <c r="M565" s="327">
        <f t="shared" si="550"/>
        <v>0</v>
      </c>
      <c r="N565" s="337">
        <f t="shared" si="551"/>
        <v>15</v>
      </c>
      <c r="O565" s="395">
        <f t="shared" si="552"/>
        <v>5</v>
      </c>
      <c r="P565" s="289">
        <f t="shared" si="553"/>
        <v>1</v>
      </c>
      <c r="Q565" s="460">
        <f>WEEKNUM(tblResultadosNBA[[#This Row],[Fecha]],2)</f>
        <v>2</v>
      </c>
      <c r="R565" s="460" t="str">
        <f>TEXT(tblResultadosNBA[[#This Row],[Fecha]],"mmm")</f>
        <v>ene</v>
      </c>
    </row>
    <row r="566" spans="1:18">
      <c r="A566" s="439">
        <v>46031</v>
      </c>
      <c r="B566" s="302" t="s">
        <v>642</v>
      </c>
      <c r="C566" s="177" t="str">
        <f t="shared" si="544"/>
        <v>Sacramento Kings</v>
      </c>
      <c r="D566" s="177">
        <v>113</v>
      </c>
      <c r="E566" s="336">
        <v>103</v>
      </c>
      <c r="F566" s="327">
        <f t="shared" si="545"/>
        <v>0</v>
      </c>
      <c r="G566" s="177" t="str">
        <f t="shared" si="546"/>
        <v>Golden State Warriors</v>
      </c>
      <c r="H566" s="177">
        <v>135</v>
      </c>
      <c r="I566" s="336">
        <v>137</v>
      </c>
      <c r="J566" s="327">
        <f t="shared" si="547"/>
        <v>1</v>
      </c>
      <c r="K566" s="177">
        <f t="shared" si="548"/>
        <v>248</v>
      </c>
      <c r="L566" s="336">
        <f t="shared" si="549"/>
        <v>240</v>
      </c>
      <c r="M566" s="327">
        <f t="shared" si="550"/>
        <v>0</v>
      </c>
      <c r="N566" s="337">
        <f t="shared" si="551"/>
        <v>22</v>
      </c>
      <c r="O566" s="395">
        <f t="shared" si="552"/>
        <v>34</v>
      </c>
      <c r="P566" s="289">
        <f t="shared" si="553"/>
        <v>1</v>
      </c>
      <c r="Q566" s="460">
        <f>WEEKNUM(tblResultadosNBA[[#This Row],[Fecha]],2)</f>
        <v>2</v>
      </c>
      <c r="R566" s="460" t="str">
        <f>TEXT(tblResultadosNBA[[#This Row],[Fecha]],"mmm")</f>
        <v>ene</v>
      </c>
    </row>
    <row r="567" spans="1:18">
      <c r="A567" s="439">
        <v>46031</v>
      </c>
      <c r="B567" s="302" t="s">
        <v>633</v>
      </c>
      <c r="C567" s="177" t="str">
        <f t="shared" si="544"/>
        <v>Houston Rockets</v>
      </c>
      <c r="D567" s="177">
        <v>135</v>
      </c>
      <c r="E567" s="336">
        <v>105</v>
      </c>
      <c r="F567" s="327">
        <f t="shared" si="545"/>
        <v>0</v>
      </c>
      <c r="G567" s="177" t="str">
        <f t="shared" si="546"/>
        <v>Portland Trail Blazers</v>
      </c>
      <c r="H567" s="177">
        <v>118</v>
      </c>
      <c r="I567" s="336">
        <v>111</v>
      </c>
      <c r="J567" s="327">
        <f t="shared" si="547"/>
        <v>0</v>
      </c>
      <c r="K567" s="177">
        <f t="shared" si="548"/>
        <v>253</v>
      </c>
      <c r="L567" s="336">
        <f t="shared" si="549"/>
        <v>216</v>
      </c>
      <c r="M567" s="327">
        <f t="shared" si="550"/>
        <v>0</v>
      </c>
      <c r="N567" s="337">
        <f t="shared" si="551"/>
        <v>-17</v>
      </c>
      <c r="O567" s="395">
        <f t="shared" si="552"/>
        <v>6</v>
      </c>
      <c r="P567" s="289">
        <f t="shared" si="553"/>
        <v>0</v>
      </c>
      <c r="Q567" s="460">
        <f>WEEKNUM(tblResultadosNBA[[#This Row],[Fecha]],2)</f>
        <v>2</v>
      </c>
      <c r="R567" s="460" t="str">
        <f>TEXT(tblResultadosNBA[[#This Row],[Fecha]],"mmm")</f>
        <v>ene</v>
      </c>
    </row>
    <row r="568" spans="1:18">
      <c r="A568" s="446">
        <v>46031</v>
      </c>
      <c r="B568" s="331" t="s">
        <v>643</v>
      </c>
      <c r="C568" s="286" t="str">
        <f t="shared" si="544"/>
        <v>Milwaukee Bucks</v>
      </c>
      <c r="D568" s="286">
        <v>118</v>
      </c>
      <c r="E568" s="431">
        <v>105</v>
      </c>
      <c r="F568" s="332">
        <f t="shared" si="545"/>
        <v>0</v>
      </c>
      <c r="G568" s="286" t="str">
        <f t="shared" si="546"/>
        <v>Los Angeles Lakers</v>
      </c>
      <c r="H568" s="286">
        <v>124</v>
      </c>
      <c r="I568" s="431">
        <v>101</v>
      </c>
      <c r="J568" s="332">
        <f t="shared" si="547"/>
        <v>0</v>
      </c>
      <c r="K568" s="286">
        <f t="shared" si="548"/>
        <v>242</v>
      </c>
      <c r="L568" s="431">
        <f t="shared" si="549"/>
        <v>206</v>
      </c>
      <c r="M568" s="332">
        <f t="shared" si="550"/>
        <v>0</v>
      </c>
      <c r="N568" s="432">
        <f t="shared" si="551"/>
        <v>6</v>
      </c>
      <c r="O568" s="451">
        <f t="shared" si="552"/>
        <v>-4</v>
      </c>
      <c r="P568" s="433">
        <f t="shared" si="553"/>
        <v>0</v>
      </c>
      <c r="Q568" s="460">
        <f>WEEKNUM(tblResultadosNBA[[#This Row],[Fecha]],2)</f>
        <v>2</v>
      </c>
      <c r="R568" s="460" t="str">
        <f>TEXT(tblResultadosNBA[[#This Row],[Fecha]],"mmm")</f>
        <v>ene</v>
      </c>
    </row>
    <row r="569" spans="1:18">
      <c r="A569" s="439">
        <v>46032</v>
      </c>
      <c r="B569" s="422" t="s">
        <v>644</v>
      </c>
      <c r="C569" s="341" t="str">
        <f>LEFT(B569,FIND("@",B569)-2)</f>
        <v>Minnesota Timberwolves</v>
      </c>
      <c r="D569" s="341">
        <v>129</v>
      </c>
      <c r="E569" s="342">
        <v>134</v>
      </c>
      <c r="F569" s="333">
        <f>IF(E569&gt;D569, 1, 0)</f>
        <v>1</v>
      </c>
      <c r="G569" s="341" t="str">
        <f>MID(B569,FIND("@",B569)+2,LEN(B569)-FIND("@",B569)-1)</f>
        <v>Cleveland Cavaliers</v>
      </c>
      <c r="H569" s="341">
        <v>122</v>
      </c>
      <c r="I569" s="342">
        <v>146</v>
      </c>
      <c r="J569" s="333">
        <f>IF(I569&gt;H569, 1, 0)</f>
        <v>1</v>
      </c>
      <c r="K569" s="341">
        <f>+D569+H569</f>
        <v>251</v>
      </c>
      <c r="L569" s="342">
        <f>E569+I569</f>
        <v>280</v>
      </c>
      <c r="M569" s="333">
        <f>IF(L569&gt;K569, 1, 0)</f>
        <v>1</v>
      </c>
      <c r="N569" s="343">
        <f>(+H569-D569)</f>
        <v>-7</v>
      </c>
      <c r="O569" s="449">
        <f>I569-E569</f>
        <v>12</v>
      </c>
      <c r="P569" s="289">
        <f>IF(OR(AND(N569&gt;0,O569&gt;0),AND(N569&lt;0,O569&lt;0)),1,0)</f>
        <v>0</v>
      </c>
      <c r="Q569" s="460">
        <f>WEEKNUM(tblResultadosNBA[[#This Row],[Fecha]],2)</f>
        <v>2</v>
      </c>
      <c r="R569" s="460" t="str">
        <f>TEXT(tblResultadosNBA[[#This Row],[Fecha]],"mmm")</f>
        <v>ene</v>
      </c>
    </row>
    <row r="570" spans="1:18">
      <c r="A570" s="439">
        <v>46032</v>
      </c>
      <c r="B570" s="302" t="s">
        <v>645</v>
      </c>
      <c r="C570" s="177" t="str">
        <f t="shared" ref="C570:C574" si="554">LEFT(B570,FIND("@",B570)-2)</f>
        <v>Miami Heat</v>
      </c>
      <c r="D570" s="177">
        <v>114</v>
      </c>
      <c r="E570" s="336">
        <v>99</v>
      </c>
      <c r="F570" s="327">
        <f t="shared" ref="F570:F574" si="555">IF(E570&gt;D570, 1, 0)</f>
        <v>0</v>
      </c>
      <c r="G570" s="177" t="str">
        <f t="shared" ref="G570:G574" si="556">MID(B570,FIND("@",B570)+2,LEN(B570)-FIND("@",B570)-1)</f>
        <v>Indiana Pacers</v>
      </c>
      <c r="H570" s="177">
        <v>111</v>
      </c>
      <c r="I570" s="336">
        <v>123</v>
      </c>
      <c r="J570" s="327">
        <f t="shared" ref="J570:J574" si="557">IF(I570&gt;H570, 1, 0)</f>
        <v>1</v>
      </c>
      <c r="K570" s="177">
        <f t="shared" ref="K570:K574" si="558">+D570+H570</f>
        <v>225</v>
      </c>
      <c r="L570" s="336">
        <f t="shared" ref="L570:L574" si="559">E570+I570</f>
        <v>222</v>
      </c>
      <c r="M570" s="327">
        <f t="shared" ref="M570:M574" si="560">IF(L570&gt;K570, 1, 0)</f>
        <v>0</v>
      </c>
      <c r="N570" s="337">
        <f t="shared" ref="N570:N574" si="561">(+H570-D570)</f>
        <v>-3</v>
      </c>
      <c r="O570" s="395">
        <f t="shared" ref="O570:O574" si="562">I570-E570</f>
        <v>24</v>
      </c>
      <c r="P570" s="289">
        <f t="shared" ref="P570:P574" si="563">IF(OR(AND(N570&gt;0,O570&gt;0),AND(N570&lt;0,O570&lt;0)),1,0)</f>
        <v>0</v>
      </c>
      <c r="Q570" s="460">
        <f>WEEKNUM(tblResultadosNBA[[#This Row],[Fecha]],2)</f>
        <v>2</v>
      </c>
      <c r="R570" s="460" t="str">
        <f>TEXT(tblResultadosNBA[[#This Row],[Fecha]],"mmm")</f>
        <v>ene</v>
      </c>
    </row>
    <row r="571" spans="1:18">
      <c r="A571" s="439">
        <v>46032</v>
      </c>
      <c r="B571" s="302" t="s">
        <v>646</v>
      </c>
      <c r="C571" s="177" t="str">
        <f t="shared" si="554"/>
        <v>LA Clippers</v>
      </c>
      <c r="D571" s="177">
        <v>106</v>
      </c>
      <c r="E571" s="336">
        <v>98</v>
      </c>
      <c r="F571" s="327">
        <f t="shared" si="555"/>
        <v>0</v>
      </c>
      <c r="G571" s="177" t="str">
        <f t="shared" si="556"/>
        <v>Detroit Pistons</v>
      </c>
      <c r="H571" s="177">
        <v>116</v>
      </c>
      <c r="I571" s="336">
        <v>92</v>
      </c>
      <c r="J571" s="327">
        <f t="shared" si="557"/>
        <v>0</v>
      </c>
      <c r="K571" s="177">
        <f t="shared" si="558"/>
        <v>222</v>
      </c>
      <c r="L571" s="336">
        <f t="shared" si="559"/>
        <v>190</v>
      </c>
      <c r="M571" s="327">
        <f t="shared" si="560"/>
        <v>0</v>
      </c>
      <c r="N571" s="337">
        <f t="shared" si="561"/>
        <v>10</v>
      </c>
      <c r="O571" s="395">
        <f t="shared" si="562"/>
        <v>-6</v>
      </c>
      <c r="P571" s="289">
        <f t="shared" si="563"/>
        <v>0</v>
      </c>
      <c r="Q571" s="460">
        <f>WEEKNUM(tblResultadosNBA[[#This Row],[Fecha]],2)</f>
        <v>2</v>
      </c>
      <c r="R571" s="460" t="str">
        <f>TEXT(tblResultadosNBA[[#This Row],[Fecha]],"mmm")</f>
        <v>ene</v>
      </c>
    </row>
    <row r="572" spans="1:18">
      <c r="A572" s="439">
        <v>46032</v>
      </c>
      <c r="B572" s="302" t="s">
        <v>647</v>
      </c>
      <c r="C572" s="177" t="str">
        <f t="shared" si="554"/>
        <v>San Antonio Spurs</v>
      </c>
      <c r="D572" s="177">
        <v>115</v>
      </c>
      <c r="E572" s="336">
        <v>100</v>
      </c>
      <c r="F572" s="327">
        <f t="shared" si="555"/>
        <v>0</v>
      </c>
      <c r="G572" s="177" t="str">
        <f t="shared" si="556"/>
        <v>Boston Celtics</v>
      </c>
      <c r="H572" s="177">
        <v>135</v>
      </c>
      <c r="I572" s="336">
        <v>95</v>
      </c>
      <c r="J572" s="327">
        <f t="shared" si="557"/>
        <v>0</v>
      </c>
      <c r="K572" s="177">
        <f t="shared" si="558"/>
        <v>250</v>
      </c>
      <c r="L572" s="336">
        <f t="shared" si="559"/>
        <v>195</v>
      </c>
      <c r="M572" s="327">
        <f t="shared" si="560"/>
        <v>0</v>
      </c>
      <c r="N572" s="337">
        <f t="shared" si="561"/>
        <v>20</v>
      </c>
      <c r="O572" s="395">
        <f t="shared" si="562"/>
        <v>-5</v>
      </c>
      <c r="P572" s="289">
        <f t="shared" si="563"/>
        <v>0</v>
      </c>
      <c r="Q572" s="460">
        <f>WEEKNUM(tblResultadosNBA[[#This Row],[Fecha]],2)</f>
        <v>2</v>
      </c>
      <c r="R572" s="460" t="str">
        <f>TEXT(tblResultadosNBA[[#This Row],[Fecha]],"mmm")</f>
        <v>ene</v>
      </c>
    </row>
    <row r="573" spans="1:18">
      <c r="A573" s="439">
        <v>46032</v>
      </c>
      <c r="B573" s="302" t="s">
        <v>648</v>
      </c>
      <c r="C573" s="177" t="str">
        <f t="shared" si="554"/>
        <v>Dallas Mavericks</v>
      </c>
      <c r="D573" s="177">
        <v>120</v>
      </c>
      <c r="E573" s="336">
        <v>107</v>
      </c>
      <c r="F573" s="327">
        <f t="shared" si="555"/>
        <v>0</v>
      </c>
      <c r="G573" s="177" t="str">
        <f t="shared" si="556"/>
        <v>Chicago Bulls</v>
      </c>
      <c r="H573" s="177">
        <v>109</v>
      </c>
      <c r="I573" s="336">
        <v>125</v>
      </c>
      <c r="J573" s="327">
        <f t="shared" si="557"/>
        <v>1</v>
      </c>
      <c r="K573" s="177">
        <f t="shared" si="558"/>
        <v>229</v>
      </c>
      <c r="L573" s="336">
        <f t="shared" si="559"/>
        <v>232</v>
      </c>
      <c r="M573" s="327">
        <f t="shared" si="560"/>
        <v>1</v>
      </c>
      <c r="N573" s="337">
        <f t="shared" si="561"/>
        <v>-11</v>
      </c>
      <c r="O573" s="395">
        <f t="shared" si="562"/>
        <v>18</v>
      </c>
      <c r="P573" s="289">
        <f t="shared" si="563"/>
        <v>0</v>
      </c>
      <c r="Q573" s="460">
        <f>WEEKNUM(tblResultadosNBA[[#This Row],[Fecha]],2)</f>
        <v>2</v>
      </c>
      <c r="R573" s="460" t="str">
        <f>TEXT(tblResultadosNBA[[#This Row],[Fecha]],"mmm")</f>
        <v>ene</v>
      </c>
    </row>
    <row r="574" spans="1:18">
      <c r="A574" s="446">
        <v>46032</v>
      </c>
      <c r="B574" s="331" t="s">
        <v>649</v>
      </c>
      <c r="C574" s="286" t="str">
        <f t="shared" si="554"/>
        <v>Charlotte Hornets</v>
      </c>
      <c r="D574" s="286">
        <v>118</v>
      </c>
      <c r="E574" s="431">
        <v>150</v>
      </c>
      <c r="F574" s="332">
        <f t="shared" si="555"/>
        <v>1</v>
      </c>
      <c r="G574" s="286" t="str">
        <f t="shared" si="556"/>
        <v>Utah Jazz</v>
      </c>
      <c r="H574" s="286">
        <v>131</v>
      </c>
      <c r="I574" s="431">
        <v>95</v>
      </c>
      <c r="J574" s="332">
        <f t="shared" si="557"/>
        <v>0</v>
      </c>
      <c r="K574" s="286">
        <f t="shared" si="558"/>
        <v>249</v>
      </c>
      <c r="L574" s="431">
        <f t="shared" si="559"/>
        <v>245</v>
      </c>
      <c r="M574" s="332">
        <f t="shared" si="560"/>
        <v>0</v>
      </c>
      <c r="N574" s="432">
        <f t="shared" si="561"/>
        <v>13</v>
      </c>
      <c r="O574" s="451">
        <f t="shared" si="562"/>
        <v>-55</v>
      </c>
      <c r="P574" s="433">
        <f t="shared" si="563"/>
        <v>0</v>
      </c>
      <c r="Q574" s="460">
        <f>WEEKNUM(tblResultadosNBA[[#This Row],[Fecha]],2)</f>
        <v>2</v>
      </c>
      <c r="R574" s="460" t="str">
        <f>TEXT(tblResultadosNBA[[#This Row],[Fecha]],"mmm")</f>
        <v>ene</v>
      </c>
    </row>
    <row r="575" spans="1:18">
      <c r="A575" s="439">
        <v>46033</v>
      </c>
      <c r="B575" s="422" t="s">
        <v>650</v>
      </c>
      <c r="C575" s="341" t="str">
        <f>LEFT(B575,FIND("@",B575)-2)</f>
        <v>New Orleans Pelicans</v>
      </c>
      <c r="D575" s="341">
        <v>128</v>
      </c>
      <c r="E575" s="342">
        <v>118</v>
      </c>
      <c r="F575" s="333">
        <f>IF(E575&gt;D575, 1, 0)</f>
        <v>0</v>
      </c>
      <c r="G575" s="341" t="str">
        <f>MID(B575,FIND("@",B575)+2,LEN(B575)-FIND("@",B575)-1)</f>
        <v>Orlando Magic</v>
      </c>
      <c r="H575" s="341">
        <v>123</v>
      </c>
      <c r="I575" s="342">
        <v>128</v>
      </c>
      <c r="J575" s="333">
        <f>IF(I575&gt;H575, 1, 0)</f>
        <v>1</v>
      </c>
      <c r="K575" s="341">
        <f>+D575+H575</f>
        <v>251</v>
      </c>
      <c r="L575" s="342">
        <f>E575+I575</f>
        <v>246</v>
      </c>
      <c r="M575" s="333">
        <f>IF(L575&gt;K575, 1, 0)</f>
        <v>0</v>
      </c>
      <c r="N575" s="343">
        <f>(+H575-D575)</f>
        <v>-5</v>
      </c>
      <c r="O575" s="449">
        <f>I575-E575</f>
        <v>10</v>
      </c>
      <c r="P575" s="289">
        <f>IF(OR(AND(N575&gt;0,O575&gt;0),AND(N575&lt;0,O575&lt;0)),1,0)</f>
        <v>0</v>
      </c>
      <c r="Q575" s="460">
        <f>WEEKNUM(tblResultadosNBA[[#This Row],[Fecha]],2)</f>
        <v>2</v>
      </c>
      <c r="R575" s="460" t="str">
        <f>TEXT(tblResultadosNBA[[#This Row],[Fecha]],"mmm")</f>
        <v>ene</v>
      </c>
    </row>
    <row r="576" spans="1:18">
      <c r="A576" s="419">
        <v>46033</v>
      </c>
      <c r="B576" s="302" t="s">
        <v>651</v>
      </c>
      <c r="C576" s="177" t="str">
        <f t="shared" ref="C576:C584" si="564">LEFT(B576,FIND("@",B576)-2)</f>
        <v>Brooklyn Nets</v>
      </c>
      <c r="D576" s="177">
        <v>111</v>
      </c>
      <c r="E576" s="336">
        <v>98</v>
      </c>
      <c r="F576" s="327">
        <f t="shared" ref="F576:F584" si="565">IF(E576&gt;D576, 1, 0)</f>
        <v>0</v>
      </c>
      <c r="G576" s="177" t="str">
        <f t="shared" ref="G576:G584" si="566">MID(B576,FIND("@",B576)+2,LEN(B576)-FIND("@",B576)-1)</f>
        <v>Memphis Grizzlies</v>
      </c>
      <c r="H576" s="177">
        <v>121</v>
      </c>
      <c r="I576" s="336">
        <v>103</v>
      </c>
      <c r="J576" s="327">
        <f t="shared" ref="J576:J584" si="567">IF(I576&gt;H576, 1, 0)</f>
        <v>0</v>
      </c>
      <c r="K576" s="177">
        <f t="shared" ref="K576:K584" si="568">+D576+H576</f>
        <v>232</v>
      </c>
      <c r="L576" s="336">
        <f t="shared" ref="L576:L584" si="569">E576+I576</f>
        <v>201</v>
      </c>
      <c r="M576" s="327">
        <f t="shared" ref="M576:M584" si="570">IF(L576&gt;K576, 1, 0)</f>
        <v>0</v>
      </c>
      <c r="N576" s="337">
        <f t="shared" ref="N576:N584" si="571">(+H576-D576)</f>
        <v>10</v>
      </c>
      <c r="O576" s="395">
        <f t="shared" ref="O576:O584" si="572">I576-E576</f>
        <v>5</v>
      </c>
      <c r="P576" s="289">
        <f t="shared" ref="P576:P584" si="573">IF(OR(AND(N576&gt;0,O576&gt;0),AND(N576&lt;0,O576&lt;0)),1,0)</f>
        <v>1</v>
      </c>
      <c r="Q576" s="460">
        <f>WEEKNUM(tblResultadosNBA[[#This Row],[Fecha]],2)</f>
        <v>2</v>
      </c>
      <c r="R576" s="460" t="str">
        <f>TEXT(tblResultadosNBA[[#This Row],[Fecha]],"mmm")</f>
        <v>ene</v>
      </c>
    </row>
    <row r="577" spans="1:18">
      <c r="A577" s="419">
        <v>46033</v>
      </c>
      <c r="B577" s="302" t="s">
        <v>652</v>
      </c>
      <c r="C577" s="177" t="str">
        <f t="shared" si="564"/>
        <v>Philadelphia 76ers</v>
      </c>
      <c r="D577" s="177">
        <v>109</v>
      </c>
      <c r="E577" s="336">
        <v>115</v>
      </c>
      <c r="F577" s="327">
        <f t="shared" si="565"/>
        <v>1</v>
      </c>
      <c r="G577" s="177" t="str">
        <f t="shared" si="566"/>
        <v>Toronto Raptors</v>
      </c>
      <c r="H577" s="177">
        <v>113</v>
      </c>
      <c r="I577" s="336">
        <v>116</v>
      </c>
      <c r="J577" s="327">
        <f t="shared" si="567"/>
        <v>1</v>
      </c>
      <c r="K577" s="177">
        <f t="shared" si="568"/>
        <v>222</v>
      </c>
      <c r="L577" s="336">
        <f t="shared" si="569"/>
        <v>231</v>
      </c>
      <c r="M577" s="327">
        <f t="shared" si="570"/>
        <v>1</v>
      </c>
      <c r="N577" s="337">
        <f t="shared" si="571"/>
        <v>4</v>
      </c>
      <c r="O577" s="395">
        <f t="shared" si="572"/>
        <v>1</v>
      </c>
      <c r="P577" s="289">
        <f t="shared" si="573"/>
        <v>1</v>
      </c>
      <c r="Q577" s="460">
        <f>WEEKNUM(tblResultadosNBA[[#This Row],[Fecha]],2)</f>
        <v>2</v>
      </c>
      <c r="R577" s="460" t="str">
        <f>TEXT(tblResultadosNBA[[#This Row],[Fecha]],"mmm")</f>
        <v>ene</v>
      </c>
    </row>
    <row r="578" spans="1:18">
      <c r="A578" s="419">
        <v>46033</v>
      </c>
      <c r="B578" s="302" t="s">
        <v>653</v>
      </c>
      <c r="C578" s="177" t="str">
        <f t="shared" si="564"/>
        <v>New York Knicks</v>
      </c>
      <c r="D578" s="177">
        <v>122</v>
      </c>
      <c r="E578" s="336">
        <v>123</v>
      </c>
      <c r="F578" s="327">
        <f t="shared" si="565"/>
        <v>1</v>
      </c>
      <c r="G578" s="177" t="str">
        <f t="shared" si="566"/>
        <v>Portland Trail Blazers</v>
      </c>
      <c r="H578" s="177">
        <v>128</v>
      </c>
      <c r="I578" s="336">
        <v>114</v>
      </c>
      <c r="J578" s="327">
        <f t="shared" si="567"/>
        <v>0</v>
      </c>
      <c r="K578" s="177">
        <f t="shared" si="568"/>
        <v>250</v>
      </c>
      <c r="L578" s="336">
        <f t="shared" si="569"/>
        <v>237</v>
      </c>
      <c r="M578" s="327">
        <f t="shared" si="570"/>
        <v>0</v>
      </c>
      <c r="N578" s="337">
        <f t="shared" si="571"/>
        <v>6</v>
      </c>
      <c r="O578" s="395">
        <f t="shared" si="572"/>
        <v>-9</v>
      </c>
      <c r="P578" s="289">
        <f t="shared" si="573"/>
        <v>0</v>
      </c>
      <c r="Q578" s="460">
        <f>WEEKNUM(tblResultadosNBA[[#This Row],[Fecha]],2)</f>
        <v>2</v>
      </c>
      <c r="R578" s="460" t="str">
        <f>TEXT(tblResultadosNBA[[#This Row],[Fecha]],"mmm")</f>
        <v>ene</v>
      </c>
    </row>
    <row r="579" spans="1:18">
      <c r="A579" s="419">
        <v>46033</v>
      </c>
      <c r="B579" s="302" t="s">
        <v>123</v>
      </c>
      <c r="C579" s="177" t="str">
        <f t="shared" si="564"/>
        <v>San Antonio Spurs</v>
      </c>
      <c r="D579" s="177">
        <v>110</v>
      </c>
      <c r="E579" s="336">
        <v>103</v>
      </c>
      <c r="F579" s="327">
        <f t="shared" si="565"/>
        <v>0</v>
      </c>
      <c r="G579" s="177" t="str">
        <f t="shared" si="566"/>
        <v>Minnesota Timberwolves</v>
      </c>
      <c r="H579" s="177">
        <v>126</v>
      </c>
      <c r="I579" s="336">
        <v>104</v>
      </c>
      <c r="J579" s="327">
        <f t="shared" si="567"/>
        <v>0</v>
      </c>
      <c r="K579" s="177">
        <f t="shared" si="568"/>
        <v>236</v>
      </c>
      <c r="L579" s="336">
        <f t="shared" si="569"/>
        <v>207</v>
      </c>
      <c r="M579" s="327">
        <f t="shared" si="570"/>
        <v>0</v>
      </c>
      <c r="N579" s="337">
        <f t="shared" si="571"/>
        <v>16</v>
      </c>
      <c r="O579" s="395">
        <f t="shared" si="572"/>
        <v>1</v>
      </c>
      <c r="P579" s="289">
        <f t="shared" si="573"/>
        <v>1</v>
      </c>
      <c r="Q579" s="460">
        <f>WEEKNUM(tblResultadosNBA[[#This Row],[Fecha]],2)</f>
        <v>2</v>
      </c>
      <c r="R579" s="460" t="str">
        <f>TEXT(tblResultadosNBA[[#This Row],[Fecha]],"mmm")</f>
        <v>ene</v>
      </c>
    </row>
    <row r="580" spans="1:18">
      <c r="A580" s="419">
        <v>46033</v>
      </c>
      <c r="B580" s="302" t="s">
        <v>654</v>
      </c>
      <c r="C580" s="177" t="str">
        <f t="shared" si="564"/>
        <v>Miami Heat</v>
      </c>
      <c r="D580" s="177">
        <v>106</v>
      </c>
      <c r="E580" s="336">
        <v>112</v>
      </c>
      <c r="F580" s="327">
        <f t="shared" si="565"/>
        <v>1</v>
      </c>
      <c r="G580" s="177" t="str">
        <f t="shared" si="566"/>
        <v>Oklahoma City Thunder</v>
      </c>
      <c r="H580" s="177">
        <v>116</v>
      </c>
      <c r="I580" s="336">
        <v>124</v>
      </c>
      <c r="J580" s="327">
        <f t="shared" si="567"/>
        <v>1</v>
      </c>
      <c r="K580" s="177">
        <f t="shared" si="568"/>
        <v>222</v>
      </c>
      <c r="L580" s="336">
        <f t="shared" si="569"/>
        <v>236</v>
      </c>
      <c r="M580" s="327">
        <f t="shared" si="570"/>
        <v>1</v>
      </c>
      <c r="N580" s="337">
        <f t="shared" si="571"/>
        <v>10</v>
      </c>
      <c r="O580" s="395">
        <f t="shared" si="572"/>
        <v>12</v>
      </c>
      <c r="P580" s="289">
        <f t="shared" si="573"/>
        <v>1</v>
      </c>
      <c r="Q580" s="460">
        <f>WEEKNUM(tblResultadosNBA[[#This Row],[Fecha]],2)</f>
        <v>2</v>
      </c>
      <c r="R580" s="460" t="str">
        <f>TEXT(tblResultadosNBA[[#This Row],[Fecha]],"mmm")</f>
        <v>ene</v>
      </c>
    </row>
    <row r="581" spans="1:18">
      <c r="A581" s="419">
        <v>46033</v>
      </c>
      <c r="B581" s="302" t="s">
        <v>655</v>
      </c>
      <c r="C581" s="177" t="str">
        <f t="shared" si="564"/>
        <v>Milwaukee Bucks</v>
      </c>
      <c r="D581" s="177">
        <v>114</v>
      </c>
      <c r="E581" s="336">
        <v>104</v>
      </c>
      <c r="F581" s="327">
        <f t="shared" si="565"/>
        <v>0</v>
      </c>
      <c r="G581" s="177" t="str">
        <f t="shared" si="566"/>
        <v>Denver Nuggets</v>
      </c>
      <c r="H581" s="177">
        <v>118</v>
      </c>
      <c r="I581" s="336">
        <v>108</v>
      </c>
      <c r="J581" s="327">
        <f t="shared" si="567"/>
        <v>0</v>
      </c>
      <c r="K581" s="177">
        <f t="shared" si="568"/>
        <v>232</v>
      </c>
      <c r="L581" s="336">
        <f t="shared" si="569"/>
        <v>212</v>
      </c>
      <c r="M581" s="327">
        <f t="shared" si="570"/>
        <v>0</v>
      </c>
      <c r="N581" s="337">
        <f t="shared" si="571"/>
        <v>4</v>
      </c>
      <c r="O581" s="395">
        <f t="shared" si="572"/>
        <v>4</v>
      </c>
      <c r="P581" s="289">
        <f t="shared" si="573"/>
        <v>1</v>
      </c>
      <c r="Q581" s="460">
        <f>WEEKNUM(tblResultadosNBA[[#This Row],[Fecha]],2)</f>
        <v>2</v>
      </c>
      <c r="R581" s="460" t="str">
        <f>TEXT(tblResultadosNBA[[#This Row],[Fecha]],"mmm")</f>
        <v>ene</v>
      </c>
    </row>
    <row r="582" spans="1:18">
      <c r="A582" s="419">
        <v>46033</v>
      </c>
      <c r="B582" s="302" t="s">
        <v>656</v>
      </c>
      <c r="C582" s="177" t="str">
        <f t="shared" si="564"/>
        <v>Washington Wizards</v>
      </c>
      <c r="D582" s="177">
        <v>108</v>
      </c>
      <c r="E582" s="336">
        <v>93</v>
      </c>
      <c r="F582" s="327">
        <f t="shared" si="565"/>
        <v>0</v>
      </c>
      <c r="G582" s="177" t="str">
        <f t="shared" si="566"/>
        <v>Phoenix Suns</v>
      </c>
      <c r="H582" s="177">
        <v>129</v>
      </c>
      <c r="I582" s="336">
        <v>112</v>
      </c>
      <c r="J582" s="327">
        <f t="shared" si="567"/>
        <v>0</v>
      </c>
      <c r="K582" s="177">
        <f t="shared" si="568"/>
        <v>237</v>
      </c>
      <c r="L582" s="336">
        <f t="shared" si="569"/>
        <v>205</v>
      </c>
      <c r="M582" s="327">
        <f t="shared" si="570"/>
        <v>0</v>
      </c>
      <c r="N582" s="337">
        <f t="shared" si="571"/>
        <v>21</v>
      </c>
      <c r="O582" s="395">
        <f t="shared" si="572"/>
        <v>19</v>
      </c>
      <c r="P582" s="289">
        <f t="shared" si="573"/>
        <v>1</v>
      </c>
      <c r="Q582" s="460">
        <f>WEEKNUM(tblResultadosNBA[[#This Row],[Fecha]],2)</f>
        <v>2</v>
      </c>
      <c r="R582" s="460" t="str">
        <f>TEXT(tblResultadosNBA[[#This Row],[Fecha]],"mmm")</f>
        <v>ene</v>
      </c>
    </row>
    <row r="583" spans="1:18">
      <c r="A583" s="419">
        <v>46033</v>
      </c>
      <c r="B583" s="302" t="s">
        <v>657</v>
      </c>
      <c r="C583" s="177" t="str">
        <f t="shared" si="564"/>
        <v>Atlanta Hawks</v>
      </c>
      <c r="D583" s="177">
        <v>135</v>
      </c>
      <c r="E583" s="336">
        <v>124</v>
      </c>
      <c r="F583" s="327">
        <f t="shared" si="565"/>
        <v>0</v>
      </c>
      <c r="G583" s="177" t="str">
        <f t="shared" si="566"/>
        <v>Golden State Warriors</v>
      </c>
      <c r="H583" s="177">
        <v>138</v>
      </c>
      <c r="I583" s="336">
        <v>111</v>
      </c>
      <c r="J583" s="327">
        <f t="shared" si="567"/>
        <v>0</v>
      </c>
      <c r="K583" s="177">
        <f t="shared" si="568"/>
        <v>273</v>
      </c>
      <c r="L583" s="336">
        <f t="shared" si="569"/>
        <v>235</v>
      </c>
      <c r="M583" s="327">
        <f t="shared" si="570"/>
        <v>0</v>
      </c>
      <c r="N583" s="337">
        <f t="shared" si="571"/>
        <v>3</v>
      </c>
      <c r="O583" s="395">
        <f t="shared" si="572"/>
        <v>-13</v>
      </c>
      <c r="P583" s="289">
        <f t="shared" si="573"/>
        <v>0</v>
      </c>
      <c r="Q583" s="460">
        <f>WEEKNUM(tblResultadosNBA[[#This Row],[Fecha]],2)</f>
        <v>2</v>
      </c>
      <c r="R583" s="460" t="str">
        <f>TEXT(tblResultadosNBA[[#This Row],[Fecha]],"mmm")</f>
        <v>ene</v>
      </c>
    </row>
    <row r="584" spans="1:18">
      <c r="A584" s="445">
        <v>46033</v>
      </c>
      <c r="B584" s="331" t="s">
        <v>207</v>
      </c>
      <c r="C584" s="286" t="str">
        <f t="shared" si="564"/>
        <v>Houston Rockets</v>
      </c>
      <c r="D584" s="286">
        <v>120</v>
      </c>
      <c r="E584" s="431">
        <v>98</v>
      </c>
      <c r="F584" s="332">
        <f t="shared" si="565"/>
        <v>0</v>
      </c>
      <c r="G584" s="286" t="str">
        <f t="shared" si="566"/>
        <v>Sacramento Kings</v>
      </c>
      <c r="H584" s="286">
        <v>123</v>
      </c>
      <c r="I584" s="431">
        <v>111</v>
      </c>
      <c r="J584" s="332">
        <f t="shared" si="567"/>
        <v>0</v>
      </c>
      <c r="K584" s="286">
        <f t="shared" si="568"/>
        <v>243</v>
      </c>
      <c r="L584" s="431">
        <f t="shared" si="569"/>
        <v>209</v>
      </c>
      <c r="M584" s="332">
        <f t="shared" si="570"/>
        <v>0</v>
      </c>
      <c r="N584" s="432">
        <f t="shared" si="571"/>
        <v>3</v>
      </c>
      <c r="O584" s="451">
        <f t="shared" si="572"/>
        <v>13</v>
      </c>
      <c r="P584" s="433">
        <f t="shared" si="573"/>
        <v>1</v>
      </c>
      <c r="Q584" s="460">
        <f>WEEKNUM(tblResultadosNBA[[#This Row],[Fecha]],2)</f>
        <v>2</v>
      </c>
      <c r="R584" s="460" t="str">
        <f>TEXT(tblResultadosNBA[[#This Row],[Fecha]],"mmm")</f>
        <v>ene</v>
      </c>
    </row>
    <row r="585" spans="1:18">
      <c r="A585" s="439">
        <v>46034</v>
      </c>
      <c r="B585" s="422" t="s">
        <v>274</v>
      </c>
      <c r="C585" s="341" t="str">
        <f>LEFT(B585,FIND("@",B585)-2)</f>
        <v>Utah Jazz</v>
      </c>
      <c r="D585" s="341">
        <v>128</v>
      </c>
      <c r="E585" s="342">
        <v>123</v>
      </c>
      <c r="F585" s="333">
        <f>IF(E585&gt;D585, 1, 0)</f>
        <v>0</v>
      </c>
      <c r="G585" s="341" t="str">
        <f>MID(B585,FIND("@",B585)+2,LEN(B585)-FIND("@",B585)-1)</f>
        <v>Cleveland Cavaliers</v>
      </c>
      <c r="H585" s="341">
        <v>122</v>
      </c>
      <c r="I585" s="342">
        <v>112</v>
      </c>
      <c r="J585" s="333">
        <f>IF(I585&gt;H585, 1, 0)</f>
        <v>0</v>
      </c>
      <c r="K585" s="341">
        <f>+D585+H585</f>
        <v>250</v>
      </c>
      <c r="L585" s="342">
        <f>E585+I585</f>
        <v>235</v>
      </c>
      <c r="M585" s="333">
        <f>IF(L585&gt;K585, 1, 0)</f>
        <v>0</v>
      </c>
      <c r="N585" s="343">
        <f>(+H585-D585)</f>
        <v>-6</v>
      </c>
      <c r="O585" s="449">
        <f>I585-E585</f>
        <v>-11</v>
      </c>
      <c r="P585" s="289">
        <f>IF(OR(AND(N585&gt;0,O585&gt;0),AND(N585&lt;0,O585&lt;0)),1,0)</f>
        <v>1</v>
      </c>
      <c r="Q585" s="460">
        <f>WEEKNUM(tblResultadosNBA[[#This Row],[Fecha]],2)</f>
        <v>3</v>
      </c>
      <c r="R585" s="460" t="str">
        <f>TEXT(tblResultadosNBA[[#This Row],[Fecha]],"mmm")</f>
        <v>ene</v>
      </c>
    </row>
    <row r="586" spans="1:18">
      <c r="A586" s="419">
        <v>46034</v>
      </c>
      <c r="B586" s="302" t="s">
        <v>229</v>
      </c>
      <c r="C586" s="177" t="str">
        <f t="shared" ref="C586:C590" si="574">LEFT(B586,FIND("@",B586)-2)</f>
        <v>Boston Celtics</v>
      </c>
      <c r="D586" s="177">
        <v>112</v>
      </c>
      <c r="E586" s="336">
        <v>96</v>
      </c>
      <c r="F586" s="327">
        <f t="shared" ref="F586:F590" si="575">IF(E586&gt;D586, 1, 0)</f>
        <v>0</v>
      </c>
      <c r="G586" s="177" t="str">
        <f t="shared" ref="G586:G590" si="576">MID(B586,FIND("@",B586)+2,LEN(B586)-FIND("@",B586)-1)</f>
        <v>Indiana Pacers</v>
      </c>
      <c r="H586" s="177">
        <v>119</v>
      </c>
      <c r="I586" s="336">
        <v>98</v>
      </c>
      <c r="J586" s="327">
        <f t="shared" ref="J586:J590" si="577">IF(I586&gt;H586, 1, 0)</f>
        <v>0</v>
      </c>
      <c r="K586" s="177">
        <f t="shared" ref="K586:K590" si="578">+D586+H586</f>
        <v>231</v>
      </c>
      <c r="L586" s="336">
        <f t="shared" ref="L586:L590" si="579">E586+I586</f>
        <v>194</v>
      </c>
      <c r="M586" s="327">
        <f t="shared" ref="M586:M590" si="580">IF(L586&gt;K586, 1, 0)</f>
        <v>0</v>
      </c>
      <c r="N586" s="337">
        <f t="shared" ref="N586:N590" si="581">(+H586-D586)</f>
        <v>7</v>
      </c>
      <c r="O586" s="395">
        <f t="shared" ref="O586:O590" si="582">I586-E586</f>
        <v>2</v>
      </c>
      <c r="P586" s="289">
        <f t="shared" ref="P586:P590" si="583">IF(OR(AND(N586&gt;0,O586&gt;0),AND(N586&lt;0,O586&lt;0)),1,0)</f>
        <v>1</v>
      </c>
      <c r="Q586" s="460">
        <f>WEEKNUM(tblResultadosNBA[[#This Row],[Fecha]],2)</f>
        <v>3</v>
      </c>
      <c r="R586" s="460" t="str">
        <f>TEXT(tblResultadosNBA[[#This Row],[Fecha]],"mmm")</f>
        <v>ene</v>
      </c>
    </row>
    <row r="587" spans="1:18">
      <c r="A587" s="419">
        <v>46034</v>
      </c>
      <c r="B587" s="302" t="s">
        <v>652</v>
      </c>
      <c r="C587" s="177" t="str">
        <f t="shared" si="574"/>
        <v>Philadelphia 76ers</v>
      </c>
      <c r="D587" s="177">
        <v>109</v>
      </c>
      <c r="E587" s="336">
        <v>115</v>
      </c>
      <c r="F587" s="327">
        <f t="shared" si="575"/>
        <v>1</v>
      </c>
      <c r="G587" s="177" t="str">
        <f t="shared" si="576"/>
        <v>Toronto Raptors</v>
      </c>
      <c r="H587" s="177">
        <v>125</v>
      </c>
      <c r="I587" s="336">
        <v>102</v>
      </c>
      <c r="J587" s="327">
        <f t="shared" si="577"/>
        <v>0</v>
      </c>
      <c r="K587" s="177">
        <f t="shared" si="578"/>
        <v>234</v>
      </c>
      <c r="L587" s="336">
        <f t="shared" si="579"/>
        <v>217</v>
      </c>
      <c r="M587" s="327">
        <f t="shared" si="580"/>
        <v>0</v>
      </c>
      <c r="N587" s="337">
        <f t="shared" si="581"/>
        <v>16</v>
      </c>
      <c r="O587" s="395">
        <f t="shared" si="582"/>
        <v>-13</v>
      </c>
      <c r="P587" s="289">
        <f t="shared" si="583"/>
        <v>0</v>
      </c>
      <c r="Q587" s="460">
        <f>WEEKNUM(tblResultadosNBA[[#This Row],[Fecha]],2)</f>
        <v>3</v>
      </c>
      <c r="R587" s="460" t="str">
        <f>TEXT(tblResultadosNBA[[#This Row],[Fecha]],"mmm")</f>
        <v>ene</v>
      </c>
    </row>
    <row r="588" spans="1:18">
      <c r="A588" s="419">
        <v>46034</v>
      </c>
      <c r="B588" s="302" t="s">
        <v>175</v>
      </c>
      <c r="C588" s="177" t="str">
        <f t="shared" si="574"/>
        <v>Brooklyn Nets</v>
      </c>
      <c r="D588" s="177">
        <v>109</v>
      </c>
      <c r="E588" s="336">
        <v>105</v>
      </c>
      <c r="F588" s="327">
        <f t="shared" si="575"/>
        <v>0</v>
      </c>
      <c r="G588" s="177" t="str">
        <f t="shared" si="576"/>
        <v>Dallas Mavericks</v>
      </c>
      <c r="H588" s="177">
        <v>116</v>
      </c>
      <c r="I588" s="336">
        <v>113</v>
      </c>
      <c r="J588" s="327">
        <f t="shared" si="577"/>
        <v>0</v>
      </c>
      <c r="K588" s="177">
        <f t="shared" si="578"/>
        <v>225</v>
      </c>
      <c r="L588" s="336">
        <f t="shared" si="579"/>
        <v>218</v>
      </c>
      <c r="M588" s="327">
        <f t="shared" si="580"/>
        <v>0</v>
      </c>
      <c r="N588" s="337">
        <f t="shared" si="581"/>
        <v>7</v>
      </c>
      <c r="O588" s="395">
        <f t="shared" si="582"/>
        <v>8</v>
      </c>
      <c r="P588" s="289">
        <f t="shared" si="583"/>
        <v>1</v>
      </c>
      <c r="Q588" s="460">
        <f>WEEKNUM(tblResultadosNBA[[#This Row],[Fecha]],2)</f>
        <v>3</v>
      </c>
      <c r="R588" s="460" t="str">
        <f>TEXT(tblResultadosNBA[[#This Row],[Fecha]],"mmm")</f>
        <v>ene</v>
      </c>
    </row>
    <row r="589" spans="1:18">
      <c r="A589" s="419">
        <v>46034</v>
      </c>
      <c r="B589" s="302" t="s">
        <v>446</v>
      </c>
      <c r="C589" s="177" t="str">
        <f t="shared" si="574"/>
        <v>Los Angeles Lakers</v>
      </c>
      <c r="D589" s="177">
        <v>123</v>
      </c>
      <c r="E589" s="336">
        <v>112</v>
      </c>
      <c r="F589" s="327">
        <f t="shared" si="575"/>
        <v>0</v>
      </c>
      <c r="G589" s="177" t="str">
        <f t="shared" si="576"/>
        <v>Sacramento Kings</v>
      </c>
      <c r="H589" s="177">
        <v>127</v>
      </c>
      <c r="I589" s="336">
        <v>124</v>
      </c>
      <c r="J589" s="327">
        <f t="shared" si="577"/>
        <v>0</v>
      </c>
      <c r="K589" s="177">
        <f t="shared" si="578"/>
        <v>250</v>
      </c>
      <c r="L589" s="336">
        <f t="shared" si="579"/>
        <v>236</v>
      </c>
      <c r="M589" s="327">
        <f t="shared" si="580"/>
        <v>0</v>
      </c>
      <c r="N589" s="337">
        <f t="shared" si="581"/>
        <v>4</v>
      </c>
      <c r="O589" s="395">
        <f t="shared" si="582"/>
        <v>12</v>
      </c>
      <c r="P589" s="289">
        <f t="shared" si="583"/>
        <v>1</v>
      </c>
      <c r="Q589" s="460">
        <f>WEEKNUM(tblResultadosNBA[[#This Row],[Fecha]],2)</f>
        <v>3</v>
      </c>
      <c r="R589" s="460" t="str">
        <f>TEXT(tblResultadosNBA[[#This Row],[Fecha]],"mmm")</f>
        <v>ene</v>
      </c>
    </row>
    <row r="590" spans="1:18">
      <c r="A590" s="445">
        <v>46034</v>
      </c>
      <c r="B590" s="331" t="s">
        <v>658</v>
      </c>
      <c r="C590" s="286" t="str">
        <f t="shared" si="574"/>
        <v>Charlotte Hornets</v>
      </c>
      <c r="D590" s="286">
        <v>114</v>
      </c>
      <c r="E590" s="431">
        <v>109</v>
      </c>
      <c r="F590" s="332">
        <f t="shared" si="575"/>
        <v>0</v>
      </c>
      <c r="G590" s="286" t="str">
        <f t="shared" si="576"/>
        <v>LA Clippers</v>
      </c>
      <c r="H590" s="286">
        <v>111</v>
      </c>
      <c r="I590" s="431">
        <v>117</v>
      </c>
      <c r="J590" s="332">
        <f t="shared" si="577"/>
        <v>1</v>
      </c>
      <c r="K590" s="286">
        <f t="shared" si="578"/>
        <v>225</v>
      </c>
      <c r="L590" s="431">
        <f t="shared" si="579"/>
        <v>226</v>
      </c>
      <c r="M590" s="332">
        <f t="shared" si="580"/>
        <v>1</v>
      </c>
      <c r="N590" s="432">
        <f t="shared" si="581"/>
        <v>-3</v>
      </c>
      <c r="O590" s="451">
        <f t="shared" si="582"/>
        <v>8</v>
      </c>
      <c r="P590" s="433">
        <f t="shared" si="583"/>
        <v>0</v>
      </c>
      <c r="Q590" s="460">
        <f>WEEKNUM(tblResultadosNBA[[#This Row],[Fecha]],2)</f>
        <v>3</v>
      </c>
      <c r="R590" s="460" t="str">
        <f>TEXT(tblResultadosNBA[[#This Row],[Fecha]],"mmm")</f>
        <v>ene</v>
      </c>
    </row>
    <row r="591" spans="1:18">
      <c r="A591" s="439">
        <v>46035</v>
      </c>
      <c r="B591" s="422" t="s">
        <v>659</v>
      </c>
      <c r="C591" s="341" t="str">
        <f>LEFT(B591,FIND("@",B591)-2)</f>
        <v>Phoenix Suns</v>
      </c>
      <c r="D591" s="341">
        <v>124</v>
      </c>
      <c r="E591" s="342">
        <v>121</v>
      </c>
      <c r="F591" s="333">
        <f>IF(E591&gt;D591, 1, 0)</f>
        <v>0</v>
      </c>
      <c r="G591" s="341" t="str">
        <f>MID(B591,FIND("@",B591)+2,LEN(B591)-FIND("@",B591)-1)</f>
        <v>Miami Heat</v>
      </c>
      <c r="H591" s="341">
        <v>119</v>
      </c>
      <c r="I591" s="342">
        <v>127</v>
      </c>
      <c r="J591" s="333">
        <f>IF(I591&gt;H591, 1, 0)</f>
        <v>1</v>
      </c>
      <c r="K591" s="341">
        <f>+D591+H591</f>
        <v>243</v>
      </c>
      <c r="L591" s="342">
        <f>E591+I591</f>
        <v>248</v>
      </c>
      <c r="M591" s="333">
        <f>IF(L591&gt;K591, 1, 0)</f>
        <v>1</v>
      </c>
      <c r="N591" s="343">
        <f>(+H591-D591)</f>
        <v>-5</v>
      </c>
      <c r="O591" s="449">
        <f>I591-E591</f>
        <v>6</v>
      </c>
      <c r="P591" s="289">
        <f>IF(OR(AND(N591&gt;0,O591&gt;0),AND(N591&lt;0,O591&lt;0)),1,0)</f>
        <v>0</v>
      </c>
      <c r="Q591" s="460">
        <f>WEEKNUM(tblResultadosNBA[[#This Row],[Fecha]],2)</f>
        <v>3</v>
      </c>
      <c r="R591" s="460" t="str">
        <f>TEXT(tblResultadosNBA[[#This Row],[Fecha]],"mmm")</f>
        <v>ene</v>
      </c>
    </row>
    <row r="592" spans="1:18">
      <c r="A592" s="419">
        <v>46035</v>
      </c>
      <c r="B592" s="302" t="s">
        <v>660</v>
      </c>
      <c r="C592" s="177" t="str">
        <f t="shared" ref="C592:C596" si="584">LEFT(B592,FIND("@",B592)-2)</f>
        <v>Chicago Bulls</v>
      </c>
      <c r="D592" s="177">
        <v>113</v>
      </c>
      <c r="E592" s="336">
        <v>113</v>
      </c>
      <c r="F592" s="327">
        <f t="shared" ref="F592:F596" si="585">IF(E592&gt;D592, 1, 0)</f>
        <v>0</v>
      </c>
      <c r="G592" s="177" t="str">
        <f t="shared" ref="G592:G596" si="586">MID(B592,FIND("@",B592)+2,LEN(B592)-FIND("@",B592)-1)</f>
        <v>Houston Rockets</v>
      </c>
      <c r="H592" s="177">
        <v>123</v>
      </c>
      <c r="I592" s="336">
        <v>119</v>
      </c>
      <c r="J592" s="327">
        <f t="shared" ref="J592:J596" si="587">IF(I592&gt;H592, 1, 0)</f>
        <v>0</v>
      </c>
      <c r="K592" s="177">
        <f t="shared" ref="K592:K596" si="588">+D592+H592</f>
        <v>236</v>
      </c>
      <c r="L592" s="336">
        <f t="shared" ref="L592:L596" si="589">E592+I592</f>
        <v>232</v>
      </c>
      <c r="M592" s="327">
        <f t="shared" ref="M592:M596" si="590">IF(L592&gt;K592, 1, 0)</f>
        <v>0</v>
      </c>
      <c r="N592" s="337">
        <f t="shared" ref="N592:N596" si="591">(+H592-D592)</f>
        <v>10</v>
      </c>
      <c r="O592" s="395">
        <f t="shared" ref="O592:O596" si="592">I592-E592</f>
        <v>6</v>
      </c>
      <c r="P592" s="289">
        <f t="shared" ref="P592:P596" si="593">IF(OR(AND(N592&gt;0,O592&gt;0),AND(N592&lt;0,O592&lt;0)),1,0)</f>
        <v>1</v>
      </c>
      <c r="Q592" s="460">
        <f>WEEKNUM(tblResultadosNBA[[#This Row],[Fecha]],2)</f>
        <v>3</v>
      </c>
      <c r="R592" s="460" t="str">
        <f>TEXT(tblResultadosNBA[[#This Row],[Fecha]],"mmm")</f>
        <v>ene</v>
      </c>
    </row>
    <row r="593" spans="1:18">
      <c r="A593" s="419">
        <v>46035</v>
      </c>
      <c r="B593" s="302" t="s">
        <v>661</v>
      </c>
      <c r="C593" s="177" t="str">
        <f t="shared" si="584"/>
        <v>Minnesota Timberwolves</v>
      </c>
      <c r="D593" s="177">
        <v>110</v>
      </c>
      <c r="E593" s="336">
        <v>139</v>
      </c>
      <c r="F593" s="327">
        <f t="shared" si="585"/>
        <v>1</v>
      </c>
      <c r="G593" s="177" t="str">
        <f t="shared" si="586"/>
        <v>Milwaukee Bucks</v>
      </c>
      <c r="H593" s="177">
        <v>120</v>
      </c>
      <c r="I593" s="336">
        <v>106</v>
      </c>
      <c r="J593" s="327">
        <f t="shared" si="587"/>
        <v>0</v>
      </c>
      <c r="K593" s="177">
        <f t="shared" si="588"/>
        <v>230</v>
      </c>
      <c r="L593" s="336">
        <f t="shared" si="589"/>
        <v>245</v>
      </c>
      <c r="M593" s="327">
        <f t="shared" si="590"/>
        <v>1</v>
      </c>
      <c r="N593" s="337">
        <f t="shared" si="591"/>
        <v>10</v>
      </c>
      <c r="O593" s="395">
        <f t="shared" si="592"/>
        <v>-33</v>
      </c>
      <c r="P593" s="289">
        <f t="shared" si="593"/>
        <v>0</v>
      </c>
      <c r="Q593" s="460">
        <f>WEEKNUM(tblResultadosNBA[[#This Row],[Fecha]],2)</f>
        <v>3</v>
      </c>
      <c r="R593" s="460" t="str">
        <f>TEXT(tblResultadosNBA[[#This Row],[Fecha]],"mmm")</f>
        <v>ene</v>
      </c>
    </row>
    <row r="594" spans="1:18">
      <c r="A594" s="419">
        <v>46035</v>
      </c>
      <c r="B594" s="302" t="s">
        <v>547</v>
      </c>
      <c r="C594" s="177" t="str">
        <f t="shared" si="584"/>
        <v>Denver Nuggets</v>
      </c>
      <c r="D594" s="177">
        <v>128</v>
      </c>
      <c r="E594" s="336">
        <v>122</v>
      </c>
      <c r="F594" s="327">
        <f t="shared" si="585"/>
        <v>0</v>
      </c>
      <c r="G594" s="177" t="str">
        <f t="shared" si="586"/>
        <v>New Orleans Pelicans</v>
      </c>
      <c r="H594" s="177">
        <v>132</v>
      </c>
      <c r="I594" s="336">
        <v>116</v>
      </c>
      <c r="J594" s="327">
        <f t="shared" si="587"/>
        <v>0</v>
      </c>
      <c r="K594" s="177">
        <f t="shared" si="588"/>
        <v>260</v>
      </c>
      <c r="L594" s="336">
        <f t="shared" si="589"/>
        <v>238</v>
      </c>
      <c r="M594" s="327">
        <f t="shared" si="590"/>
        <v>0</v>
      </c>
      <c r="N594" s="337">
        <f t="shared" si="591"/>
        <v>4</v>
      </c>
      <c r="O594" s="395">
        <f t="shared" si="592"/>
        <v>-6</v>
      </c>
      <c r="P594" s="289">
        <f t="shared" si="593"/>
        <v>0</v>
      </c>
      <c r="Q594" s="460">
        <f>WEEKNUM(tblResultadosNBA[[#This Row],[Fecha]],2)</f>
        <v>3</v>
      </c>
      <c r="R594" s="460" t="str">
        <f>TEXT(tblResultadosNBA[[#This Row],[Fecha]],"mmm")</f>
        <v>ene</v>
      </c>
    </row>
    <row r="595" spans="1:18">
      <c r="A595" s="419">
        <v>46035</v>
      </c>
      <c r="B595" s="302" t="s">
        <v>224</v>
      </c>
      <c r="C595" s="177" t="str">
        <f t="shared" si="584"/>
        <v>San Antonio Spurs</v>
      </c>
      <c r="D595" s="177">
        <v>108</v>
      </c>
      <c r="E595" s="336">
        <v>98</v>
      </c>
      <c r="F595" s="327">
        <f t="shared" si="585"/>
        <v>0</v>
      </c>
      <c r="G595" s="177" t="str">
        <f t="shared" si="586"/>
        <v>Oklahoma City Thunder</v>
      </c>
      <c r="H595" s="177">
        <v>127</v>
      </c>
      <c r="I595" s="336">
        <v>119</v>
      </c>
      <c r="J595" s="327">
        <f t="shared" si="587"/>
        <v>0</v>
      </c>
      <c r="K595" s="177">
        <f t="shared" si="588"/>
        <v>235</v>
      </c>
      <c r="L595" s="336">
        <f t="shared" si="589"/>
        <v>217</v>
      </c>
      <c r="M595" s="327">
        <f t="shared" si="590"/>
        <v>0</v>
      </c>
      <c r="N595" s="337">
        <f t="shared" si="591"/>
        <v>19</v>
      </c>
      <c r="O595" s="395">
        <f t="shared" si="592"/>
        <v>21</v>
      </c>
      <c r="P595" s="289">
        <f t="shared" si="593"/>
        <v>1</v>
      </c>
      <c r="Q595" s="460">
        <f>WEEKNUM(tblResultadosNBA[[#This Row],[Fecha]],2)</f>
        <v>3</v>
      </c>
      <c r="R595" s="460" t="str">
        <f>TEXT(tblResultadosNBA[[#This Row],[Fecha]],"mmm")</f>
        <v>ene</v>
      </c>
    </row>
    <row r="596" spans="1:18">
      <c r="A596" s="419">
        <v>46035</v>
      </c>
      <c r="B596" s="302" t="s">
        <v>662</v>
      </c>
      <c r="C596" s="177" t="str">
        <f t="shared" si="584"/>
        <v>Atlanta Hawks</v>
      </c>
      <c r="D596" s="177">
        <v>112</v>
      </c>
      <c r="E596" s="336">
        <v>116</v>
      </c>
      <c r="F596" s="327">
        <f t="shared" si="585"/>
        <v>1</v>
      </c>
      <c r="G596" s="177" t="str">
        <f t="shared" si="586"/>
        <v>Los Angeles Lakers</v>
      </c>
      <c r="H596" s="177">
        <v>122</v>
      </c>
      <c r="I596" s="336">
        <v>141</v>
      </c>
      <c r="J596" s="327">
        <f t="shared" si="587"/>
        <v>1</v>
      </c>
      <c r="K596" s="177">
        <f t="shared" si="588"/>
        <v>234</v>
      </c>
      <c r="L596" s="336">
        <f t="shared" si="589"/>
        <v>257</v>
      </c>
      <c r="M596" s="327">
        <f t="shared" si="590"/>
        <v>1</v>
      </c>
      <c r="N596" s="337">
        <f t="shared" si="591"/>
        <v>10</v>
      </c>
      <c r="O596" s="395">
        <f t="shared" si="592"/>
        <v>25</v>
      </c>
      <c r="P596" s="289">
        <f t="shared" si="593"/>
        <v>1</v>
      </c>
      <c r="Q596" s="460">
        <f>WEEKNUM(tblResultadosNBA[[#This Row],[Fecha]],2)</f>
        <v>3</v>
      </c>
      <c r="R596" s="460" t="str">
        <f>TEXT(tblResultadosNBA[[#This Row],[Fecha]],"mmm")</f>
        <v>ene</v>
      </c>
    </row>
    <row r="597" spans="1:18">
      <c r="A597" s="445">
        <v>46035</v>
      </c>
      <c r="B597" s="331" t="s">
        <v>88</v>
      </c>
      <c r="C597" s="286" t="str">
        <f>LEFT(B597,FIND("@",B597)-2)</f>
        <v>Portland Trail Blazers</v>
      </c>
      <c r="D597" s="286">
        <v>118</v>
      </c>
      <c r="E597" s="431">
        <v>97</v>
      </c>
      <c r="F597" s="332">
        <f>IF(E597&gt;D597, 1, 0)</f>
        <v>0</v>
      </c>
      <c r="G597" s="286" t="str">
        <f>MID(B597,FIND("@",B597)+2,LEN(B597)-FIND("@",B597)-1)</f>
        <v>Golden State Warriors</v>
      </c>
      <c r="H597" s="286">
        <v>131</v>
      </c>
      <c r="I597" s="431">
        <v>119</v>
      </c>
      <c r="J597" s="332">
        <f>IF(I597&gt;H597, 1, 0)</f>
        <v>0</v>
      </c>
      <c r="K597" s="286">
        <f>+D597+H597</f>
        <v>249</v>
      </c>
      <c r="L597" s="431">
        <f>E597+I597</f>
        <v>216</v>
      </c>
      <c r="M597" s="332">
        <f>IF(L597&gt;K597, 1, 0)</f>
        <v>0</v>
      </c>
      <c r="N597" s="432">
        <f>(+H597-D597)</f>
        <v>13</v>
      </c>
      <c r="O597" s="451">
        <f>I597-E597</f>
        <v>22</v>
      </c>
      <c r="P597" s="433">
        <f>IF(OR(AND(N597&gt;0,O597&gt;0),AND(N597&lt;0,O597&lt;0)),1,0)</f>
        <v>1</v>
      </c>
      <c r="Q597" s="460">
        <f>WEEKNUM(tblResultadosNBA[[#This Row],[Fecha]],2)</f>
        <v>3</v>
      </c>
      <c r="R597" s="460" t="str">
        <f>TEXT(tblResultadosNBA[[#This Row],[Fecha]],"mmm")</f>
        <v>ene</v>
      </c>
    </row>
    <row r="598" spans="1:18">
      <c r="A598" s="439">
        <v>46036</v>
      </c>
      <c r="B598" s="422" t="s">
        <v>540</v>
      </c>
      <c r="C598" s="341" t="str">
        <f>LEFT(B598,FIND("@",B598)-2)</f>
        <v>Toronto Raptors</v>
      </c>
      <c r="D598" s="341">
        <v>128</v>
      </c>
      <c r="E598" s="342">
        <v>115</v>
      </c>
      <c r="F598" s="333">
        <f>IF(E598&gt;D598, 1, 0)</f>
        <v>0</v>
      </c>
      <c r="G598" s="341" t="str">
        <f>MID(B598,FIND("@",B598)+2,LEN(B598)-FIND("@",B598)-1)</f>
        <v>Indiana Pacers</v>
      </c>
      <c r="H598" s="341">
        <v>115</v>
      </c>
      <c r="I598" s="342">
        <v>101</v>
      </c>
      <c r="J598" s="333">
        <f>IF(I598&gt;H598, 1, 0)</f>
        <v>0</v>
      </c>
      <c r="K598" s="341">
        <f>+D598+H598</f>
        <v>243</v>
      </c>
      <c r="L598" s="342">
        <f>E598+I598</f>
        <v>216</v>
      </c>
      <c r="M598" s="333">
        <f>IF(L598&gt;K598, 1, 0)</f>
        <v>0</v>
      </c>
      <c r="N598" s="343">
        <f>(+H598-D598)</f>
        <v>-13</v>
      </c>
      <c r="O598" s="449">
        <f>I598-E598</f>
        <v>-14</v>
      </c>
      <c r="P598" s="289">
        <f>IF(OR(AND(N598&gt;0,O598&gt;0),AND(N598&lt;0,O598&lt;0)),1,0)</f>
        <v>1</v>
      </c>
      <c r="Q598" s="460">
        <f>WEEKNUM(tblResultadosNBA[[#This Row],[Fecha]],2)</f>
        <v>3</v>
      </c>
      <c r="R598" s="460" t="str">
        <f>TEXT(tblResultadosNBA[[#This Row],[Fecha]],"mmm")</f>
        <v>ene</v>
      </c>
    </row>
    <row r="599" spans="1:18">
      <c r="A599" s="419">
        <v>46036</v>
      </c>
      <c r="B599" s="302" t="s">
        <v>275</v>
      </c>
      <c r="C599" s="177" t="str">
        <f t="shared" ref="C599:C604" si="594">LEFT(B599,FIND("@",B599)-2)</f>
        <v>Cleveland Cavaliers</v>
      </c>
      <c r="D599" s="177">
        <v>115</v>
      </c>
      <c r="E599" s="336">
        <v>133</v>
      </c>
      <c r="F599" s="327">
        <f t="shared" ref="F599:F604" si="595">IF(E599&gt;D599, 1, 0)</f>
        <v>1</v>
      </c>
      <c r="G599" s="177" t="str">
        <f t="shared" ref="G599:G604" si="596">MID(B599,FIND("@",B599)+2,LEN(B599)-FIND("@",B599)-1)</f>
        <v>Philadelphia 76ers</v>
      </c>
      <c r="H599" s="177">
        <v>118</v>
      </c>
      <c r="I599" s="336">
        <v>107</v>
      </c>
      <c r="J599" s="327">
        <f t="shared" ref="J599:J604" si="597">IF(I599&gt;H599, 1, 0)</f>
        <v>0</v>
      </c>
      <c r="K599" s="177">
        <f t="shared" ref="K599:K604" si="598">+D599+H599</f>
        <v>233</v>
      </c>
      <c r="L599" s="336">
        <f t="shared" ref="L599:L604" si="599">E599+I599</f>
        <v>240</v>
      </c>
      <c r="M599" s="327">
        <f t="shared" ref="M599:M604" si="600">IF(L599&gt;K599, 1, 0)</f>
        <v>1</v>
      </c>
      <c r="N599" s="337">
        <f t="shared" ref="N599:N604" si="601">(+H599-D599)</f>
        <v>3</v>
      </c>
      <c r="O599" s="395">
        <f t="shared" ref="O599:O604" si="602">I599-E599</f>
        <v>-26</v>
      </c>
      <c r="P599" s="289">
        <f t="shared" ref="P599:P604" si="603">IF(OR(AND(N599&gt;0,O599&gt;0),AND(N599&lt;0,O599&lt;0)),1,0)</f>
        <v>0</v>
      </c>
      <c r="Q599" s="460">
        <f>WEEKNUM(tblResultadosNBA[[#This Row],[Fecha]],2)</f>
        <v>3</v>
      </c>
      <c r="R599" s="460" t="str">
        <f>TEXT(tblResultadosNBA[[#This Row],[Fecha]],"mmm")</f>
        <v>ene</v>
      </c>
    </row>
    <row r="600" spans="1:18">
      <c r="A600" s="419">
        <v>46036</v>
      </c>
      <c r="B600" s="302" t="s">
        <v>276</v>
      </c>
      <c r="C600" s="177" t="str">
        <f t="shared" si="594"/>
        <v>Utah Jazz</v>
      </c>
      <c r="D600" s="177">
        <v>113</v>
      </c>
      <c r="E600" s="336">
        <v>126</v>
      </c>
      <c r="F600" s="327">
        <f t="shared" si="595"/>
        <v>1</v>
      </c>
      <c r="G600" s="177" t="str">
        <f t="shared" si="596"/>
        <v>Chicago Bulls</v>
      </c>
      <c r="H600" s="177">
        <v>121</v>
      </c>
      <c r="I600" s="336">
        <v>128</v>
      </c>
      <c r="J600" s="327">
        <f t="shared" si="597"/>
        <v>1</v>
      </c>
      <c r="K600" s="177">
        <f t="shared" si="598"/>
        <v>234</v>
      </c>
      <c r="L600" s="336">
        <f t="shared" si="599"/>
        <v>254</v>
      </c>
      <c r="M600" s="327">
        <f t="shared" si="600"/>
        <v>1</v>
      </c>
      <c r="N600" s="337">
        <f t="shared" si="601"/>
        <v>8</v>
      </c>
      <c r="O600" s="395">
        <f t="shared" si="602"/>
        <v>2</v>
      </c>
      <c r="P600" s="289">
        <f t="shared" si="603"/>
        <v>1</v>
      </c>
      <c r="Q600" s="460">
        <f>WEEKNUM(tblResultadosNBA[[#This Row],[Fecha]],2)</f>
        <v>3</v>
      </c>
      <c r="R600" s="460" t="str">
        <f>TEXT(tblResultadosNBA[[#This Row],[Fecha]],"mmm")</f>
        <v>ene</v>
      </c>
    </row>
    <row r="601" spans="1:18">
      <c r="A601" s="419">
        <v>46036</v>
      </c>
      <c r="B601" s="302" t="s">
        <v>663</v>
      </c>
      <c r="C601" s="177" t="str">
        <f t="shared" si="594"/>
        <v>Brooklyn Nets</v>
      </c>
      <c r="D601" s="177">
        <v>118</v>
      </c>
      <c r="E601" s="336">
        <v>113</v>
      </c>
      <c r="F601" s="327">
        <f t="shared" si="595"/>
        <v>0</v>
      </c>
      <c r="G601" s="177" t="str">
        <f t="shared" si="596"/>
        <v>New Orleans Pelicans</v>
      </c>
      <c r="H601" s="177">
        <v>135</v>
      </c>
      <c r="I601" s="336">
        <v>116</v>
      </c>
      <c r="J601" s="327">
        <f t="shared" si="597"/>
        <v>0</v>
      </c>
      <c r="K601" s="177">
        <f t="shared" si="598"/>
        <v>253</v>
      </c>
      <c r="L601" s="336">
        <f t="shared" si="599"/>
        <v>229</v>
      </c>
      <c r="M601" s="327">
        <f t="shared" si="600"/>
        <v>0</v>
      </c>
      <c r="N601" s="337">
        <f t="shared" si="601"/>
        <v>17</v>
      </c>
      <c r="O601" s="395">
        <f t="shared" si="602"/>
        <v>3</v>
      </c>
      <c r="P601" s="289">
        <f t="shared" si="603"/>
        <v>1</v>
      </c>
      <c r="Q601" s="460">
        <f>WEEKNUM(tblResultadosNBA[[#This Row],[Fecha]],2)</f>
        <v>3</v>
      </c>
      <c r="R601" s="460" t="str">
        <f>TEXT(tblResultadosNBA[[#This Row],[Fecha]],"mmm")</f>
        <v>ene</v>
      </c>
    </row>
    <row r="602" spans="1:18">
      <c r="A602" s="419">
        <v>46036</v>
      </c>
      <c r="B602" s="302" t="s">
        <v>277</v>
      </c>
      <c r="C602" s="177" t="str">
        <f t="shared" si="594"/>
        <v>Denver Nuggets</v>
      </c>
      <c r="D602" s="177">
        <v>114</v>
      </c>
      <c r="E602" s="336">
        <v>118</v>
      </c>
      <c r="F602" s="327">
        <f t="shared" si="595"/>
        <v>1</v>
      </c>
      <c r="G602" s="177" t="str">
        <f t="shared" si="596"/>
        <v>Dallas Mavericks</v>
      </c>
      <c r="H602" s="177">
        <v>110</v>
      </c>
      <c r="I602" s="336">
        <v>109</v>
      </c>
      <c r="J602" s="327">
        <f t="shared" si="597"/>
        <v>0</v>
      </c>
      <c r="K602" s="177">
        <f t="shared" si="598"/>
        <v>224</v>
      </c>
      <c r="L602" s="336">
        <f t="shared" si="599"/>
        <v>227</v>
      </c>
      <c r="M602" s="327">
        <f t="shared" si="600"/>
        <v>1</v>
      </c>
      <c r="N602" s="337">
        <f t="shared" si="601"/>
        <v>-4</v>
      </c>
      <c r="O602" s="395">
        <f t="shared" si="602"/>
        <v>-9</v>
      </c>
      <c r="P602" s="289">
        <f t="shared" si="603"/>
        <v>1</v>
      </c>
      <c r="Q602" s="460">
        <f>WEEKNUM(tblResultadosNBA[[#This Row],[Fecha]],2)</f>
        <v>3</v>
      </c>
      <c r="R602" s="460" t="str">
        <f>TEXT(tblResultadosNBA[[#This Row],[Fecha]],"mmm")</f>
        <v>ene</v>
      </c>
    </row>
    <row r="603" spans="1:18">
      <c r="A603" s="419">
        <v>46036</v>
      </c>
      <c r="B603" s="302" t="s">
        <v>664</v>
      </c>
      <c r="C603" s="177" t="str">
        <f t="shared" si="594"/>
        <v>New York Knicks</v>
      </c>
      <c r="D603" s="177">
        <v>115</v>
      </c>
      <c r="E603" s="336">
        <v>101</v>
      </c>
      <c r="F603" s="327">
        <f t="shared" si="595"/>
        <v>0</v>
      </c>
      <c r="G603" s="177" t="str">
        <f t="shared" si="596"/>
        <v>Sacramento Kings</v>
      </c>
      <c r="H603" s="177">
        <v>120</v>
      </c>
      <c r="I603" s="336">
        <v>112</v>
      </c>
      <c r="J603" s="327">
        <f t="shared" si="597"/>
        <v>0</v>
      </c>
      <c r="K603" s="177">
        <f t="shared" si="598"/>
        <v>235</v>
      </c>
      <c r="L603" s="336">
        <f t="shared" si="599"/>
        <v>213</v>
      </c>
      <c r="M603" s="327">
        <f t="shared" si="600"/>
        <v>0</v>
      </c>
      <c r="N603" s="337">
        <f t="shared" si="601"/>
        <v>5</v>
      </c>
      <c r="O603" s="395">
        <f t="shared" si="602"/>
        <v>11</v>
      </c>
      <c r="P603" s="289">
        <f t="shared" si="603"/>
        <v>1</v>
      </c>
      <c r="Q603" s="460">
        <f>WEEKNUM(tblResultadosNBA[[#This Row],[Fecha]],2)</f>
        <v>3</v>
      </c>
      <c r="R603" s="460" t="str">
        <f>TEXT(tblResultadosNBA[[#This Row],[Fecha]],"mmm")</f>
        <v>ene</v>
      </c>
    </row>
    <row r="604" spans="1:18">
      <c r="A604" s="445">
        <v>46036</v>
      </c>
      <c r="B604" s="331" t="s">
        <v>665</v>
      </c>
      <c r="C604" s="286" t="str">
        <f t="shared" si="594"/>
        <v>Washington Wizards</v>
      </c>
      <c r="D604" s="286">
        <v>111</v>
      </c>
      <c r="E604" s="431">
        <v>105</v>
      </c>
      <c r="F604" s="332">
        <f t="shared" si="595"/>
        <v>0</v>
      </c>
      <c r="G604" s="286" t="str">
        <f t="shared" si="596"/>
        <v>LA Clippers</v>
      </c>
      <c r="H604" s="286">
        <v>128</v>
      </c>
      <c r="I604" s="431">
        <v>119</v>
      </c>
      <c r="J604" s="332">
        <f t="shared" si="597"/>
        <v>0</v>
      </c>
      <c r="K604" s="286">
        <f t="shared" si="598"/>
        <v>239</v>
      </c>
      <c r="L604" s="431">
        <f t="shared" si="599"/>
        <v>224</v>
      </c>
      <c r="M604" s="332">
        <f t="shared" si="600"/>
        <v>0</v>
      </c>
      <c r="N604" s="432">
        <f t="shared" si="601"/>
        <v>17</v>
      </c>
      <c r="O604" s="451">
        <f t="shared" si="602"/>
        <v>14</v>
      </c>
      <c r="P604" s="433">
        <f t="shared" si="603"/>
        <v>1</v>
      </c>
      <c r="Q604" s="460">
        <f>WEEKNUM(tblResultadosNBA[[#This Row],[Fecha]],2)</f>
        <v>3</v>
      </c>
      <c r="R604" s="460" t="str">
        <f>TEXT(tblResultadosNBA[[#This Row],[Fecha]],"mmm")</f>
        <v>ene</v>
      </c>
    </row>
    <row r="605" spans="1:18">
      <c r="A605" s="439">
        <v>46037</v>
      </c>
      <c r="B605" s="422" t="s">
        <v>666</v>
      </c>
      <c r="C605" s="341" t="str">
        <f>LEFT(B605,FIND("@",B605)-2)</f>
        <v>Memphis Grizzlies</v>
      </c>
      <c r="D605" s="341">
        <v>127</v>
      </c>
      <c r="E605" s="342">
        <v>111</v>
      </c>
      <c r="F605" s="333">
        <f>IF(E605&gt;D605, 1, 0)</f>
        <v>0</v>
      </c>
      <c r="G605" s="341" t="str">
        <f>MID(B605,FIND("@",B605)+2,LEN(B605)-FIND("@",B605)-1)</f>
        <v>Orlando Magic</v>
      </c>
      <c r="H605" s="341">
        <v>118</v>
      </c>
      <c r="I605" s="342">
        <v>118</v>
      </c>
      <c r="J605" s="333">
        <f>IF(I605&gt;H605, 1, 0)</f>
        <v>0</v>
      </c>
      <c r="K605" s="341">
        <f>+D605+H605</f>
        <v>245</v>
      </c>
      <c r="L605" s="342">
        <f>E605+I605</f>
        <v>229</v>
      </c>
      <c r="M605" s="333">
        <f>IF(L605&gt;K605, 1, 0)</f>
        <v>0</v>
      </c>
      <c r="N605" s="343">
        <f>(+H605-D605)</f>
        <v>-9</v>
      </c>
      <c r="O605" s="449">
        <f>I605-E605</f>
        <v>7</v>
      </c>
      <c r="P605" s="289">
        <f>IF(OR(AND(N605&gt;0,O605&gt;0),AND(N605&lt;0,O605&lt;0)),1,0)</f>
        <v>0</v>
      </c>
      <c r="Q605" s="460">
        <f>WEEKNUM(tblResultadosNBA[[#This Row],[Fecha]],2)</f>
        <v>3</v>
      </c>
      <c r="R605" s="460" t="str">
        <f>TEXT(tblResultadosNBA[[#This Row],[Fecha]],"mmm")</f>
        <v>ene</v>
      </c>
    </row>
    <row r="606" spans="1:18">
      <c r="A606" s="419">
        <v>46037</v>
      </c>
      <c r="B606" s="302" t="s">
        <v>667</v>
      </c>
      <c r="C606" s="177" t="str">
        <f t="shared" ref="C606:C612" si="604">LEFT(B606,FIND("@",B606)-2)</f>
        <v>Phoenix Suns</v>
      </c>
      <c r="D606" s="177">
        <v>115</v>
      </c>
      <c r="E606" s="336">
        <v>105</v>
      </c>
      <c r="F606" s="327">
        <f t="shared" ref="F606:F612" si="605">IF(E606&gt;D606, 1, 0)</f>
        <v>0</v>
      </c>
      <c r="G606" s="177" t="str">
        <f t="shared" ref="G606:G612" si="606">MID(B606,FIND("@",B606)+2,LEN(B606)-FIND("@",B606)-1)</f>
        <v>Detroit Pistons</v>
      </c>
      <c r="H606" s="177">
        <v>118</v>
      </c>
      <c r="I606" s="336">
        <v>108</v>
      </c>
      <c r="J606" s="327">
        <f t="shared" ref="J606:J612" si="607">IF(I606&gt;H606, 1, 0)</f>
        <v>0</v>
      </c>
      <c r="K606" s="177">
        <f t="shared" ref="K606:K612" si="608">+D606+H606</f>
        <v>233</v>
      </c>
      <c r="L606" s="336">
        <f t="shared" ref="L606:L612" si="609">E606+I606</f>
        <v>213</v>
      </c>
      <c r="M606" s="327">
        <f t="shared" ref="M606:M612" si="610">IF(L606&gt;K606, 1, 0)</f>
        <v>0</v>
      </c>
      <c r="N606" s="337">
        <f t="shared" ref="N606:N612" si="611">(+H606-D606)</f>
        <v>3</v>
      </c>
      <c r="O606" s="395">
        <f t="shared" ref="O606:O612" si="612">I606-E606</f>
        <v>3</v>
      </c>
      <c r="P606" s="289">
        <f t="shared" ref="P606:P612" si="613">IF(OR(AND(N606&gt;0,O606&gt;0),AND(N606&lt;0,O606&lt;0)),1,0)</f>
        <v>1</v>
      </c>
      <c r="Q606" s="460">
        <f>WEEKNUM(tblResultadosNBA[[#This Row],[Fecha]],2)</f>
        <v>3</v>
      </c>
      <c r="R606" s="460" t="str">
        <f>TEXT(tblResultadosNBA[[#This Row],[Fecha]],"mmm")</f>
        <v>ene</v>
      </c>
    </row>
    <row r="607" spans="1:18">
      <c r="A607" s="419">
        <v>46037</v>
      </c>
      <c r="B607" s="302" t="s">
        <v>278</v>
      </c>
      <c r="C607" s="177" t="str">
        <f t="shared" si="604"/>
        <v>Boston Celtics</v>
      </c>
      <c r="D607" s="177">
        <v>111</v>
      </c>
      <c r="E607" s="336">
        <v>119</v>
      </c>
      <c r="F607" s="327">
        <f t="shared" si="605"/>
        <v>1</v>
      </c>
      <c r="G607" s="177" t="str">
        <f t="shared" si="606"/>
        <v>Miami Heat</v>
      </c>
      <c r="H607" s="177">
        <v>110</v>
      </c>
      <c r="I607" s="336">
        <v>114</v>
      </c>
      <c r="J607" s="327">
        <f t="shared" si="607"/>
        <v>1</v>
      </c>
      <c r="K607" s="177">
        <f t="shared" si="608"/>
        <v>221</v>
      </c>
      <c r="L607" s="336">
        <f t="shared" si="609"/>
        <v>233</v>
      </c>
      <c r="M607" s="327">
        <f t="shared" si="610"/>
        <v>1</v>
      </c>
      <c r="N607" s="337">
        <f t="shared" si="611"/>
        <v>-1</v>
      </c>
      <c r="O607" s="395">
        <f t="shared" si="612"/>
        <v>-5</v>
      </c>
      <c r="P607" s="289">
        <f t="shared" si="613"/>
        <v>1</v>
      </c>
      <c r="Q607" s="460">
        <f>WEEKNUM(tblResultadosNBA[[#This Row],[Fecha]],2)</f>
        <v>3</v>
      </c>
      <c r="R607" s="460" t="str">
        <f>TEXT(tblResultadosNBA[[#This Row],[Fecha]],"mmm")</f>
        <v>ene</v>
      </c>
    </row>
    <row r="608" spans="1:18">
      <c r="A608" s="419">
        <v>46037</v>
      </c>
      <c r="B608" s="302" t="s">
        <v>668</v>
      </c>
      <c r="C608" s="177" t="str">
        <f t="shared" si="604"/>
        <v>Oklahoma City Thunder</v>
      </c>
      <c r="D608" s="177">
        <v>116</v>
      </c>
      <c r="E608" s="336">
        <v>111</v>
      </c>
      <c r="F608" s="327">
        <f t="shared" si="605"/>
        <v>0</v>
      </c>
      <c r="G608" s="177" t="str">
        <f t="shared" si="606"/>
        <v>Houston Rockets</v>
      </c>
      <c r="H608" s="177">
        <v>121</v>
      </c>
      <c r="I608" s="336">
        <v>91</v>
      </c>
      <c r="J608" s="327">
        <f t="shared" si="607"/>
        <v>0</v>
      </c>
      <c r="K608" s="177">
        <f t="shared" si="608"/>
        <v>237</v>
      </c>
      <c r="L608" s="336">
        <f t="shared" si="609"/>
        <v>202</v>
      </c>
      <c r="M608" s="327">
        <f t="shared" si="610"/>
        <v>0</v>
      </c>
      <c r="N608" s="337">
        <f t="shared" si="611"/>
        <v>5</v>
      </c>
      <c r="O608" s="395">
        <f t="shared" si="612"/>
        <v>-20</v>
      </c>
      <c r="P608" s="289">
        <f t="shared" si="613"/>
        <v>0</v>
      </c>
      <c r="Q608" s="460">
        <f>WEEKNUM(tblResultadosNBA[[#This Row],[Fecha]],2)</f>
        <v>3</v>
      </c>
      <c r="R608" s="460" t="str">
        <f>TEXT(tblResultadosNBA[[#This Row],[Fecha]],"mmm")</f>
        <v>ene</v>
      </c>
    </row>
    <row r="609" spans="1:18">
      <c r="A609" s="419">
        <v>46037</v>
      </c>
      <c r="B609" s="302" t="s">
        <v>669</v>
      </c>
      <c r="C609" s="177" t="str">
        <f t="shared" si="604"/>
        <v>Milwaukee Bucks</v>
      </c>
      <c r="D609" s="177">
        <v>121</v>
      </c>
      <c r="E609" s="336">
        <v>101</v>
      </c>
      <c r="F609" s="327">
        <f t="shared" si="605"/>
        <v>0</v>
      </c>
      <c r="G609" s="177" t="str">
        <f t="shared" si="606"/>
        <v>San Antonio Spurs</v>
      </c>
      <c r="H609" s="177">
        <v>116</v>
      </c>
      <c r="I609" s="336">
        <v>119</v>
      </c>
      <c r="J609" s="327">
        <f t="shared" si="607"/>
        <v>1</v>
      </c>
      <c r="K609" s="177">
        <f t="shared" si="608"/>
        <v>237</v>
      </c>
      <c r="L609" s="336">
        <f t="shared" si="609"/>
        <v>220</v>
      </c>
      <c r="M609" s="327">
        <f t="shared" si="610"/>
        <v>0</v>
      </c>
      <c r="N609" s="337">
        <f t="shared" si="611"/>
        <v>-5</v>
      </c>
      <c r="O609" s="395">
        <f t="shared" si="612"/>
        <v>18</v>
      </c>
      <c r="P609" s="289">
        <f t="shared" si="613"/>
        <v>0</v>
      </c>
      <c r="Q609" s="460">
        <f>WEEKNUM(tblResultadosNBA[[#This Row],[Fecha]],2)</f>
        <v>3</v>
      </c>
      <c r="R609" s="460" t="str">
        <f>TEXT(tblResultadosNBA[[#This Row],[Fecha]],"mmm")</f>
        <v>ene</v>
      </c>
    </row>
    <row r="610" spans="1:18">
      <c r="A610" s="419">
        <v>46037</v>
      </c>
      <c r="B610" s="302" t="s">
        <v>670</v>
      </c>
      <c r="C610" s="177" t="str">
        <f t="shared" si="604"/>
        <v>Utah Jazz</v>
      </c>
      <c r="D610" s="177">
        <v>119</v>
      </c>
      <c r="E610" s="336">
        <v>122</v>
      </c>
      <c r="F610" s="327">
        <f t="shared" si="605"/>
        <v>1</v>
      </c>
      <c r="G610" s="177" t="str">
        <f t="shared" si="606"/>
        <v>Dallas Mavericks</v>
      </c>
      <c r="H610" s="177">
        <v>124</v>
      </c>
      <c r="I610" s="336">
        <v>144</v>
      </c>
      <c r="J610" s="327">
        <f t="shared" si="607"/>
        <v>1</v>
      </c>
      <c r="K610" s="177">
        <f t="shared" si="608"/>
        <v>243</v>
      </c>
      <c r="L610" s="336">
        <f t="shared" si="609"/>
        <v>266</v>
      </c>
      <c r="M610" s="327">
        <f t="shared" si="610"/>
        <v>1</v>
      </c>
      <c r="N610" s="337">
        <f t="shared" si="611"/>
        <v>5</v>
      </c>
      <c r="O610" s="395">
        <f t="shared" si="612"/>
        <v>22</v>
      </c>
      <c r="P610" s="289">
        <f t="shared" si="613"/>
        <v>1</v>
      </c>
      <c r="Q610" s="460">
        <f>WEEKNUM(tblResultadosNBA[[#This Row],[Fecha]],2)</f>
        <v>3</v>
      </c>
      <c r="R610" s="460" t="str">
        <f>TEXT(tblResultadosNBA[[#This Row],[Fecha]],"mmm")</f>
        <v>ene</v>
      </c>
    </row>
    <row r="611" spans="1:18">
      <c r="A611" s="419">
        <v>46037</v>
      </c>
      <c r="B611" s="302" t="s">
        <v>671</v>
      </c>
      <c r="C611" s="177" t="str">
        <f t="shared" si="604"/>
        <v>New York Knicks</v>
      </c>
      <c r="D611" s="177">
        <v>128</v>
      </c>
      <c r="E611" s="336">
        <v>113</v>
      </c>
      <c r="F611" s="327">
        <f t="shared" si="605"/>
        <v>0</v>
      </c>
      <c r="G611" s="177" t="str">
        <f t="shared" si="606"/>
        <v>Golden State Warriors</v>
      </c>
      <c r="H611" s="177">
        <v>125</v>
      </c>
      <c r="I611" s="336">
        <v>126</v>
      </c>
      <c r="J611" s="327">
        <f t="shared" si="607"/>
        <v>1</v>
      </c>
      <c r="K611" s="177">
        <f t="shared" si="608"/>
        <v>253</v>
      </c>
      <c r="L611" s="336">
        <f t="shared" si="609"/>
        <v>239</v>
      </c>
      <c r="M611" s="327">
        <f t="shared" si="610"/>
        <v>0</v>
      </c>
      <c r="N611" s="337">
        <f t="shared" si="611"/>
        <v>-3</v>
      </c>
      <c r="O611" s="395">
        <f t="shared" si="612"/>
        <v>13</v>
      </c>
      <c r="P611" s="289">
        <f t="shared" si="613"/>
        <v>0</v>
      </c>
      <c r="Q611" s="460">
        <f>WEEKNUM(tblResultadosNBA[[#This Row],[Fecha]],2)</f>
        <v>3</v>
      </c>
      <c r="R611" s="460" t="str">
        <f>TEXT(tblResultadosNBA[[#This Row],[Fecha]],"mmm")</f>
        <v>ene</v>
      </c>
    </row>
    <row r="612" spans="1:18">
      <c r="A612" s="419">
        <v>46037</v>
      </c>
      <c r="B612" s="302" t="s">
        <v>279</v>
      </c>
      <c r="C612" s="177" t="str">
        <f t="shared" si="604"/>
        <v>Atlanta Hawks</v>
      </c>
      <c r="D612" s="177">
        <v>112</v>
      </c>
      <c r="E612" s="336">
        <v>101</v>
      </c>
      <c r="F612" s="327">
        <f t="shared" si="605"/>
        <v>0</v>
      </c>
      <c r="G612" s="177" t="str">
        <f t="shared" si="606"/>
        <v>Portland Trail Blazers</v>
      </c>
      <c r="H612" s="177">
        <v>109</v>
      </c>
      <c r="I612" s="336">
        <v>117</v>
      </c>
      <c r="J612" s="327">
        <f t="shared" si="607"/>
        <v>1</v>
      </c>
      <c r="K612" s="177">
        <f t="shared" si="608"/>
        <v>221</v>
      </c>
      <c r="L612" s="336">
        <f t="shared" si="609"/>
        <v>218</v>
      </c>
      <c r="M612" s="327">
        <f t="shared" si="610"/>
        <v>0</v>
      </c>
      <c r="N612" s="337">
        <f t="shared" si="611"/>
        <v>-3</v>
      </c>
      <c r="O612" s="395">
        <f t="shared" si="612"/>
        <v>16</v>
      </c>
      <c r="P612" s="289">
        <f t="shared" si="613"/>
        <v>0</v>
      </c>
      <c r="Q612" s="460">
        <f>WEEKNUM(tblResultadosNBA[[#This Row],[Fecha]],2)</f>
        <v>3</v>
      </c>
      <c r="R612" s="460" t="str">
        <f>TEXT(tblResultadosNBA[[#This Row],[Fecha]],"mmm")</f>
        <v>ene</v>
      </c>
    </row>
    <row r="613" spans="1:18">
      <c r="A613" s="445">
        <v>46037</v>
      </c>
      <c r="B613" s="331" t="s">
        <v>672</v>
      </c>
      <c r="C613" s="286" t="str">
        <f>LEFT(B613,FIND("@",B613)-2)</f>
        <v>Charlotte Hornets</v>
      </c>
      <c r="D613" s="286">
        <v>118</v>
      </c>
      <c r="E613" s="431">
        <v>135</v>
      </c>
      <c r="F613" s="332">
        <f>IF(E613&gt;D613, 1, 0)</f>
        <v>1</v>
      </c>
      <c r="G613" s="286" t="str">
        <f>MID(B613,FIND("@",B613)+2,LEN(B613)-FIND("@",B613)-1)</f>
        <v>Los Angeles Lakers</v>
      </c>
      <c r="H613" s="286">
        <v>121</v>
      </c>
      <c r="I613" s="431">
        <v>117</v>
      </c>
      <c r="J613" s="332">
        <f>IF(I613&gt;H613, 1, 0)</f>
        <v>0</v>
      </c>
      <c r="K613" s="286">
        <f>+D613+H613</f>
        <v>239</v>
      </c>
      <c r="L613" s="431">
        <f>E613+I613</f>
        <v>252</v>
      </c>
      <c r="M613" s="332">
        <f>IF(L613&gt;K613, 1, 0)</f>
        <v>1</v>
      </c>
      <c r="N613" s="432">
        <f>(+H613-D613)</f>
        <v>3</v>
      </c>
      <c r="O613" s="451">
        <f>I613-E613</f>
        <v>-18</v>
      </c>
      <c r="P613" s="433">
        <f>IF(OR(AND(N613&gt;0,O613&gt;0),AND(N613&lt;0,O613&lt;0)),1,0)</f>
        <v>0</v>
      </c>
      <c r="Q613" s="460">
        <f>WEEKNUM(tblResultadosNBA[[#This Row],[Fecha]],2)</f>
        <v>3</v>
      </c>
      <c r="R613" s="460" t="str">
        <f>TEXT(tblResultadosNBA[[#This Row],[Fecha]],"mmm")</f>
        <v>ene</v>
      </c>
    </row>
    <row r="614" spans="1:18">
      <c r="A614" s="439">
        <v>46038</v>
      </c>
      <c r="B614" s="422" t="s">
        <v>673</v>
      </c>
      <c r="C614" s="341" t="str">
        <f>LEFT(B614,FIND("@",B614)-2)</f>
        <v>New Orleans Pelicans</v>
      </c>
      <c r="D614" s="341">
        <v>129</v>
      </c>
      <c r="E614" s="342">
        <v>119</v>
      </c>
      <c r="F614" s="333">
        <f>IF(E614&gt;D614, 1, 0)</f>
        <v>0</v>
      </c>
      <c r="G614" s="341" t="str">
        <f>MID(B614,FIND("@",B614)+2,LEN(B614)-FIND("@",B614)-1)</f>
        <v>Indiana Pacers</v>
      </c>
      <c r="H614" s="341">
        <v>124</v>
      </c>
      <c r="I614" s="342">
        <v>127</v>
      </c>
      <c r="J614" s="333">
        <f>IF(I614&gt;H614, 1, 0)</f>
        <v>1</v>
      </c>
      <c r="K614" s="341">
        <f>+D614+H614</f>
        <v>253</v>
      </c>
      <c r="L614" s="342">
        <f>E614+I614</f>
        <v>246</v>
      </c>
      <c r="M614" s="333">
        <f>IF(L614&gt;K614, 1, 0)</f>
        <v>0</v>
      </c>
      <c r="N614" s="343">
        <f>(+H614-D614)</f>
        <v>-5</v>
      </c>
      <c r="O614" s="449">
        <f>I614-E614</f>
        <v>8</v>
      </c>
      <c r="P614" s="289">
        <f>IF(OR(AND(N614&gt;0,O614&gt;0),AND(N614&lt;0,O614&lt;0)),1,0)</f>
        <v>0</v>
      </c>
      <c r="Q614" s="460">
        <f>WEEKNUM(tblResultadosNBA[[#This Row],[Fecha]],2)</f>
        <v>3</v>
      </c>
      <c r="R614" s="460" t="str">
        <f>TEXT(tblResultadosNBA[[#This Row],[Fecha]],"mmm")</f>
        <v>ene</v>
      </c>
    </row>
    <row r="615" spans="1:18">
      <c r="A615" s="419">
        <v>46038</v>
      </c>
      <c r="B615" s="302" t="s">
        <v>275</v>
      </c>
      <c r="C615" s="177" t="str">
        <f t="shared" ref="C615:C619" si="614">LEFT(B615,FIND("@",B615)-2)</f>
        <v>Cleveland Cavaliers</v>
      </c>
      <c r="D615" s="177">
        <v>116</v>
      </c>
      <c r="E615" s="336">
        <v>117</v>
      </c>
      <c r="F615" s="327">
        <f t="shared" ref="F615:F619" si="615">IF(E615&gt;D615, 1, 0)</f>
        <v>1</v>
      </c>
      <c r="G615" s="177" t="str">
        <f t="shared" ref="G615:G619" si="616">MID(B615,FIND("@",B615)+2,LEN(B615)-FIND("@",B615)-1)</f>
        <v>Philadelphia 76ers</v>
      </c>
      <c r="H615" s="177">
        <v>119</v>
      </c>
      <c r="I615" s="336">
        <v>115</v>
      </c>
      <c r="J615" s="327">
        <f t="shared" ref="J615:J619" si="617">IF(I615&gt;H615, 1, 0)</f>
        <v>0</v>
      </c>
      <c r="K615" s="177">
        <f t="shared" ref="K615:K619" si="618">+D615+H615</f>
        <v>235</v>
      </c>
      <c r="L615" s="336">
        <f t="shared" ref="L615:L619" si="619">E615+I615</f>
        <v>232</v>
      </c>
      <c r="M615" s="327">
        <f t="shared" ref="M615:M619" si="620">IF(L615&gt;K615, 1, 0)</f>
        <v>0</v>
      </c>
      <c r="N615" s="337">
        <f t="shared" ref="N615:N619" si="621">(+H615-D615)</f>
        <v>3</v>
      </c>
      <c r="O615" s="395">
        <f t="shared" ref="O615:O619" si="622">I615-E615</f>
        <v>-2</v>
      </c>
      <c r="P615" s="289">
        <f t="shared" ref="P615:P619" si="623">IF(OR(AND(N615&gt;0,O615&gt;0),AND(N615&lt;0,O615&lt;0)),1,0)</f>
        <v>0</v>
      </c>
      <c r="Q615" s="460">
        <f>WEEKNUM(tblResultadosNBA[[#This Row],[Fecha]],2)</f>
        <v>3</v>
      </c>
      <c r="R615" s="460" t="str">
        <f>TEXT(tblResultadosNBA[[#This Row],[Fecha]],"mmm")</f>
        <v>ene</v>
      </c>
    </row>
    <row r="616" spans="1:18">
      <c r="A616" s="419">
        <v>46038</v>
      </c>
      <c r="B616" s="302" t="s">
        <v>280</v>
      </c>
      <c r="C616" s="177" t="str">
        <f t="shared" si="614"/>
        <v>Chicago Bulls</v>
      </c>
      <c r="D616" s="177">
        <v>107</v>
      </c>
      <c r="E616" s="336">
        <v>109</v>
      </c>
      <c r="F616" s="327">
        <f t="shared" si="615"/>
        <v>1</v>
      </c>
      <c r="G616" s="177" t="str">
        <f t="shared" si="616"/>
        <v>Brooklyn Nets</v>
      </c>
      <c r="H616" s="177">
        <v>112</v>
      </c>
      <c r="I616" s="336">
        <v>112</v>
      </c>
      <c r="J616" s="327">
        <f t="shared" si="617"/>
        <v>0</v>
      </c>
      <c r="K616" s="177">
        <f t="shared" si="618"/>
        <v>219</v>
      </c>
      <c r="L616" s="336">
        <f t="shared" si="619"/>
        <v>221</v>
      </c>
      <c r="M616" s="327">
        <f t="shared" si="620"/>
        <v>1</v>
      </c>
      <c r="N616" s="337">
        <f t="shared" si="621"/>
        <v>5</v>
      </c>
      <c r="O616" s="395">
        <f t="shared" si="622"/>
        <v>3</v>
      </c>
      <c r="P616" s="289">
        <f t="shared" si="623"/>
        <v>1</v>
      </c>
      <c r="Q616" s="460">
        <f>WEEKNUM(tblResultadosNBA[[#This Row],[Fecha]],2)</f>
        <v>3</v>
      </c>
      <c r="R616" s="460" t="str">
        <f>TEXT(tblResultadosNBA[[#This Row],[Fecha]],"mmm")</f>
        <v>ene</v>
      </c>
    </row>
    <row r="617" spans="1:18">
      <c r="A617" s="419">
        <v>46038</v>
      </c>
      <c r="B617" s="302" t="s">
        <v>674</v>
      </c>
      <c r="C617" s="177" t="str">
        <f t="shared" si="614"/>
        <v>LA Clippers</v>
      </c>
      <c r="D617" s="177">
        <v>111</v>
      </c>
      <c r="E617" s="336">
        <v>121</v>
      </c>
      <c r="F617" s="327">
        <f t="shared" si="615"/>
        <v>1</v>
      </c>
      <c r="G617" s="177" t="str">
        <f t="shared" si="616"/>
        <v>Toronto Raptors</v>
      </c>
      <c r="H617" s="177">
        <v>119</v>
      </c>
      <c r="I617" s="336">
        <v>117</v>
      </c>
      <c r="J617" s="327">
        <f t="shared" si="617"/>
        <v>0</v>
      </c>
      <c r="K617" s="177">
        <f t="shared" si="618"/>
        <v>230</v>
      </c>
      <c r="L617" s="336">
        <f t="shared" si="619"/>
        <v>238</v>
      </c>
      <c r="M617" s="327">
        <f t="shared" si="620"/>
        <v>1</v>
      </c>
      <c r="N617" s="337">
        <f t="shared" si="621"/>
        <v>8</v>
      </c>
      <c r="O617" s="395">
        <f t="shared" si="622"/>
        <v>-4</v>
      </c>
      <c r="P617" s="289">
        <f t="shared" si="623"/>
        <v>0</v>
      </c>
      <c r="Q617" s="460">
        <f>WEEKNUM(tblResultadosNBA[[#This Row],[Fecha]],2)</f>
        <v>3</v>
      </c>
      <c r="R617" s="460" t="str">
        <f>TEXT(tblResultadosNBA[[#This Row],[Fecha]],"mmm")</f>
        <v>ene</v>
      </c>
    </row>
    <row r="618" spans="1:18">
      <c r="A618" s="419">
        <v>46038</v>
      </c>
      <c r="B618" s="302" t="s">
        <v>675</v>
      </c>
      <c r="C618" s="177" t="str">
        <f t="shared" si="614"/>
        <v>Minnesota Timberwolves</v>
      </c>
      <c r="D618" s="177">
        <v>109</v>
      </c>
      <c r="E618" s="336">
        <v>105</v>
      </c>
      <c r="F618" s="327">
        <f t="shared" si="615"/>
        <v>0</v>
      </c>
      <c r="G618" s="177" t="str">
        <f t="shared" si="616"/>
        <v>Houston Rockets</v>
      </c>
      <c r="H618" s="177">
        <v>119</v>
      </c>
      <c r="I618" s="336">
        <v>110</v>
      </c>
      <c r="J618" s="327">
        <f t="shared" si="617"/>
        <v>0</v>
      </c>
      <c r="K618" s="177">
        <f t="shared" si="618"/>
        <v>228</v>
      </c>
      <c r="L618" s="336">
        <f t="shared" si="619"/>
        <v>215</v>
      </c>
      <c r="M618" s="327">
        <f t="shared" si="620"/>
        <v>0</v>
      </c>
      <c r="N618" s="337">
        <f t="shared" si="621"/>
        <v>10</v>
      </c>
      <c r="O618" s="395">
        <f t="shared" si="622"/>
        <v>5</v>
      </c>
      <c r="P618" s="289">
        <f t="shared" si="623"/>
        <v>1</v>
      </c>
      <c r="Q618" s="460">
        <f>WEEKNUM(tblResultadosNBA[[#This Row],[Fecha]],2)</f>
        <v>3</v>
      </c>
      <c r="R618" s="460" t="str">
        <f>TEXT(tblResultadosNBA[[#This Row],[Fecha]],"mmm")</f>
        <v>ene</v>
      </c>
    </row>
    <row r="619" spans="1:18">
      <c r="A619" s="445">
        <v>46038</v>
      </c>
      <c r="B619" s="331" t="s">
        <v>676</v>
      </c>
      <c r="C619" s="286" t="str">
        <f t="shared" si="614"/>
        <v>Washington Wizards</v>
      </c>
      <c r="D619" s="286">
        <v>115</v>
      </c>
      <c r="E619" s="431">
        <v>115</v>
      </c>
      <c r="F619" s="332">
        <f t="shared" si="615"/>
        <v>0</v>
      </c>
      <c r="G619" s="286" t="str">
        <f t="shared" si="616"/>
        <v>Sacramento Kings</v>
      </c>
      <c r="H619" s="286">
        <v>120</v>
      </c>
      <c r="I619" s="431">
        <v>128</v>
      </c>
      <c r="J619" s="332">
        <f t="shared" si="617"/>
        <v>1</v>
      </c>
      <c r="K619" s="286">
        <f t="shared" si="618"/>
        <v>235</v>
      </c>
      <c r="L619" s="431">
        <f t="shared" si="619"/>
        <v>243</v>
      </c>
      <c r="M619" s="332">
        <f t="shared" si="620"/>
        <v>1</v>
      </c>
      <c r="N619" s="432">
        <f t="shared" si="621"/>
        <v>5</v>
      </c>
      <c r="O619" s="451">
        <f t="shared" si="622"/>
        <v>13</v>
      </c>
      <c r="P619" s="433">
        <f t="shared" si="623"/>
        <v>1</v>
      </c>
      <c r="Q619" s="460">
        <f>WEEKNUM(tblResultadosNBA[[#This Row],[Fecha]],2)</f>
        <v>3</v>
      </c>
      <c r="R619" s="460" t="str">
        <f>TEXT(tblResultadosNBA[[#This Row],[Fecha]],"mmm")</f>
        <v>ene</v>
      </c>
    </row>
    <row r="620" spans="1:18">
      <c r="A620" s="439">
        <v>46039</v>
      </c>
      <c r="B620" s="422" t="s">
        <v>670</v>
      </c>
      <c r="C620" s="341" t="str">
        <f>LEFT(B620,FIND("@",B620)-2)</f>
        <v>Utah Jazz</v>
      </c>
      <c r="D620" s="341">
        <v>127</v>
      </c>
      <c r="E620" s="342">
        <v>120</v>
      </c>
      <c r="F620" s="333">
        <f>IF(E620&gt;D620, 1, 0)</f>
        <v>0</v>
      </c>
      <c r="G620" s="341" t="str">
        <f>MID(B620,FIND("@",B620)+2,LEN(B620)-FIND("@",B620)-1)</f>
        <v>Dallas Mavericks</v>
      </c>
      <c r="H620" s="341">
        <v>122</v>
      </c>
      <c r="I620" s="342">
        <v>138</v>
      </c>
      <c r="J620" s="333">
        <f>IF(I620&gt;H620, 1, 0)</f>
        <v>1</v>
      </c>
      <c r="K620" s="341">
        <f>+D620+H620</f>
        <v>249</v>
      </c>
      <c r="L620" s="342">
        <f>E620+I620</f>
        <v>258</v>
      </c>
      <c r="M620" s="333">
        <f>IF(L620&gt;K620, 1, 0)</f>
        <v>1</v>
      </c>
      <c r="N620" s="343">
        <f>(+H620-D620)</f>
        <v>-5</v>
      </c>
      <c r="O620" s="449">
        <f>I620-E620</f>
        <v>18</v>
      </c>
      <c r="P620" s="289">
        <f>IF(OR(AND(N620&gt;0,O620&gt;0),AND(N620&lt;0,O620&lt;0)),1,0)</f>
        <v>0</v>
      </c>
      <c r="Q620" s="460">
        <f>WEEKNUM(tblResultadosNBA[[#This Row],[Fecha]],2)</f>
        <v>3</v>
      </c>
      <c r="R620" s="460" t="str">
        <f>TEXT(tblResultadosNBA[[#This Row],[Fecha]],"mmm")</f>
        <v>ene</v>
      </c>
    </row>
    <row r="621" spans="1:18">
      <c r="A621" s="419">
        <v>46039</v>
      </c>
      <c r="B621" s="302" t="s">
        <v>677</v>
      </c>
      <c r="C621" s="177" t="str">
        <f t="shared" ref="C621:C628" si="624">LEFT(B621,FIND("@",B621)-2)</f>
        <v>Boston Celtics</v>
      </c>
      <c r="D621" s="177">
        <v>114</v>
      </c>
      <c r="E621" s="336">
        <v>132</v>
      </c>
      <c r="F621" s="327">
        <f t="shared" ref="F621:F628" si="625">IF(E621&gt;D621, 1, 0)</f>
        <v>1</v>
      </c>
      <c r="G621" s="177" t="str">
        <f t="shared" ref="G621:G628" si="626">MID(B621,FIND("@",B621)+2,LEN(B621)-FIND("@",B621)-1)</f>
        <v>Atlanta Hawks</v>
      </c>
      <c r="H621" s="177">
        <v>118</v>
      </c>
      <c r="I621" s="336">
        <v>106</v>
      </c>
      <c r="J621" s="327">
        <f t="shared" ref="J621:J628" si="627">IF(I621&gt;H621, 1, 0)</f>
        <v>0</v>
      </c>
      <c r="K621" s="177">
        <f t="shared" ref="K621:K628" si="628">+D621+H621</f>
        <v>232</v>
      </c>
      <c r="L621" s="336">
        <f t="shared" ref="L621:L628" si="629">E621+I621</f>
        <v>238</v>
      </c>
      <c r="M621" s="327">
        <f t="shared" ref="M621:M628" si="630">IF(L621&gt;K621, 1, 0)</f>
        <v>1</v>
      </c>
      <c r="N621" s="337">
        <f t="shared" ref="N621:N628" si="631">(+H621-D621)</f>
        <v>4</v>
      </c>
      <c r="O621" s="395">
        <f t="shared" ref="O621:O628" si="632">I621-E621</f>
        <v>-26</v>
      </c>
      <c r="P621" s="289">
        <f t="shared" ref="P621:P628" si="633">IF(OR(AND(N621&gt;0,O621&gt;0),AND(N621&lt;0,O621&lt;0)),1,0)</f>
        <v>0</v>
      </c>
      <c r="Q621" s="460">
        <f>WEEKNUM(tblResultadosNBA[[#This Row],[Fecha]],2)</f>
        <v>3</v>
      </c>
      <c r="R621" s="460" t="str">
        <f>TEXT(tblResultadosNBA[[#This Row],[Fecha]],"mmm")</f>
        <v>ene</v>
      </c>
    </row>
    <row r="622" spans="1:18">
      <c r="A622" s="419">
        <v>46039</v>
      </c>
      <c r="B622" s="302" t="s">
        <v>71</v>
      </c>
      <c r="C622" s="177" t="str">
        <f t="shared" si="624"/>
        <v>Indiana Pacers</v>
      </c>
      <c r="D622" s="177">
        <v>103</v>
      </c>
      <c r="E622" s="336">
        <v>78</v>
      </c>
      <c r="F622" s="327">
        <f t="shared" si="625"/>
        <v>0</v>
      </c>
      <c r="G622" s="177" t="str">
        <f t="shared" si="626"/>
        <v>Detroit Pistons</v>
      </c>
      <c r="H622" s="177">
        <v>128</v>
      </c>
      <c r="I622" s="336">
        <v>121</v>
      </c>
      <c r="J622" s="327">
        <f t="shared" si="627"/>
        <v>0</v>
      </c>
      <c r="K622" s="177">
        <f t="shared" si="628"/>
        <v>231</v>
      </c>
      <c r="L622" s="336">
        <f t="shared" si="629"/>
        <v>199</v>
      </c>
      <c r="M622" s="327">
        <f t="shared" si="630"/>
        <v>0</v>
      </c>
      <c r="N622" s="337">
        <f t="shared" si="631"/>
        <v>25</v>
      </c>
      <c r="O622" s="395">
        <f t="shared" si="632"/>
        <v>43</v>
      </c>
      <c r="P622" s="289">
        <f t="shared" si="633"/>
        <v>1</v>
      </c>
      <c r="Q622" s="460">
        <f>WEEKNUM(tblResultadosNBA[[#This Row],[Fecha]],2)</f>
        <v>3</v>
      </c>
      <c r="R622" s="460" t="str">
        <f>TEXT(tblResultadosNBA[[#This Row],[Fecha]],"mmm")</f>
        <v>ene</v>
      </c>
    </row>
    <row r="623" spans="1:18">
      <c r="A623" s="419">
        <v>46039</v>
      </c>
      <c r="B623" s="302" t="s">
        <v>678</v>
      </c>
      <c r="C623" s="177" t="str">
        <f t="shared" si="624"/>
        <v>Phoenix Suns</v>
      </c>
      <c r="D623" s="177">
        <v>123</v>
      </c>
      <c r="E623" s="336">
        <v>106</v>
      </c>
      <c r="F623" s="327">
        <f t="shared" si="625"/>
        <v>0</v>
      </c>
      <c r="G623" s="177" t="str">
        <f t="shared" si="626"/>
        <v>New York Knicks</v>
      </c>
      <c r="H623" s="177">
        <v>134</v>
      </c>
      <c r="I623" s="336">
        <v>99</v>
      </c>
      <c r="J623" s="327">
        <f t="shared" si="627"/>
        <v>0</v>
      </c>
      <c r="K623" s="177">
        <f t="shared" si="628"/>
        <v>257</v>
      </c>
      <c r="L623" s="336">
        <f t="shared" si="629"/>
        <v>205</v>
      </c>
      <c r="M623" s="327">
        <f t="shared" si="630"/>
        <v>0</v>
      </c>
      <c r="N623" s="337">
        <f t="shared" si="631"/>
        <v>11</v>
      </c>
      <c r="O623" s="395">
        <f t="shared" si="632"/>
        <v>-7</v>
      </c>
      <c r="P623" s="289">
        <f t="shared" si="633"/>
        <v>0</v>
      </c>
      <c r="Q623" s="460">
        <f>WEEKNUM(tblResultadosNBA[[#This Row],[Fecha]],2)</f>
        <v>3</v>
      </c>
      <c r="R623" s="460" t="str">
        <f>TEXT(tblResultadosNBA[[#This Row],[Fecha]],"mmm")</f>
        <v>ene</v>
      </c>
    </row>
    <row r="624" spans="1:18">
      <c r="A624" s="419">
        <v>46039</v>
      </c>
      <c r="B624" s="302" t="s">
        <v>679</v>
      </c>
      <c r="C624" s="177" t="str">
        <f t="shared" si="624"/>
        <v>Oklahoma City Thunder</v>
      </c>
      <c r="D624" s="177">
        <v>117</v>
      </c>
      <c r="E624" s="336">
        <v>120</v>
      </c>
      <c r="F624" s="327">
        <f t="shared" si="625"/>
        <v>1</v>
      </c>
      <c r="G624" s="177" t="str">
        <f t="shared" si="626"/>
        <v>Miami Heat</v>
      </c>
      <c r="H624" s="177">
        <v>107</v>
      </c>
      <c r="I624" s="336">
        <v>122</v>
      </c>
      <c r="J624" s="327">
        <f t="shared" si="627"/>
        <v>1</v>
      </c>
      <c r="K624" s="177">
        <f t="shared" si="628"/>
        <v>224</v>
      </c>
      <c r="L624" s="336">
        <f t="shared" si="629"/>
        <v>242</v>
      </c>
      <c r="M624" s="327">
        <f t="shared" si="630"/>
        <v>1</v>
      </c>
      <c r="N624" s="337">
        <f t="shared" si="631"/>
        <v>-10</v>
      </c>
      <c r="O624" s="395">
        <f t="shared" si="632"/>
        <v>2</v>
      </c>
      <c r="P624" s="289">
        <f t="shared" si="633"/>
        <v>0</v>
      </c>
      <c r="Q624" s="460">
        <f>WEEKNUM(tblResultadosNBA[[#This Row],[Fecha]],2)</f>
        <v>3</v>
      </c>
      <c r="R624" s="460" t="str">
        <f>TEXT(tblResultadosNBA[[#This Row],[Fecha]],"mmm")</f>
        <v>ene</v>
      </c>
    </row>
    <row r="625" spans="1:18">
      <c r="A625" s="419">
        <v>46039</v>
      </c>
      <c r="B625" s="302" t="s">
        <v>680</v>
      </c>
      <c r="C625" s="177" t="str">
        <f t="shared" si="624"/>
        <v>Minnesota Timberwolves</v>
      </c>
      <c r="D625" s="177">
        <v>121</v>
      </c>
      <c r="E625" s="336">
        <v>123</v>
      </c>
      <c r="F625" s="327">
        <f t="shared" si="625"/>
        <v>1</v>
      </c>
      <c r="G625" s="177" t="str">
        <f t="shared" si="626"/>
        <v>San Antonio Spurs</v>
      </c>
      <c r="H625" s="177">
        <v>133</v>
      </c>
      <c r="I625" s="336">
        <v>126</v>
      </c>
      <c r="J625" s="327">
        <f t="shared" si="627"/>
        <v>0</v>
      </c>
      <c r="K625" s="177">
        <f t="shared" si="628"/>
        <v>254</v>
      </c>
      <c r="L625" s="336">
        <f t="shared" si="629"/>
        <v>249</v>
      </c>
      <c r="M625" s="327">
        <f t="shared" si="630"/>
        <v>0</v>
      </c>
      <c r="N625" s="337">
        <f t="shared" si="631"/>
        <v>12</v>
      </c>
      <c r="O625" s="395">
        <f t="shared" si="632"/>
        <v>3</v>
      </c>
      <c r="P625" s="289">
        <f t="shared" si="633"/>
        <v>1</v>
      </c>
      <c r="Q625" s="460">
        <f>WEEKNUM(tblResultadosNBA[[#This Row],[Fecha]],2)</f>
        <v>3</v>
      </c>
      <c r="R625" s="460" t="str">
        <f>TEXT(tblResultadosNBA[[#This Row],[Fecha]],"mmm")</f>
        <v>ene</v>
      </c>
    </row>
    <row r="626" spans="1:18">
      <c r="A626" s="419">
        <v>46039</v>
      </c>
      <c r="B626" s="302" t="s">
        <v>681</v>
      </c>
      <c r="C626" s="177" t="str">
        <f t="shared" si="624"/>
        <v>Charlotte Hornets</v>
      </c>
      <c r="D626" s="177">
        <v>125</v>
      </c>
      <c r="E626" s="336">
        <v>116</v>
      </c>
      <c r="F626" s="327">
        <f t="shared" si="625"/>
        <v>0</v>
      </c>
      <c r="G626" s="177" t="str">
        <f t="shared" si="626"/>
        <v>Golden State Warriors</v>
      </c>
      <c r="H626" s="177">
        <v>129</v>
      </c>
      <c r="I626" s="336">
        <v>136</v>
      </c>
      <c r="J626" s="327">
        <f t="shared" si="627"/>
        <v>1</v>
      </c>
      <c r="K626" s="177">
        <f t="shared" si="628"/>
        <v>254</v>
      </c>
      <c r="L626" s="336">
        <f t="shared" si="629"/>
        <v>252</v>
      </c>
      <c r="M626" s="327">
        <f t="shared" si="630"/>
        <v>0</v>
      </c>
      <c r="N626" s="337">
        <f t="shared" si="631"/>
        <v>4</v>
      </c>
      <c r="O626" s="395">
        <f t="shared" si="632"/>
        <v>20</v>
      </c>
      <c r="P626" s="289">
        <f t="shared" si="633"/>
        <v>1</v>
      </c>
      <c r="Q626" s="460">
        <f>WEEKNUM(tblResultadosNBA[[#This Row],[Fecha]],2)</f>
        <v>3</v>
      </c>
      <c r="R626" s="460" t="str">
        <f>TEXT(tblResultadosNBA[[#This Row],[Fecha]],"mmm")</f>
        <v>ene</v>
      </c>
    </row>
    <row r="627" spans="1:18">
      <c r="A627" s="419">
        <v>46039</v>
      </c>
      <c r="B627" s="302" t="s">
        <v>682</v>
      </c>
      <c r="C627" s="177" t="str">
        <f t="shared" si="624"/>
        <v>Washington Wizards</v>
      </c>
      <c r="D627" s="177">
        <v>106</v>
      </c>
      <c r="E627" s="336">
        <v>115</v>
      </c>
      <c r="F627" s="327">
        <f t="shared" si="625"/>
        <v>1</v>
      </c>
      <c r="G627" s="177" t="str">
        <f t="shared" si="626"/>
        <v>Denver Nuggets</v>
      </c>
      <c r="H627" s="177">
        <v>126</v>
      </c>
      <c r="I627" s="336">
        <v>121</v>
      </c>
      <c r="J627" s="327">
        <f t="shared" si="627"/>
        <v>0</v>
      </c>
      <c r="K627" s="177">
        <f t="shared" si="628"/>
        <v>232</v>
      </c>
      <c r="L627" s="336">
        <f t="shared" si="629"/>
        <v>236</v>
      </c>
      <c r="M627" s="327">
        <f t="shared" si="630"/>
        <v>1</v>
      </c>
      <c r="N627" s="337">
        <f t="shared" si="631"/>
        <v>20</v>
      </c>
      <c r="O627" s="395">
        <f t="shared" si="632"/>
        <v>6</v>
      </c>
      <c r="P627" s="289">
        <f t="shared" si="633"/>
        <v>1</v>
      </c>
      <c r="Q627" s="460">
        <f>WEEKNUM(tblResultadosNBA[[#This Row],[Fecha]],2)</f>
        <v>3</v>
      </c>
      <c r="R627" s="460" t="str">
        <f>TEXT(tblResultadosNBA[[#This Row],[Fecha]],"mmm")</f>
        <v>ene</v>
      </c>
    </row>
    <row r="628" spans="1:18">
      <c r="A628" s="445">
        <v>46039</v>
      </c>
      <c r="B628" s="331" t="s">
        <v>496</v>
      </c>
      <c r="C628" s="286" t="str">
        <f t="shared" si="624"/>
        <v>Los Angeles Lakers</v>
      </c>
      <c r="D628" s="286">
        <v>121</v>
      </c>
      <c r="E628" s="431">
        <v>116</v>
      </c>
      <c r="F628" s="332">
        <f t="shared" si="625"/>
        <v>0</v>
      </c>
      <c r="G628" s="286" t="str">
        <f t="shared" si="626"/>
        <v>Portland Trail Blazers</v>
      </c>
      <c r="H628" s="286">
        <v>117</v>
      </c>
      <c r="I628" s="431">
        <v>132</v>
      </c>
      <c r="J628" s="332">
        <f t="shared" si="627"/>
        <v>1</v>
      </c>
      <c r="K628" s="286">
        <f t="shared" si="628"/>
        <v>238</v>
      </c>
      <c r="L628" s="431">
        <f t="shared" si="629"/>
        <v>248</v>
      </c>
      <c r="M628" s="332">
        <f t="shared" si="630"/>
        <v>1</v>
      </c>
      <c r="N628" s="432">
        <f t="shared" si="631"/>
        <v>-4</v>
      </c>
      <c r="O628" s="451">
        <f t="shared" si="632"/>
        <v>16</v>
      </c>
      <c r="P628" s="433">
        <f t="shared" si="633"/>
        <v>0</v>
      </c>
      <c r="Q628" s="460">
        <f>WEEKNUM(tblResultadosNBA[[#This Row],[Fecha]],2)</f>
        <v>3</v>
      </c>
      <c r="R628" s="460" t="str">
        <f>TEXT(tblResultadosNBA[[#This Row],[Fecha]],"mmm")</f>
        <v>ene</v>
      </c>
    </row>
    <row r="629" spans="1:18">
      <c r="A629" s="439">
        <v>46040</v>
      </c>
      <c r="B629" s="422" t="s">
        <v>683</v>
      </c>
      <c r="C629" s="341" t="str">
        <f>LEFT(B629,FIND("@",B629)-2)</f>
        <v>Orlando Magic</v>
      </c>
      <c r="D629" s="341">
        <v>125</v>
      </c>
      <c r="E629" s="342">
        <v>109</v>
      </c>
      <c r="F629" s="333">
        <f>IF(E629&gt;D629, 1, 0)</f>
        <v>0</v>
      </c>
      <c r="G629" s="341" t="str">
        <f>MID(B629,FIND("@",B629)+2,LEN(B629)-FIND("@",B629)-1)</f>
        <v>Memphis Grizzlies</v>
      </c>
      <c r="H629" s="341">
        <v>121</v>
      </c>
      <c r="I629" s="342">
        <v>126</v>
      </c>
      <c r="J629" s="333">
        <f>IF(I629&gt;H629, 1, 0)</f>
        <v>1</v>
      </c>
      <c r="K629" s="341">
        <f>+D629+H629</f>
        <v>246</v>
      </c>
      <c r="L629" s="342">
        <f>E629+I629</f>
        <v>235</v>
      </c>
      <c r="M629" s="333">
        <f>IF(L629&gt;K629, 1, 0)</f>
        <v>0</v>
      </c>
      <c r="N629" s="343">
        <f>(+H629-D629)</f>
        <v>-4</v>
      </c>
      <c r="O629" s="449">
        <f>I629-E629</f>
        <v>17</v>
      </c>
      <c r="P629" s="289">
        <f>IF(OR(AND(N629&gt;0,O629&gt;0),AND(N629&lt;0,O629&lt;0)),1,0)</f>
        <v>0</v>
      </c>
      <c r="Q629" s="460">
        <f>WEEKNUM(tblResultadosNBA[[#This Row],[Fecha]],2)</f>
        <v>3</v>
      </c>
      <c r="R629" s="460" t="str">
        <f>TEXT(tblResultadosNBA[[#This Row],[Fecha]],"mmm")</f>
        <v>ene</v>
      </c>
    </row>
    <row r="630" spans="1:18">
      <c r="A630" s="439">
        <v>46040</v>
      </c>
      <c r="B630" s="302" t="s">
        <v>141</v>
      </c>
      <c r="C630" s="177" t="str">
        <f t="shared" ref="C630:C634" si="634">LEFT(B630,FIND("@",B630)-2)</f>
        <v>Brooklyn Nets</v>
      </c>
      <c r="D630" s="177">
        <v>113</v>
      </c>
      <c r="E630" s="336">
        <v>102</v>
      </c>
      <c r="F630" s="327">
        <f t="shared" ref="F630:F634" si="635">IF(E630&gt;D630, 1, 0)</f>
        <v>0</v>
      </c>
      <c r="G630" s="177" t="str">
        <f t="shared" ref="G630:G634" si="636">MID(B630,FIND("@",B630)+2,LEN(B630)-FIND("@",B630)-1)</f>
        <v>Chicago Bulls</v>
      </c>
      <c r="H630" s="177">
        <v>120</v>
      </c>
      <c r="I630" s="336">
        <v>124</v>
      </c>
      <c r="J630" s="327">
        <f t="shared" ref="J630:J634" si="637">IF(I630&gt;H630, 1, 0)</f>
        <v>1</v>
      </c>
      <c r="K630" s="177">
        <f t="shared" ref="K630:K634" si="638">+D630+H630</f>
        <v>233</v>
      </c>
      <c r="L630" s="336">
        <f t="shared" ref="L630:L634" si="639">E630+I630</f>
        <v>226</v>
      </c>
      <c r="M630" s="327">
        <f t="shared" ref="M630:M634" si="640">IF(L630&gt;K630, 1, 0)</f>
        <v>0</v>
      </c>
      <c r="N630" s="337">
        <f t="shared" ref="N630:N634" si="641">(+H630-D630)</f>
        <v>7</v>
      </c>
      <c r="O630" s="395">
        <f t="shared" ref="O630:O634" si="642">I630-E630</f>
        <v>22</v>
      </c>
      <c r="P630" s="289">
        <f t="shared" ref="P630:P634" si="643">IF(OR(AND(N630&gt;0,O630&gt;0),AND(N630&lt;0,O630&lt;0)),1,0)</f>
        <v>1</v>
      </c>
      <c r="Q630" s="460">
        <f>WEEKNUM(tblResultadosNBA[[#This Row],[Fecha]],2)</f>
        <v>3</v>
      </c>
      <c r="R630" s="460" t="str">
        <f>TEXT(tblResultadosNBA[[#This Row],[Fecha]],"mmm")</f>
        <v>ene</v>
      </c>
    </row>
    <row r="631" spans="1:18">
      <c r="A631" s="439">
        <v>46040</v>
      </c>
      <c r="B631" s="302" t="s">
        <v>684</v>
      </c>
      <c r="C631" s="177" t="str">
        <f t="shared" si="634"/>
        <v>New Orleans Pelicans</v>
      </c>
      <c r="D631" s="177">
        <v>111</v>
      </c>
      <c r="E631" s="336">
        <v>110</v>
      </c>
      <c r="F631" s="327">
        <f t="shared" si="635"/>
        <v>0</v>
      </c>
      <c r="G631" s="177" t="str">
        <f t="shared" si="636"/>
        <v>Houston Rockets</v>
      </c>
      <c r="H631" s="177">
        <v>125</v>
      </c>
      <c r="I631" s="336">
        <v>119</v>
      </c>
      <c r="J631" s="327">
        <f t="shared" si="637"/>
        <v>0</v>
      </c>
      <c r="K631" s="177">
        <f t="shared" si="638"/>
        <v>236</v>
      </c>
      <c r="L631" s="336">
        <f t="shared" si="639"/>
        <v>229</v>
      </c>
      <c r="M631" s="327">
        <f t="shared" si="640"/>
        <v>0</v>
      </c>
      <c r="N631" s="337">
        <f t="shared" si="641"/>
        <v>14</v>
      </c>
      <c r="O631" s="395">
        <f t="shared" si="642"/>
        <v>9</v>
      </c>
      <c r="P631" s="289">
        <f t="shared" si="643"/>
        <v>1</v>
      </c>
      <c r="Q631" s="460">
        <f>WEEKNUM(tblResultadosNBA[[#This Row],[Fecha]],2)</f>
        <v>3</v>
      </c>
      <c r="R631" s="460" t="str">
        <f>TEXT(tblResultadosNBA[[#This Row],[Fecha]],"mmm")</f>
        <v>ene</v>
      </c>
    </row>
    <row r="632" spans="1:18">
      <c r="A632" s="439">
        <v>46040</v>
      </c>
      <c r="B632" s="302" t="s">
        <v>685</v>
      </c>
      <c r="C632" s="177" t="str">
        <f t="shared" si="634"/>
        <v>Charlotte Hornets</v>
      </c>
      <c r="D632" s="177">
        <v>115</v>
      </c>
      <c r="E632" s="336">
        <v>110</v>
      </c>
      <c r="F632" s="327">
        <f t="shared" si="635"/>
        <v>0</v>
      </c>
      <c r="G632" s="177" t="str">
        <f t="shared" si="636"/>
        <v>Denver Nuggets</v>
      </c>
      <c r="H632" s="177">
        <v>122</v>
      </c>
      <c r="I632" s="336">
        <v>87</v>
      </c>
      <c r="J632" s="327">
        <f t="shared" si="637"/>
        <v>0</v>
      </c>
      <c r="K632" s="177">
        <f t="shared" si="638"/>
        <v>237</v>
      </c>
      <c r="L632" s="336">
        <f t="shared" si="639"/>
        <v>197</v>
      </c>
      <c r="M632" s="327">
        <f t="shared" si="640"/>
        <v>0</v>
      </c>
      <c r="N632" s="337">
        <f t="shared" si="641"/>
        <v>7</v>
      </c>
      <c r="O632" s="395">
        <f t="shared" si="642"/>
        <v>-23</v>
      </c>
      <c r="P632" s="289">
        <f t="shared" si="643"/>
        <v>0</v>
      </c>
      <c r="Q632" s="460">
        <f>WEEKNUM(tblResultadosNBA[[#This Row],[Fecha]],2)</f>
        <v>3</v>
      </c>
      <c r="R632" s="460" t="str">
        <f>TEXT(tblResultadosNBA[[#This Row],[Fecha]],"mmm")</f>
        <v>ene</v>
      </c>
    </row>
    <row r="633" spans="1:18">
      <c r="A633" s="439">
        <v>46040</v>
      </c>
      <c r="B633" s="302" t="s">
        <v>281</v>
      </c>
      <c r="C633" s="177" t="str">
        <f t="shared" si="634"/>
        <v>Portland Trail Blazers</v>
      </c>
      <c r="D633" s="177">
        <v>112</v>
      </c>
      <c r="E633" s="336">
        <v>117</v>
      </c>
      <c r="F633" s="327">
        <f t="shared" si="635"/>
        <v>1</v>
      </c>
      <c r="G633" s="177" t="str">
        <f t="shared" si="636"/>
        <v>Sacramento Kings</v>
      </c>
      <c r="H633" s="177">
        <v>116</v>
      </c>
      <c r="I633" s="336">
        <v>110</v>
      </c>
      <c r="J633" s="327">
        <f t="shared" si="637"/>
        <v>0</v>
      </c>
      <c r="K633" s="177">
        <f t="shared" si="638"/>
        <v>228</v>
      </c>
      <c r="L633" s="336">
        <f t="shared" si="639"/>
        <v>227</v>
      </c>
      <c r="M633" s="327">
        <f t="shared" si="640"/>
        <v>0</v>
      </c>
      <c r="N633" s="337">
        <f t="shared" si="641"/>
        <v>4</v>
      </c>
      <c r="O633" s="395">
        <f t="shared" si="642"/>
        <v>-7</v>
      </c>
      <c r="P633" s="289">
        <f t="shared" si="643"/>
        <v>0</v>
      </c>
      <c r="Q633" s="460">
        <f>WEEKNUM(tblResultadosNBA[[#This Row],[Fecha]],2)</f>
        <v>3</v>
      </c>
      <c r="R633" s="460" t="str">
        <f>TEXT(tblResultadosNBA[[#This Row],[Fecha]],"mmm")</f>
        <v>ene</v>
      </c>
    </row>
    <row r="634" spans="1:18">
      <c r="A634" s="446">
        <v>46040</v>
      </c>
      <c r="B634" s="331" t="s">
        <v>686</v>
      </c>
      <c r="C634" s="286" t="str">
        <f t="shared" si="634"/>
        <v>Toronto Raptors</v>
      </c>
      <c r="D634" s="286">
        <v>110</v>
      </c>
      <c r="E634" s="431">
        <v>93</v>
      </c>
      <c r="F634" s="332">
        <f t="shared" si="635"/>
        <v>0</v>
      </c>
      <c r="G634" s="286" t="str">
        <f t="shared" si="636"/>
        <v>Los Angeles Lakers</v>
      </c>
      <c r="H634" s="286">
        <v>116</v>
      </c>
      <c r="I634" s="431">
        <v>110</v>
      </c>
      <c r="J634" s="332">
        <f t="shared" si="637"/>
        <v>0</v>
      </c>
      <c r="K634" s="286">
        <f t="shared" si="638"/>
        <v>226</v>
      </c>
      <c r="L634" s="431">
        <f t="shared" si="639"/>
        <v>203</v>
      </c>
      <c r="M634" s="332">
        <f t="shared" si="640"/>
        <v>0</v>
      </c>
      <c r="N634" s="432">
        <f t="shared" si="641"/>
        <v>6</v>
      </c>
      <c r="O634" s="451">
        <f t="shared" si="642"/>
        <v>17</v>
      </c>
      <c r="P634" s="433">
        <f t="shared" si="643"/>
        <v>1</v>
      </c>
      <c r="Q634" s="460">
        <f>WEEKNUM(tblResultadosNBA[[#This Row],[Fecha]],2)</f>
        <v>3</v>
      </c>
      <c r="R634" s="460" t="str">
        <f>TEXT(tblResultadosNBA[[#This Row],[Fecha]],"mmm")</f>
        <v>ene</v>
      </c>
    </row>
    <row r="635" spans="1:18">
      <c r="A635" s="439">
        <v>46041</v>
      </c>
      <c r="B635" s="422" t="s">
        <v>687</v>
      </c>
      <c r="C635" s="341" t="str">
        <f>LEFT(B635,FIND("@",B635)-2)</f>
        <v>Milwaukee Bucks</v>
      </c>
      <c r="D635" s="341">
        <v>129</v>
      </c>
      <c r="E635" s="342">
        <v>112</v>
      </c>
      <c r="F635" s="333">
        <f>IF(E635&gt;D635, 1, 0)</f>
        <v>0</v>
      </c>
      <c r="G635" s="341" t="str">
        <f>MID(B635,FIND("@",B635)+2,LEN(B635)-FIND("@",B635)-1)</f>
        <v>Atlanta Hawks</v>
      </c>
      <c r="H635" s="341">
        <v>123</v>
      </c>
      <c r="I635" s="342">
        <v>110</v>
      </c>
      <c r="J635" s="333">
        <f>IF(I635&gt;H635, 1, 0)</f>
        <v>0</v>
      </c>
      <c r="K635" s="341">
        <f>+D635+H635</f>
        <v>252</v>
      </c>
      <c r="L635" s="342">
        <f>E635+I635</f>
        <v>222</v>
      </c>
      <c r="M635" s="333">
        <f>IF(L635&gt;K635, 1, 0)</f>
        <v>0</v>
      </c>
      <c r="N635" s="343">
        <f>(+H635-D635)</f>
        <v>-6</v>
      </c>
      <c r="O635" s="449">
        <f>I635-E635</f>
        <v>-2</v>
      </c>
      <c r="P635" s="289">
        <f>IF(OR(AND(N635&gt;0,O635&gt;0),AND(N635&lt;0,O635&lt;0)),1,0)</f>
        <v>1</v>
      </c>
      <c r="Q635" s="460">
        <f>WEEKNUM(tblResultadosNBA[[#This Row],[Fecha]],2)</f>
        <v>4</v>
      </c>
      <c r="R635" s="460" t="str">
        <f>TEXT(tblResultadosNBA[[#This Row],[Fecha]],"mmm")</f>
        <v>ene</v>
      </c>
    </row>
    <row r="636" spans="1:18">
      <c r="A636" s="419">
        <v>46041</v>
      </c>
      <c r="B636" s="302" t="s">
        <v>282</v>
      </c>
      <c r="C636" s="177" t="str">
        <f t="shared" ref="C636:C643" si="644">LEFT(B636,FIND("@",B636)-2)</f>
        <v>Oklahoma City Thunder</v>
      </c>
      <c r="D636" s="177">
        <v>116</v>
      </c>
      <c r="E636" s="336">
        <v>136</v>
      </c>
      <c r="F636" s="327">
        <f t="shared" ref="F636:F643" si="645">IF(E636&gt;D636, 1, 0)</f>
        <v>1</v>
      </c>
      <c r="G636" s="177" t="str">
        <f t="shared" ref="G636:G643" si="646">MID(B636,FIND("@",B636)+2,LEN(B636)-FIND("@",B636)-1)</f>
        <v>Cleveland Cavaliers</v>
      </c>
      <c r="H636" s="177">
        <v>112</v>
      </c>
      <c r="I636" s="336">
        <v>104</v>
      </c>
      <c r="J636" s="327">
        <f t="shared" ref="J636:J643" si="647">IF(I636&gt;H636, 1, 0)</f>
        <v>0</v>
      </c>
      <c r="K636" s="177">
        <f t="shared" ref="K636:K643" si="648">+D636+H636</f>
        <v>228</v>
      </c>
      <c r="L636" s="336">
        <f t="shared" ref="L636:L643" si="649">E636+I636</f>
        <v>240</v>
      </c>
      <c r="M636" s="327">
        <f t="shared" ref="M636:M643" si="650">IF(L636&gt;K636, 1, 0)</f>
        <v>1</v>
      </c>
      <c r="N636" s="337">
        <f t="shared" ref="N636:N643" si="651">(+H636-D636)</f>
        <v>-4</v>
      </c>
      <c r="O636" s="395">
        <f t="shared" ref="O636:O643" si="652">I636-E636</f>
        <v>-32</v>
      </c>
      <c r="P636" s="289">
        <f t="shared" ref="P636:P643" si="653">IF(OR(AND(N636&gt;0,O636&gt;0),AND(N636&lt;0,O636&lt;0)),1,0)</f>
        <v>1</v>
      </c>
      <c r="Q636" s="460">
        <f>WEEKNUM(tblResultadosNBA[[#This Row],[Fecha]],2)</f>
        <v>4</v>
      </c>
      <c r="R636" s="460" t="str">
        <f>TEXT(tblResultadosNBA[[#This Row],[Fecha]],"mmm")</f>
        <v>ene</v>
      </c>
    </row>
    <row r="637" spans="1:18">
      <c r="A637" s="419">
        <v>46041</v>
      </c>
      <c r="B637" s="302" t="s">
        <v>688</v>
      </c>
      <c r="C637" s="177" t="str">
        <f t="shared" si="644"/>
        <v>LA Clippers</v>
      </c>
      <c r="D637" s="177">
        <v>110</v>
      </c>
      <c r="E637" s="336">
        <v>110</v>
      </c>
      <c r="F637" s="327">
        <f t="shared" si="645"/>
        <v>0</v>
      </c>
      <c r="G637" s="177" t="str">
        <f t="shared" si="646"/>
        <v>Washington Wizards</v>
      </c>
      <c r="H637" s="177">
        <v>126</v>
      </c>
      <c r="I637" s="336">
        <v>106</v>
      </c>
      <c r="J637" s="327">
        <f t="shared" si="647"/>
        <v>0</v>
      </c>
      <c r="K637" s="177">
        <f t="shared" si="648"/>
        <v>236</v>
      </c>
      <c r="L637" s="336">
        <f t="shared" si="649"/>
        <v>216</v>
      </c>
      <c r="M637" s="327">
        <f t="shared" si="650"/>
        <v>0</v>
      </c>
      <c r="N637" s="337">
        <f t="shared" si="651"/>
        <v>16</v>
      </c>
      <c r="O637" s="395">
        <f t="shared" si="652"/>
        <v>-4</v>
      </c>
      <c r="P637" s="289">
        <f t="shared" si="653"/>
        <v>0</v>
      </c>
      <c r="Q637" s="460">
        <f>WEEKNUM(tblResultadosNBA[[#This Row],[Fecha]],2)</f>
        <v>4</v>
      </c>
      <c r="R637" s="460" t="str">
        <f>TEXT(tblResultadosNBA[[#This Row],[Fecha]],"mmm")</f>
        <v>ene</v>
      </c>
    </row>
    <row r="638" spans="1:18">
      <c r="A638" s="419">
        <v>46041</v>
      </c>
      <c r="B638" s="302" t="s">
        <v>689</v>
      </c>
      <c r="C638" s="177" t="str">
        <f t="shared" si="644"/>
        <v>Dallas Mavericks</v>
      </c>
      <c r="D638" s="177">
        <v>121</v>
      </c>
      <c r="E638" s="336">
        <v>114</v>
      </c>
      <c r="F638" s="327">
        <f t="shared" si="645"/>
        <v>0</v>
      </c>
      <c r="G638" s="177" t="str">
        <f t="shared" si="646"/>
        <v>New York Knicks</v>
      </c>
      <c r="H638" s="177">
        <v>136</v>
      </c>
      <c r="I638" s="336">
        <v>97</v>
      </c>
      <c r="J638" s="327">
        <f t="shared" si="647"/>
        <v>0</v>
      </c>
      <c r="K638" s="177">
        <f t="shared" si="648"/>
        <v>257</v>
      </c>
      <c r="L638" s="336">
        <f t="shared" si="649"/>
        <v>211</v>
      </c>
      <c r="M638" s="327">
        <f t="shared" si="650"/>
        <v>0</v>
      </c>
      <c r="N638" s="337">
        <f t="shared" si="651"/>
        <v>15</v>
      </c>
      <c r="O638" s="395">
        <f t="shared" si="652"/>
        <v>-17</v>
      </c>
      <c r="P638" s="289">
        <f t="shared" si="653"/>
        <v>0</v>
      </c>
      <c r="Q638" s="460">
        <f>WEEKNUM(tblResultadosNBA[[#This Row],[Fecha]],2)</f>
        <v>4</v>
      </c>
      <c r="R638" s="460" t="str">
        <f>TEXT(tblResultadosNBA[[#This Row],[Fecha]],"mmm")</f>
        <v>ene</v>
      </c>
    </row>
    <row r="639" spans="1:18">
      <c r="A639" s="419">
        <v>46041</v>
      </c>
      <c r="B639" s="302" t="s">
        <v>236</v>
      </c>
      <c r="C639" s="177" t="str">
        <f t="shared" si="644"/>
        <v>Utah Jazz</v>
      </c>
      <c r="D639" s="177">
        <v>133</v>
      </c>
      <c r="E639" s="336">
        <v>110</v>
      </c>
      <c r="F639" s="327">
        <f t="shared" si="645"/>
        <v>0</v>
      </c>
      <c r="G639" s="177" t="str">
        <f t="shared" si="646"/>
        <v>San Antonio Spurs</v>
      </c>
      <c r="H639" s="177">
        <v>125</v>
      </c>
      <c r="I639" s="336">
        <v>123</v>
      </c>
      <c r="J639" s="327">
        <f t="shared" si="647"/>
        <v>0</v>
      </c>
      <c r="K639" s="177">
        <f t="shared" si="648"/>
        <v>258</v>
      </c>
      <c r="L639" s="336">
        <f t="shared" si="649"/>
        <v>233</v>
      </c>
      <c r="M639" s="327">
        <f t="shared" si="650"/>
        <v>0</v>
      </c>
      <c r="N639" s="337">
        <f t="shared" si="651"/>
        <v>-8</v>
      </c>
      <c r="O639" s="395">
        <f t="shared" si="652"/>
        <v>13</v>
      </c>
      <c r="P639" s="289">
        <f t="shared" si="653"/>
        <v>0</v>
      </c>
      <c r="Q639" s="460">
        <f>WEEKNUM(tblResultadosNBA[[#This Row],[Fecha]],2)</f>
        <v>4</v>
      </c>
      <c r="R639" s="460" t="str">
        <f>TEXT(tblResultadosNBA[[#This Row],[Fecha]],"mmm")</f>
        <v>ene</v>
      </c>
    </row>
    <row r="640" spans="1:18">
      <c r="A640" s="419">
        <v>46041</v>
      </c>
      <c r="B640" s="302" t="s">
        <v>584</v>
      </c>
      <c r="C640" s="177" t="str">
        <f t="shared" si="644"/>
        <v>Indiana Pacers</v>
      </c>
      <c r="D640" s="177">
        <v>110</v>
      </c>
      <c r="E640" s="336">
        <v>104</v>
      </c>
      <c r="F640" s="327">
        <f t="shared" si="645"/>
        <v>0</v>
      </c>
      <c r="G640" s="177" t="str">
        <f t="shared" si="646"/>
        <v>Philadelphia 76ers</v>
      </c>
      <c r="H640" s="177">
        <v>121</v>
      </c>
      <c r="I640" s="336">
        <v>113</v>
      </c>
      <c r="J640" s="327">
        <f t="shared" si="647"/>
        <v>0</v>
      </c>
      <c r="K640" s="177">
        <f t="shared" si="648"/>
        <v>231</v>
      </c>
      <c r="L640" s="336">
        <f t="shared" si="649"/>
        <v>217</v>
      </c>
      <c r="M640" s="327">
        <f t="shared" si="650"/>
        <v>0</v>
      </c>
      <c r="N640" s="337">
        <f t="shared" si="651"/>
        <v>11</v>
      </c>
      <c r="O640" s="395">
        <f t="shared" si="652"/>
        <v>9</v>
      </c>
      <c r="P640" s="289">
        <f t="shared" si="653"/>
        <v>1</v>
      </c>
      <c r="Q640" s="460">
        <f>WEEKNUM(tblResultadosNBA[[#This Row],[Fecha]],2)</f>
        <v>4</v>
      </c>
      <c r="R640" s="460" t="str">
        <f>TEXT(tblResultadosNBA[[#This Row],[Fecha]],"mmm")</f>
        <v>ene</v>
      </c>
    </row>
    <row r="641" spans="1:18">
      <c r="A641" s="419">
        <v>46041</v>
      </c>
      <c r="B641" s="302" t="s">
        <v>690</v>
      </c>
      <c r="C641" s="177" t="str">
        <f t="shared" si="644"/>
        <v>Phoenix Suns</v>
      </c>
      <c r="D641" s="177">
        <v>115</v>
      </c>
      <c r="E641" s="336">
        <v>126</v>
      </c>
      <c r="F641" s="327">
        <f t="shared" si="645"/>
        <v>1</v>
      </c>
      <c r="G641" s="177" t="str">
        <f t="shared" si="646"/>
        <v>Brooklyn Nets</v>
      </c>
      <c r="H641" s="177">
        <v>107</v>
      </c>
      <c r="I641" s="336">
        <v>117</v>
      </c>
      <c r="J641" s="327">
        <f t="shared" si="647"/>
        <v>1</v>
      </c>
      <c r="K641" s="177">
        <f t="shared" si="648"/>
        <v>222</v>
      </c>
      <c r="L641" s="336">
        <f t="shared" si="649"/>
        <v>243</v>
      </c>
      <c r="M641" s="327">
        <f t="shared" si="650"/>
        <v>1</v>
      </c>
      <c r="N641" s="337">
        <f t="shared" si="651"/>
        <v>-8</v>
      </c>
      <c r="O641" s="395">
        <f t="shared" si="652"/>
        <v>-9</v>
      </c>
      <c r="P641" s="289">
        <f t="shared" si="653"/>
        <v>1</v>
      </c>
      <c r="Q641" s="460">
        <f>WEEKNUM(tblResultadosNBA[[#This Row],[Fecha]],2)</f>
        <v>4</v>
      </c>
      <c r="R641" s="460" t="str">
        <f>TEXT(tblResultadosNBA[[#This Row],[Fecha]],"mmm")</f>
        <v>ene</v>
      </c>
    </row>
    <row r="642" spans="1:18">
      <c r="A642" s="419">
        <v>46041</v>
      </c>
      <c r="B642" s="302" t="s">
        <v>283</v>
      </c>
      <c r="C642" s="177" t="str">
        <f t="shared" si="644"/>
        <v>Boston Celtics</v>
      </c>
      <c r="D642" s="177">
        <v>108</v>
      </c>
      <c r="E642" s="336">
        <v>103</v>
      </c>
      <c r="F642" s="327">
        <f t="shared" si="645"/>
        <v>0</v>
      </c>
      <c r="G642" s="177" t="str">
        <f t="shared" si="646"/>
        <v>Detroit Pistons</v>
      </c>
      <c r="H642" s="177">
        <v>111</v>
      </c>
      <c r="I642" s="336">
        <v>104</v>
      </c>
      <c r="J642" s="327">
        <f t="shared" si="647"/>
        <v>0</v>
      </c>
      <c r="K642" s="177">
        <f t="shared" si="648"/>
        <v>219</v>
      </c>
      <c r="L642" s="336">
        <f t="shared" si="649"/>
        <v>207</v>
      </c>
      <c r="M642" s="327">
        <f t="shared" si="650"/>
        <v>0</v>
      </c>
      <c r="N642" s="337">
        <f t="shared" si="651"/>
        <v>3</v>
      </c>
      <c r="O642" s="395">
        <f t="shared" si="652"/>
        <v>1</v>
      </c>
      <c r="P642" s="289">
        <f t="shared" si="653"/>
        <v>1</v>
      </c>
      <c r="Q642" s="460">
        <f>WEEKNUM(tblResultadosNBA[[#This Row],[Fecha]],2)</f>
        <v>4</v>
      </c>
      <c r="R642" s="460" t="str">
        <f>TEXT(tblResultadosNBA[[#This Row],[Fecha]],"mmm")</f>
        <v>ene</v>
      </c>
    </row>
    <row r="643" spans="1:18">
      <c r="A643" s="445">
        <v>46041</v>
      </c>
      <c r="B643" s="331" t="s">
        <v>691</v>
      </c>
      <c r="C643" s="286" t="str">
        <f t="shared" si="644"/>
        <v>Miami Heat</v>
      </c>
      <c r="D643" s="286">
        <v>117</v>
      </c>
      <c r="E643" s="431">
        <v>112</v>
      </c>
      <c r="F643" s="332">
        <f t="shared" si="645"/>
        <v>0</v>
      </c>
      <c r="G643" s="286" t="str">
        <f t="shared" si="646"/>
        <v>Golden State Warriors</v>
      </c>
      <c r="H643" s="286">
        <v>124</v>
      </c>
      <c r="I643" s="431">
        <v>135</v>
      </c>
      <c r="J643" s="332">
        <f t="shared" si="647"/>
        <v>1</v>
      </c>
      <c r="K643" s="286">
        <f t="shared" si="648"/>
        <v>241</v>
      </c>
      <c r="L643" s="431">
        <f t="shared" si="649"/>
        <v>247</v>
      </c>
      <c r="M643" s="332">
        <f t="shared" si="650"/>
        <v>1</v>
      </c>
      <c r="N643" s="432">
        <f t="shared" si="651"/>
        <v>7</v>
      </c>
      <c r="O643" s="451">
        <f t="shared" si="652"/>
        <v>23</v>
      </c>
      <c r="P643" s="433">
        <f t="shared" si="653"/>
        <v>1</v>
      </c>
      <c r="Q643" s="460">
        <f>WEEKNUM(tblResultadosNBA[[#This Row],[Fecha]],2)</f>
        <v>4</v>
      </c>
      <c r="R643" s="460" t="str">
        <f>TEXT(tblResultadosNBA[[#This Row],[Fecha]],"mmm")</f>
        <v>ene</v>
      </c>
    </row>
    <row r="644" spans="1:18">
      <c r="A644" s="439">
        <v>46042</v>
      </c>
      <c r="B644" s="422" t="s">
        <v>692</v>
      </c>
      <c r="C644" s="341" t="str">
        <f>LEFT(B644,FIND("@",B644)-2)</f>
        <v>Phoenix Suns</v>
      </c>
      <c r="D644" s="341">
        <v>126</v>
      </c>
      <c r="E644" s="342">
        <v>116</v>
      </c>
      <c r="F644" s="333">
        <f>IF(E644&gt;D644, 1, 0)</f>
        <v>0</v>
      </c>
      <c r="G644" s="341" t="str">
        <f>MID(B644,FIND("@",B644)+2,LEN(B644)-FIND("@",B644)-1)</f>
        <v>Philadelphia 76ers</v>
      </c>
      <c r="H644" s="341">
        <v>117</v>
      </c>
      <c r="I644" s="342">
        <v>110</v>
      </c>
      <c r="J644" s="333">
        <f>IF(I644&gt;H644, 1, 0)</f>
        <v>0</v>
      </c>
      <c r="K644" s="341">
        <f>+D644+H644</f>
        <v>243</v>
      </c>
      <c r="L644" s="342">
        <f>E644+I644</f>
        <v>226</v>
      </c>
      <c r="M644" s="333">
        <f>IF(L644&gt;K644, 1, 0)</f>
        <v>0</v>
      </c>
      <c r="N644" s="343">
        <f>(+H644-D644)</f>
        <v>-9</v>
      </c>
      <c r="O644" s="449">
        <f>I644-E644</f>
        <v>-6</v>
      </c>
      <c r="P644" s="289">
        <f>IF(OR(AND(N644&gt;0,O644&gt;0),AND(N644&lt;0,O644&lt;0)),1,0)</f>
        <v>1</v>
      </c>
      <c r="Q644" s="460">
        <f>WEEKNUM(tblResultadosNBA[[#This Row],[Fecha]],2)</f>
        <v>4</v>
      </c>
      <c r="R644" s="460" t="str">
        <f>TEXT(tblResultadosNBA[[#This Row],[Fecha]],"mmm")</f>
        <v>ene</v>
      </c>
    </row>
    <row r="645" spans="1:18">
      <c r="A645" s="419">
        <v>46042</v>
      </c>
      <c r="B645" s="302" t="s">
        <v>693</v>
      </c>
      <c r="C645" s="177" t="str">
        <f t="shared" ref="C645:C650" si="654">LEFT(B645,FIND("@",B645)-2)</f>
        <v>LA Clippers</v>
      </c>
      <c r="D645" s="177">
        <v>116</v>
      </c>
      <c r="E645" s="336">
        <v>110</v>
      </c>
      <c r="F645" s="327">
        <f t="shared" ref="F645:F650" si="655">IF(E645&gt;D645, 1, 0)</f>
        <v>0</v>
      </c>
      <c r="G645" s="177" t="str">
        <f t="shared" ref="G645:G650" si="656">MID(B645,FIND("@",B645)+2,LEN(B645)-FIND("@",B645)-1)</f>
        <v>Chicago Bulls</v>
      </c>
      <c r="H645" s="177">
        <v>120</v>
      </c>
      <c r="I645" s="336">
        <v>138</v>
      </c>
      <c r="J645" s="327">
        <f t="shared" ref="J645:J650" si="657">IF(I645&gt;H645, 1, 0)</f>
        <v>1</v>
      </c>
      <c r="K645" s="177">
        <f t="shared" ref="K645:K650" si="658">+D645+H645</f>
        <v>236</v>
      </c>
      <c r="L645" s="336">
        <f t="shared" ref="L645:L650" si="659">E645+I645</f>
        <v>248</v>
      </c>
      <c r="M645" s="327">
        <f t="shared" ref="M645:M650" si="660">IF(L645&gt;K645, 1, 0)</f>
        <v>1</v>
      </c>
      <c r="N645" s="337">
        <f t="shared" ref="N645:N650" si="661">(+H645-D645)</f>
        <v>4</v>
      </c>
      <c r="O645" s="395">
        <f t="shared" ref="O645:O650" si="662">I645-E645</f>
        <v>28</v>
      </c>
      <c r="P645" s="289">
        <f t="shared" ref="P645:P650" si="663">IF(OR(AND(N645&gt;0,O645&gt;0),AND(N645&lt;0,O645&lt;0)),1,0)</f>
        <v>1</v>
      </c>
      <c r="Q645" s="460">
        <f>WEEKNUM(tblResultadosNBA[[#This Row],[Fecha]],2)</f>
        <v>4</v>
      </c>
      <c r="R645" s="460" t="str">
        <f>TEXT(tblResultadosNBA[[#This Row],[Fecha]],"mmm")</f>
        <v>ene</v>
      </c>
    </row>
    <row r="646" spans="1:18">
      <c r="A646" s="419">
        <v>46042</v>
      </c>
      <c r="B646" s="302" t="s">
        <v>694</v>
      </c>
      <c r="C646" s="177" t="str">
        <f t="shared" si="654"/>
        <v>San Antonio Spurs</v>
      </c>
      <c r="D646" s="177">
        <v>111</v>
      </c>
      <c r="E646" s="336">
        <v>105</v>
      </c>
      <c r="F646" s="327">
        <f t="shared" si="655"/>
        <v>0</v>
      </c>
      <c r="G646" s="177" t="str">
        <f t="shared" si="656"/>
        <v>Houston Rockets</v>
      </c>
      <c r="H646" s="177">
        <v>126</v>
      </c>
      <c r="I646" s="336">
        <v>111</v>
      </c>
      <c r="J646" s="327">
        <f t="shared" si="657"/>
        <v>0</v>
      </c>
      <c r="K646" s="177">
        <f t="shared" si="658"/>
        <v>237</v>
      </c>
      <c r="L646" s="336">
        <f t="shared" si="659"/>
        <v>216</v>
      </c>
      <c r="M646" s="327">
        <f t="shared" si="660"/>
        <v>0</v>
      </c>
      <c r="N646" s="337">
        <f t="shared" si="661"/>
        <v>15</v>
      </c>
      <c r="O646" s="395">
        <f t="shared" si="662"/>
        <v>6</v>
      </c>
      <c r="P646" s="289">
        <f t="shared" si="663"/>
        <v>1</v>
      </c>
      <c r="Q646" s="460">
        <f>WEEKNUM(tblResultadosNBA[[#This Row],[Fecha]],2)</f>
        <v>4</v>
      </c>
      <c r="R646" s="460" t="str">
        <f>TEXT(tblResultadosNBA[[#This Row],[Fecha]],"mmm")</f>
        <v>ene</v>
      </c>
    </row>
    <row r="647" spans="1:18">
      <c r="A647" s="419">
        <v>46042</v>
      </c>
      <c r="B647" s="302" t="s">
        <v>534</v>
      </c>
      <c r="C647" s="177" t="str">
        <f t="shared" si="654"/>
        <v>Minnesota Timberwolves</v>
      </c>
      <c r="D647" s="177">
        <v>124</v>
      </c>
      <c r="E647" s="336">
        <v>122</v>
      </c>
      <c r="F647" s="327">
        <f t="shared" si="655"/>
        <v>0</v>
      </c>
      <c r="G647" s="177" t="str">
        <f t="shared" si="656"/>
        <v>Utah Jazz</v>
      </c>
      <c r="H647" s="177">
        <v>135</v>
      </c>
      <c r="I647" s="336">
        <v>127</v>
      </c>
      <c r="J647" s="327">
        <f t="shared" si="657"/>
        <v>0</v>
      </c>
      <c r="K647" s="177">
        <f t="shared" si="658"/>
        <v>259</v>
      </c>
      <c r="L647" s="336">
        <f t="shared" si="659"/>
        <v>249</v>
      </c>
      <c r="M647" s="327">
        <f t="shared" si="660"/>
        <v>0</v>
      </c>
      <c r="N647" s="337">
        <f t="shared" si="661"/>
        <v>11</v>
      </c>
      <c r="O647" s="395">
        <f t="shared" si="662"/>
        <v>5</v>
      </c>
      <c r="P647" s="289">
        <f t="shared" si="663"/>
        <v>1</v>
      </c>
      <c r="Q647" s="460">
        <f>WEEKNUM(tblResultadosNBA[[#This Row],[Fecha]],2)</f>
        <v>4</v>
      </c>
      <c r="R647" s="460" t="str">
        <f>TEXT(tblResultadosNBA[[#This Row],[Fecha]],"mmm")</f>
        <v>ene</v>
      </c>
    </row>
    <row r="648" spans="1:18">
      <c r="A648" s="419">
        <v>46042</v>
      </c>
      <c r="B648" s="302" t="s">
        <v>284</v>
      </c>
      <c r="C648" s="177" t="str">
        <f t="shared" si="654"/>
        <v>Los Angeles Lakers</v>
      </c>
      <c r="D648" s="177">
        <v>108</v>
      </c>
      <c r="E648" s="336">
        <v>115</v>
      </c>
      <c r="F648" s="327">
        <f t="shared" si="655"/>
        <v>1</v>
      </c>
      <c r="G648" s="177" t="str">
        <f t="shared" si="656"/>
        <v>Denver Nuggets</v>
      </c>
      <c r="H648" s="177">
        <v>116</v>
      </c>
      <c r="I648" s="336">
        <v>107</v>
      </c>
      <c r="J648" s="327">
        <f t="shared" si="657"/>
        <v>0</v>
      </c>
      <c r="K648" s="177">
        <f t="shared" si="658"/>
        <v>224</v>
      </c>
      <c r="L648" s="336">
        <f t="shared" si="659"/>
        <v>222</v>
      </c>
      <c r="M648" s="327">
        <f t="shared" si="660"/>
        <v>0</v>
      </c>
      <c r="N648" s="337">
        <f t="shared" si="661"/>
        <v>8</v>
      </c>
      <c r="O648" s="395">
        <f t="shared" si="662"/>
        <v>-8</v>
      </c>
      <c r="P648" s="289">
        <f t="shared" si="663"/>
        <v>0</v>
      </c>
      <c r="Q648" s="460">
        <f>WEEKNUM(tblResultadosNBA[[#This Row],[Fecha]],2)</f>
        <v>4</v>
      </c>
      <c r="R648" s="460" t="str">
        <f>TEXT(tblResultadosNBA[[#This Row],[Fecha]],"mmm")</f>
        <v>ene</v>
      </c>
    </row>
    <row r="649" spans="1:18">
      <c r="A649" s="419">
        <v>46042</v>
      </c>
      <c r="B649" s="302" t="s">
        <v>695</v>
      </c>
      <c r="C649" s="177" t="str">
        <f t="shared" si="654"/>
        <v>Toronto Raptors</v>
      </c>
      <c r="D649" s="177">
        <v>111</v>
      </c>
      <c r="E649" s="336">
        <v>145</v>
      </c>
      <c r="F649" s="327">
        <f t="shared" si="655"/>
        <v>1</v>
      </c>
      <c r="G649" s="177" t="str">
        <f t="shared" si="656"/>
        <v>Golden State Warriors</v>
      </c>
      <c r="H649" s="177">
        <v>127</v>
      </c>
      <c r="I649" s="336">
        <v>127</v>
      </c>
      <c r="J649" s="327">
        <f t="shared" si="657"/>
        <v>0</v>
      </c>
      <c r="K649" s="177">
        <f t="shared" si="658"/>
        <v>238</v>
      </c>
      <c r="L649" s="336">
        <f t="shared" si="659"/>
        <v>272</v>
      </c>
      <c r="M649" s="327">
        <f t="shared" si="660"/>
        <v>1</v>
      </c>
      <c r="N649" s="337">
        <f t="shared" si="661"/>
        <v>16</v>
      </c>
      <c r="O649" s="395">
        <f t="shared" si="662"/>
        <v>-18</v>
      </c>
      <c r="P649" s="289">
        <f t="shared" si="663"/>
        <v>0</v>
      </c>
      <c r="Q649" s="460">
        <f>WEEKNUM(tblResultadosNBA[[#This Row],[Fecha]],2)</f>
        <v>4</v>
      </c>
      <c r="R649" s="460" t="str">
        <f>TEXT(tblResultadosNBA[[#This Row],[Fecha]],"mmm")</f>
        <v>ene</v>
      </c>
    </row>
    <row r="650" spans="1:18">
      <c r="A650" s="445">
        <v>46042</v>
      </c>
      <c r="B650" s="331" t="s">
        <v>285</v>
      </c>
      <c r="C650" s="286" t="str">
        <f t="shared" si="654"/>
        <v>Miami Heat</v>
      </c>
      <c r="D650" s="286">
        <v>115</v>
      </c>
      <c r="E650" s="431">
        <v>130</v>
      </c>
      <c r="F650" s="332">
        <f t="shared" si="655"/>
        <v>1</v>
      </c>
      <c r="G650" s="286" t="str">
        <f t="shared" si="656"/>
        <v>Sacramento Kings</v>
      </c>
      <c r="H650" s="286">
        <v>119</v>
      </c>
      <c r="I650" s="431">
        <v>117</v>
      </c>
      <c r="J650" s="332">
        <f t="shared" si="657"/>
        <v>0</v>
      </c>
      <c r="K650" s="286">
        <f t="shared" si="658"/>
        <v>234</v>
      </c>
      <c r="L650" s="431">
        <f t="shared" si="659"/>
        <v>247</v>
      </c>
      <c r="M650" s="332">
        <f t="shared" si="660"/>
        <v>1</v>
      </c>
      <c r="N650" s="432">
        <f t="shared" si="661"/>
        <v>4</v>
      </c>
      <c r="O650" s="451">
        <f t="shared" si="662"/>
        <v>-13</v>
      </c>
      <c r="P650" s="433">
        <f t="shared" si="663"/>
        <v>0</v>
      </c>
      <c r="Q650" s="460">
        <f>WEEKNUM(tblResultadosNBA[[#This Row],[Fecha]],2)</f>
        <v>4</v>
      </c>
      <c r="R650" s="460" t="str">
        <f>TEXT(tblResultadosNBA[[#This Row],[Fecha]],"mmm")</f>
        <v>ene</v>
      </c>
    </row>
    <row r="651" spans="1:18">
      <c r="A651" s="439">
        <v>46043</v>
      </c>
      <c r="B651" s="422" t="s">
        <v>696</v>
      </c>
      <c r="C651" s="341" t="str">
        <f>LEFT(B651,FIND("@",B651)-2)</f>
        <v>Cleveland Cavaliers</v>
      </c>
      <c r="D651" s="341">
        <v>130</v>
      </c>
      <c r="E651" s="342">
        <v>94</v>
      </c>
      <c r="F651" s="333">
        <f>IF(E651&gt;D651, 1, 0)</f>
        <v>0</v>
      </c>
      <c r="G651" s="341" t="str">
        <f>MID(B651,FIND("@",B651)+2,LEN(B651)-FIND("@",B651)-1)</f>
        <v>Charlotte Hornets</v>
      </c>
      <c r="H651" s="341">
        <v>115</v>
      </c>
      <c r="I651" s="342">
        <v>87</v>
      </c>
      <c r="J651" s="333">
        <f>IF(I651&gt;H651, 1, 0)</f>
        <v>0</v>
      </c>
      <c r="K651" s="341">
        <f>+D651+H651</f>
        <v>245</v>
      </c>
      <c r="L651" s="342">
        <f>E651+I651</f>
        <v>181</v>
      </c>
      <c r="M651" s="333">
        <f>IF(L651&gt;K651, 1, 0)</f>
        <v>0</v>
      </c>
      <c r="N651" s="343">
        <f>(+H651-D651)</f>
        <v>-15</v>
      </c>
      <c r="O651" s="449">
        <f>I651-E651</f>
        <v>-7</v>
      </c>
      <c r="P651" s="289">
        <f>IF(OR(AND(N651&gt;0,O651&gt;0),AND(N651&lt;0,O651&lt;0)),1,0)</f>
        <v>1</v>
      </c>
      <c r="Q651" s="460">
        <f>WEEKNUM(tblResultadosNBA[[#This Row],[Fecha]],2)</f>
        <v>4</v>
      </c>
      <c r="R651" s="460" t="str">
        <f>TEXT(tblResultadosNBA[[#This Row],[Fecha]],"mmm")</f>
        <v>ene</v>
      </c>
    </row>
    <row r="652" spans="1:18">
      <c r="A652" s="419">
        <v>46043</v>
      </c>
      <c r="B652" s="302" t="s">
        <v>209</v>
      </c>
      <c r="C652" s="177" t="str">
        <f t="shared" ref="C652:C657" si="664">LEFT(B652,FIND("@",B652)-2)</f>
        <v>Indiana Pacers</v>
      </c>
      <c r="D652" s="177">
        <v>109</v>
      </c>
      <c r="E652" s="336">
        <v>104</v>
      </c>
      <c r="F652" s="327">
        <f t="shared" ref="F652:F657" si="665">IF(E652&gt;D652, 1, 0)</f>
        <v>0</v>
      </c>
      <c r="G652" s="177" t="str">
        <f t="shared" ref="G652:G657" si="666">MID(B652,FIND("@",B652)+2,LEN(B652)-FIND("@",B652)-1)</f>
        <v>Boston Celtics</v>
      </c>
      <c r="H652" s="177">
        <v>123</v>
      </c>
      <c r="I652" s="336">
        <v>119</v>
      </c>
      <c r="J652" s="327">
        <f t="shared" ref="J652:J657" si="667">IF(I652&gt;H652, 1, 0)</f>
        <v>0</v>
      </c>
      <c r="K652" s="177">
        <f t="shared" ref="K652:K657" si="668">+D652+H652</f>
        <v>232</v>
      </c>
      <c r="L652" s="336">
        <f t="shared" ref="L652:L657" si="669">E652+I652</f>
        <v>223</v>
      </c>
      <c r="M652" s="327">
        <f t="shared" ref="M652:M657" si="670">IF(L652&gt;K652, 1, 0)</f>
        <v>0</v>
      </c>
      <c r="N652" s="337">
        <f t="shared" ref="N652:N657" si="671">(+H652-D652)</f>
        <v>14</v>
      </c>
      <c r="O652" s="395">
        <f t="shared" ref="O652:O657" si="672">I652-E652</f>
        <v>15</v>
      </c>
      <c r="P652" s="289">
        <f t="shared" ref="P652:P657" si="673">IF(OR(AND(N652&gt;0,O652&gt;0),AND(N652&lt;0,O652&lt;0)),1,0)</f>
        <v>1</v>
      </c>
      <c r="Q652" s="460">
        <f>WEEKNUM(tblResultadosNBA[[#This Row],[Fecha]],2)</f>
        <v>4</v>
      </c>
      <c r="R652" s="460" t="str">
        <f>TEXT(tblResultadosNBA[[#This Row],[Fecha]],"mmm")</f>
        <v>ene</v>
      </c>
    </row>
    <row r="653" spans="1:18">
      <c r="A653" s="419">
        <v>46043</v>
      </c>
      <c r="B653" s="302" t="s">
        <v>528</v>
      </c>
      <c r="C653" s="177" t="str">
        <f t="shared" si="664"/>
        <v>Brooklyn Nets</v>
      </c>
      <c r="D653" s="177">
        <v>113</v>
      </c>
      <c r="E653" s="336">
        <v>66</v>
      </c>
      <c r="F653" s="327">
        <f t="shared" si="665"/>
        <v>0</v>
      </c>
      <c r="G653" s="177" t="str">
        <f t="shared" si="666"/>
        <v>New York Knicks</v>
      </c>
      <c r="H653" s="177">
        <v>128</v>
      </c>
      <c r="I653" s="336">
        <v>120</v>
      </c>
      <c r="J653" s="327">
        <f t="shared" si="667"/>
        <v>0</v>
      </c>
      <c r="K653" s="177">
        <f t="shared" si="668"/>
        <v>241</v>
      </c>
      <c r="L653" s="336">
        <f t="shared" si="669"/>
        <v>186</v>
      </c>
      <c r="M653" s="327">
        <f t="shared" si="670"/>
        <v>0</v>
      </c>
      <c r="N653" s="337">
        <f t="shared" si="671"/>
        <v>15</v>
      </c>
      <c r="O653" s="395">
        <f t="shared" si="672"/>
        <v>54</v>
      </c>
      <c r="P653" s="289">
        <f t="shared" si="673"/>
        <v>1</v>
      </c>
      <c r="Q653" s="460">
        <f>WEEKNUM(tblResultadosNBA[[#This Row],[Fecha]],2)</f>
        <v>4</v>
      </c>
      <c r="R653" s="460" t="str">
        <f>TEXT(tblResultadosNBA[[#This Row],[Fecha]],"mmm")</f>
        <v>ene</v>
      </c>
    </row>
    <row r="654" spans="1:18">
      <c r="A654" s="419">
        <v>46043</v>
      </c>
      <c r="B654" s="302" t="s">
        <v>697</v>
      </c>
      <c r="C654" s="177" t="str">
        <f t="shared" si="664"/>
        <v>Atlanta Hawks</v>
      </c>
      <c r="D654" s="177">
        <v>118</v>
      </c>
      <c r="E654" s="336">
        <v>124</v>
      </c>
      <c r="F654" s="327">
        <f t="shared" si="665"/>
        <v>1</v>
      </c>
      <c r="G654" s="177" t="str">
        <f t="shared" si="666"/>
        <v>Memphis Grizzlies</v>
      </c>
      <c r="H654" s="177">
        <v>123</v>
      </c>
      <c r="I654" s="336">
        <v>122</v>
      </c>
      <c r="J654" s="327">
        <f t="shared" si="667"/>
        <v>0</v>
      </c>
      <c r="K654" s="177">
        <f t="shared" si="668"/>
        <v>241</v>
      </c>
      <c r="L654" s="336">
        <f t="shared" si="669"/>
        <v>246</v>
      </c>
      <c r="M654" s="327">
        <f t="shared" si="670"/>
        <v>1</v>
      </c>
      <c r="N654" s="337">
        <f t="shared" si="671"/>
        <v>5</v>
      </c>
      <c r="O654" s="395">
        <f t="shared" si="672"/>
        <v>-2</v>
      </c>
      <c r="P654" s="289">
        <f t="shared" si="673"/>
        <v>0</v>
      </c>
      <c r="Q654" s="460">
        <f>WEEKNUM(tblResultadosNBA[[#This Row],[Fecha]],2)</f>
        <v>4</v>
      </c>
      <c r="R654" s="460" t="str">
        <f>TEXT(tblResultadosNBA[[#This Row],[Fecha]],"mmm")</f>
        <v>ene</v>
      </c>
    </row>
    <row r="655" spans="1:18">
      <c r="A655" s="419">
        <v>46043</v>
      </c>
      <c r="B655" s="302" t="s">
        <v>698</v>
      </c>
      <c r="C655" s="177" t="str">
        <f t="shared" si="664"/>
        <v>Detroit Pistons</v>
      </c>
      <c r="D655" s="177">
        <v>114</v>
      </c>
      <c r="E655" s="336">
        <v>112</v>
      </c>
      <c r="F655" s="327">
        <f t="shared" si="665"/>
        <v>0</v>
      </c>
      <c r="G655" s="177" t="str">
        <f t="shared" si="666"/>
        <v>New Orleans Pelicans</v>
      </c>
      <c r="H655" s="177">
        <v>124</v>
      </c>
      <c r="I655" s="336">
        <v>104</v>
      </c>
      <c r="J655" s="327">
        <f t="shared" si="667"/>
        <v>0</v>
      </c>
      <c r="K655" s="177">
        <f t="shared" si="668"/>
        <v>238</v>
      </c>
      <c r="L655" s="336">
        <f t="shared" si="669"/>
        <v>216</v>
      </c>
      <c r="M655" s="327">
        <f t="shared" si="670"/>
        <v>0</v>
      </c>
      <c r="N655" s="337">
        <f t="shared" si="671"/>
        <v>10</v>
      </c>
      <c r="O655" s="395">
        <f t="shared" si="672"/>
        <v>-8</v>
      </c>
      <c r="P655" s="289">
        <f t="shared" si="673"/>
        <v>0</v>
      </c>
      <c r="Q655" s="460">
        <f>WEEKNUM(tblResultadosNBA[[#This Row],[Fecha]],2)</f>
        <v>4</v>
      </c>
      <c r="R655" s="460" t="str">
        <f>TEXT(tblResultadosNBA[[#This Row],[Fecha]],"mmm")</f>
        <v>ene</v>
      </c>
    </row>
    <row r="656" spans="1:18">
      <c r="A656" s="419">
        <v>46043</v>
      </c>
      <c r="B656" s="302" t="s">
        <v>286</v>
      </c>
      <c r="C656" s="177" t="str">
        <f t="shared" si="664"/>
        <v>Oklahoma City Thunder</v>
      </c>
      <c r="D656" s="177">
        <v>111</v>
      </c>
      <c r="E656" s="336">
        <v>122</v>
      </c>
      <c r="F656" s="327">
        <f t="shared" si="665"/>
        <v>1</v>
      </c>
      <c r="G656" s="177" t="str">
        <f t="shared" si="666"/>
        <v>Milwaukee Bucks</v>
      </c>
      <c r="H656" s="177">
        <v>115</v>
      </c>
      <c r="I656" s="336">
        <v>102</v>
      </c>
      <c r="J656" s="327">
        <f t="shared" si="667"/>
        <v>0</v>
      </c>
      <c r="K656" s="177">
        <f t="shared" si="668"/>
        <v>226</v>
      </c>
      <c r="L656" s="336">
        <f t="shared" si="669"/>
        <v>224</v>
      </c>
      <c r="M656" s="327">
        <f t="shared" si="670"/>
        <v>0</v>
      </c>
      <c r="N656" s="337">
        <f t="shared" si="671"/>
        <v>4</v>
      </c>
      <c r="O656" s="395">
        <f t="shared" si="672"/>
        <v>-20</v>
      </c>
      <c r="P656" s="289">
        <f t="shared" si="673"/>
        <v>0</v>
      </c>
      <c r="Q656" s="460">
        <f>WEEKNUM(tblResultadosNBA[[#This Row],[Fecha]],2)</f>
        <v>4</v>
      </c>
      <c r="R656" s="460" t="str">
        <f>TEXT(tblResultadosNBA[[#This Row],[Fecha]],"mmm")</f>
        <v>ene</v>
      </c>
    </row>
    <row r="657" spans="1:18">
      <c r="A657" s="445">
        <v>46043</v>
      </c>
      <c r="B657" s="331" t="s">
        <v>699</v>
      </c>
      <c r="C657" s="286" t="str">
        <f t="shared" si="664"/>
        <v>Toronto Raptors</v>
      </c>
      <c r="D657" s="286">
        <v>121</v>
      </c>
      <c r="E657" s="431">
        <v>122</v>
      </c>
      <c r="F657" s="332">
        <f t="shared" si="665"/>
        <v>1</v>
      </c>
      <c r="G657" s="286" t="str">
        <f t="shared" si="666"/>
        <v>Sacramento Kings</v>
      </c>
      <c r="H657" s="286">
        <v>114</v>
      </c>
      <c r="I657" s="431">
        <v>109</v>
      </c>
      <c r="J657" s="332">
        <f t="shared" si="667"/>
        <v>0</v>
      </c>
      <c r="K657" s="286">
        <f t="shared" si="668"/>
        <v>235</v>
      </c>
      <c r="L657" s="431">
        <f t="shared" si="669"/>
        <v>231</v>
      </c>
      <c r="M657" s="332">
        <f t="shared" si="670"/>
        <v>0</v>
      </c>
      <c r="N657" s="432">
        <f t="shared" si="671"/>
        <v>-7</v>
      </c>
      <c r="O657" s="451">
        <f t="shared" si="672"/>
        <v>-13</v>
      </c>
      <c r="P657" s="433">
        <f t="shared" si="673"/>
        <v>1</v>
      </c>
      <c r="Q657" s="460">
        <f>WEEKNUM(tblResultadosNBA[[#This Row],[Fecha]],2)</f>
        <v>4</v>
      </c>
      <c r="R657" s="460" t="str">
        <f>TEXT(tblResultadosNBA[[#This Row],[Fecha]],"mmm")</f>
        <v>ene</v>
      </c>
    </row>
    <row r="658" spans="1:18">
      <c r="A658" s="439">
        <v>46044</v>
      </c>
      <c r="B658" s="422" t="s">
        <v>597</v>
      </c>
      <c r="C658" s="341" t="str">
        <f>LEFT(B658,FIND("@",B658)-2)</f>
        <v>Charlotte Hornets</v>
      </c>
      <c r="D658" s="341">
        <v>124</v>
      </c>
      <c r="E658" s="342">
        <v>124</v>
      </c>
      <c r="F658" s="333">
        <f>IF(E658&gt;D658, 1, 0)</f>
        <v>0</v>
      </c>
      <c r="G658" s="341" t="str">
        <f>MID(B658,FIND("@",B658)+2,LEN(B658)-FIND("@",B658)-1)</f>
        <v>Orlando Magic</v>
      </c>
      <c r="H658" s="341">
        <v>120</v>
      </c>
      <c r="I658" s="342">
        <v>97</v>
      </c>
      <c r="J658" s="333">
        <f>IF(I658&gt;H658, 1, 0)</f>
        <v>0</v>
      </c>
      <c r="K658" s="341">
        <f>+D658+H658</f>
        <v>244</v>
      </c>
      <c r="L658" s="342">
        <f>E658+I658</f>
        <v>221</v>
      </c>
      <c r="M658" s="333">
        <f>IF(L658&gt;K658, 1, 0)</f>
        <v>0</v>
      </c>
      <c r="N658" s="343">
        <f>(+H658-D658)</f>
        <v>-4</v>
      </c>
      <c r="O658" s="449">
        <f>I658-E658</f>
        <v>-27</v>
      </c>
      <c r="P658" s="289">
        <f>IF(OR(AND(N658&gt;0,O658&gt;0),AND(N658&lt;0,O658&lt;0)),1,0)</f>
        <v>1</v>
      </c>
      <c r="Q658" s="460">
        <f>WEEKNUM(tblResultadosNBA[[#This Row],[Fecha]],2)</f>
        <v>4</v>
      </c>
      <c r="R658" s="460" t="str">
        <f>TEXT(tblResultadosNBA[[#This Row],[Fecha]],"mmm")</f>
        <v>ene</v>
      </c>
    </row>
    <row r="659" spans="1:18">
      <c r="A659" s="419">
        <v>46044</v>
      </c>
      <c r="B659" s="302" t="s">
        <v>700</v>
      </c>
      <c r="C659" s="177" t="str">
        <f t="shared" ref="C659:C665" si="674">LEFT(B659,FIND("@",B659)-2)</f>
        <v>Houston Rockets</v>
      </c>
      <c r="D659" s="177">
        <v>113</v>
      </c>
      <c r="E659" s="336">
        <v>122</v>
      </c>
      <c r="F659" s="327">
        <f t="shared" ref="F659:F665" si="675">IF(E659&gt;D659, 1, 0)</f>
        <v>1</v>
      </c>
      <c r="G659" s="177" t="str">
        <f t="shared" ref="G659:G665" si="676">MID(B659,FIND("@",B659)+2,LEN(B659)-FIND("@",B659)-1)</f>
        <v>Philadelphia 76ers</v>
      </c>
      <c r="H659" s="177">
        <v>117</v>
      </c>
      <c r="I659" s="336">
        <v>128</v>
      </c>
      <c r="J659" s="327">
        <f t="shared" ref="J659:J665" si="677">IF(I659&gt;H659, 1, 0)</f>
        <v>1</v>
      </c>
      <c r="K659" s="177">
        <f t="shared" ref="K659:K665" si="678">+D659+H659</f>
        <v>230</v>
      </c>
      <c r="L659" s="336">
        <f t="shared" ref="L659:L665" si="679">E659+I659</f>
        <v>250</v>
      </c>
      <c r="M659" s="327">
        <f t="shared" ref="M659:M665" si="680">IF(L659&gt;K659, 1, 0)</f>
        <v>1</v>
      </c>
      <c r="N659" s="337">
        <f t="shared" ref="N659:N665" si="681">(+H659-D659)</f>
        <v>4</v>
      </c>
      <c r="O659" s="395">
        <f t="shared" ref="O659:O665" si="682">I659-E659</f>
        <v>6</v>
      </c>
      <c r="P659" s="289">
        <f t="shared" ref="P659:P665" si="683">IF(OR(AND(N659&gt;0,O659&gt;0),AND(N659&lt;0,O659&lt;0)),1,0)</f>
        <v>1</v>
      </c>
      <c r="Q659" s="460">
        <f>WEEKNUM(tblResultadosNBA[[#This Row],[Fecha]],2)</f>
        <v>4</v>
      </c>
      <c r="R659" s="460" t="str">
        <f>TEXT(tblResultadosNBA[[#This Row],[Fecha]],"mmm")</f>
        <v>ene</v>
      </c>
    </row>
    <row r="660" spans="1:18">
      <c r="A660" s="419">
        <v>46044</v>
      </c>
      <c r="B660" s="302" t="s">
        <v>701</v>
      </c>
      <c r="C660" s="177" t="str">
        <f t="shared" si="674"/>
        <v>Denver Nuggets</v>
      </c>
      <c r="D660" s="177">
        <v>120</v>
      </c>
      <c r="E660" s="336">
        <v>107</v>
      </c>
      <c r="F660" s="327">
        <f t="shared" si="675"/>
        <v>0</v>
      </c>
      <c r="G660" s="177" t="str">
        <f t="shared" si="676"/>
        <v>Washington Wizards</v>
      </c>
      <c r="H660" s="177">
        <v>123</v>
      </c>
      <c r="I660" s="336">
        <v>97</v>
      </c>
      <c r="J660" s="327">
        <f t="shared" si="677"/>
        <v>0</v>
      </c>
      <c r="K660" s="177">
        <f t="shared" si="678"/>
        <v>243</v>
      </c>
      <c r="L660" s="336">
        <f t="shared" si="679"/>
        <v>204</v>
      </c>
      <c r="M660" s="327">
        <f t="shared" si="680"/>
        <v>0</v>
      </c>
      <c r="N660" s="337">
        <f t="shared" si="681"/>
        <v>3</v>
      </c>
      <c r="O660" s="395">
        <f t="shared" si="682"/>
        <v>-10</v>
      </c>
      <c r="P660" s="289">
        <f t="shared" si="683"/>
        <v>0</v>
      </c>
      <c r="Q660" s="460">
        <f>WEEKNUM(tblResultadosNBA[[#This Row],[Fecha]],2)</f>
        <v>4</v>
      </c>
      <c r="R660" s="460" t="str">
        <f>TEXT(tblResultadosNBA[[#This Row],[Fecha]],"mmm")</f>
        <v>ene</v>
      </c>
    </row>
    <row r="661" spans="1:18">
      <c r="A661" s="419">
        <v>46044</v>
      </c>
      <c r="B661" s="302" t="s">
        <v>702</v>
      </c>
      <c r="C661" s="177" t="str">
        <f t="shared" si="674"/>
        <v>Golden State Warriors</v>
      </c>
      <c r="D661" s="177">
        <v>116</v>
      </c>
      <c r="E661" s="336">
        <v>115</v>
      </c>
      <c r="F661" s="327">
        <f t="shared" si="675"/>
        <v>0</v>
      </c>
      <c r="G661" s="177" t="str">
        <f t="shared" si="676"/>
        <v>Dallas Mavericks</v>
      </c>
      <c r="H661" s="177">
        <v>128</v>
      </c>
      <c r="I661" s="336">
        <v>123</v>
      </c>
      <c r="J661" s="327">
        <f t="shared" si="677"/>
        <v>0</v>
      </c>
      <c r="K661" s="177">
        <f t="shared" si="678"/>
        <v>244</v>
      </c>
      <c r="L661" s="336">
        <f t="shared" si="679"/>
        <v>238</v>
      </c>
      <c r="M661" s="327">
        <f t="shared" si="680"/>
        <v>0</v>
      </c>
      <c r="N661" s="337">
        <f t="shared" si="681"/>
        <v>12</v>
      </c>
      <c r="O661" s="395">
        <f t="shared" si="682"/>
        <v>8</v>
      </c>
      <c r="P661" s="289">
        <f t="shared" si="683"/>
        <v>1</v>
      </c>
      <c r="Q661" s="460">
        <f>WEEKNUM(tblResultadosNBA[[#This Row],[Fecha]],2)</f>
        <v>4</v>
      </c>
      <c r="R661" s="460" t="str">
        <f>TEXT(tblResultadosNBA[[#This Row],[Fecha]],"mmm")</f>
        <v>ene</v>
      </c>
    </row>
    <row r="662" spans="1:18">
      <c r="A662" s="419">
        <v>46044</v>
      </c>
      <c r="B662" s="302" t="s">
        <v>287</v>
      </c>
      <c r="C662" s="177" t="str">
        <f t="shared" si="674"/>
        <v>Chicago Bulls</v>
      </c>
      <c r="D662" s="177">
        <v>108</v>
      </c>
      <c r="E662" s="336">
        <v>120</v>
      </c>
      <c r="F662" s="327">
        <f t="shared" si="675"/>
        <v>1</v>
      </c>
      <c r="G662" s="177" t="str">
        <f t="shared" si="676"/>
        <v>Minnesota Timberwolves</v>
      </c>
      <c r="H662" s="177">
        <v>120</v>
      </c>
      <c r="I662" s="336">
        <v>115</v>
      </c>
      <c r="J662" s="327">
        <f t="shared" si="677"/>
        <v>0</v>
      </c>
      <c r="K662" s="177">
        <f t="shared" si="678"/>
        <v>228</v>
      </c>
      <c r="L662" s="336">
        <f t="shared" si="679"/>
        <v>235</v>
      </c>
      <c r="M662" s="327">
        <f t="shared" si="680"/>
        <v>1</v>
      </c>
      <c r="N662" s="337">
        <f t="shared" si="681"/>
        <v>12</v>
      </c>
      <c r="O662" s="395">
        <f t="shared" si="682"/>
        <v>-5</v>
      </c>
      <c r="P662" s="289">
        <f t="shared" si="683"/>
        <v>0</v>
      </c>
      <c r="Q662" s="460">
        <f>WEEKNUM(tblResultadosNBA[[#This Row],[Fecha]],2)</f>
        <v>4</v>
      </c>
      <c r="R662" s="460" t="str">
        <f>TEXT(tblResultadosNBA[[#This Row],[Fecha]],"mmm")</f>
        <v>ene</v>
      </c>
    </row>
    <row r="663" spans="1:18">
      <c r="A663" s="419">
        <v>46044</v>
      </c>
      <c r="B663" s="302" t="s">
        <v>703</v>
      </c>
      <c r="C663" s="177" t="str">
        <f t="shared" si="674"/>
        <v>San Antonio Spurs</v>
      </c>
      <c r="D663" s="177">
        <v>124</v>
      </c>
      <c r="E663" s="336">
        <v>126</v>
      </c>
      <c r="F663" s="327">
        <f t="shared" si="675"/>
        <v>1</v>
      </c>
      <c r="G663" s="177" t="str">
        <f t="shared" si="676"/>
        <v>Utah Jazz</v>
      </c>
      <c r="H663" s="177">
        <v>130</v>
      </c>
      <c r="I663" s="336">
        <v>109</v>
      </c>
      <c r="J663" s="327">
        <f t="shared" si="677"/>
        <v>0</v>
      </c>
      <c r="K663" s="177">
        <f t="shared" si="678"/>
        <v>254</v>
      </c>
      <c r="L663" s="336">
        <f t="shared" si="679"/>
        <v>235</v>
      </c>
      <c r="M663" s="327">
        <f t="shared" si="680"/>
        <v>0</v>
      </c>
      <c r="N663" s="337">
        <f t="shared" si="681"/>
        <v>6</v>
      </c>
      <c r="O663" s="395">
        <f t="shared" si="682"/>
        <v>-17</v>
      </c>
      <c r="P663" s="289">
        <f t="shared" si="683"/>
        <v>0</v>
      </c>
      <c r="Q663" s="460">
        <f>WEEKNUM(tblResultadosNBA[[#This Row],[Fecha]],2)</f>
        <v>4</v>
      </c>
      <c r="R663" s="460" t="str">
        <f>TEXT(tblResultadosNBA[[#This Row],[Fecha]],"mmm")</f>
        <v>ene</v>
      </c>
    </row>
    <row r="664" spans="1:18">
      <c r="A664" s="419">
        <v>46044</v>
      </c>
      <c r="B664" s="302" t="s">
        <v>203</v>
      </c>
      <c r="C664" s="177" t="str">
        <f t="shared" si="674"/>
        <v>Los Angeles Lakers</v>
      </c>
      <c r="D664" s="177">
        <v>113</v>
      </c>
      <c r="E664" s="336">
        <v>104</v>
      </c>
      <c r="F664" s="327">
        <f t="shared" si="675"/>
        <v>0</v>
      </c>
      <c r="G664" s="177" t="str">
        <f t="shared" si="676"/>
        <v>LA Clippers</v>
      </c>
      <c r="H664" s="177">
        <v>117</v>
      </c>
      <c r="I664" s="336">
        <v>112</v>
      </c>
      <c r="J664" s="327">
        <f t="shared" si="677"/>
        <v>0</v>
      </c>
      <c r="K664" s="177">
        <f t="shared" si="678"/>
        <v>230</v>
      </c>
      <c r="L664" s="336">
        <f t="shared" si="679"/>
        <v>216</v>
      </c>
      <c r="M664" s="327">
        <f t="shared" si="680"/>
        <v>0</v>
      </c>
      <c r="N664" s="337">
        <f t="shared" si="681"/>
        <v>4</v>
      </c>
      <c r="O664" s="395">
        <f t="shared" si="682"/>
        <v>8</v>
      </c>
      <c r="P664" s="289">
        <f t="shared" si="683"/>
        <v>1</v>
      </c>
      <c r="Q664" s="460">
        <f>WEEKNUM(tblResultadosNBA[[#This Row],[Fecha]],2)</f>
        <v>4</v>
      </c>
      <c r="R664" s="460" t="str">
        <f>TEXT(tblResultadosNBA[[#This Row],[Fecha]],"mmm")</f>
        <v>ene</v>
      </c>
    </row>
    <row r="665" spans="1:18">
      <c r="A665" s="445">
        <v>46044</v>
      </c>
      <c r="B665" s="331" t="s">
        <v>288</v>
      </c>
      <c r="C665" s="286" t="str">
        <f t="shared" si="674"/>
        <v>Miami Heat</v>
      </c>
      <c r="D665" s="286">
        <v>108</v>
      </c>
      <c r="E665" s="431">
        <v>110</v>
      </c>
      <c r="F665" s="332">
        <f t="shared" si="675"/>
        <v>1</v>
      </c>
      <c r="G665" s="286" t="str">
        <f t="shared" si="676"/>
        <v>Portland Trail Blazers</v>
      </c>
      <c r="H665" s="286">
        <v>116</v>
      </c>
      <c r="I665" s="431">
        <v>127</v>
      </c>
      <c r="J665" s="332">
        <f t="shared" si="677"/>
        <v>1</v>
      </c>
      <c r="K665" s="286">
        <f t="shared" si="678"/>
        <v>224</v>
      </c>
      <c r="L665" s="431">
        <f t="shared" si="679"/>
        <v>237</v>
      </c>
      <c r="M665" s="332">
        <f t="shared" si="680"/>
        <v>1</v>
      </c>
      <c r="N665" s="432">
        <f t="shared" si="681"/>
        <v>8</v>
      </c>
      <c r="O665" s="451">
        <f t="shared" si="682"/>
        <v>17</v>
      </c>
      <c r="P665" s="433">
        <f t="shared" si="683"/>
        <v>1</v>
      </c>
      <c r="Q665" s="460">
        <f>WEEKNUM(tblResultadosNBA[[#This Row],[Fecha]],2)</f>
        <v>4</v>
      </c>
      <c r="R665" s="460" t="str">
        <f>TEXT(tblResultadosNBA[[#This Row],[Fecha]],"mmm")</f>
        <v>ene</v>
      </c>
    </row>
    <row r="666" spans="1:18">
      <c r="A666" s="439">
        <v>46045</v>
      </c>
      <c r="B666" s="422" t="s">
        <v>704</v>
      </c>
      <c r="C666" s="341" t="str">
        <f>LEFT(B666,FIND("@",B666)-2)</f>
        <v>Houston Rockets</v>
      </c>
      <c r="D666" s="341">
        <v>128</v>
      </c>
      <c r="E666" s="342">
        <v>111</v>
      </c>
      <c r="F666" s="333">
        <f>IF(E666&gt;D666, 1, 0)</f>
        <v>0</v>
      </c>
      <c r="G666" s="341" t="str">
        <f>MID(B666,FIND("@",B666)+2,LEN(B666)-FIND("@",B666)-1)</f>
        <v>Detroit Pistons</v>
      </c>
      <c r="H666" s="341">
        <v>119</v>
      </c>
      <c r="I666" s="342">
        <v>104</v>
      </c>
      <c r="J666" s="333">
        <f>IF(I666&gt;H666, 1, 0)</f>
        <v>0</v>
      </c>
      <c r="K666" s="341">
        <f>+D666+H666</f>
        <v>247</v>
      </c>
      <c r="L666" s="342">
        <f>E666+I666</f>
        <v>215</v>
      </c>
      <c r="M666" s="333">
        <f>IF(L666&gt;K666, 1, 0)</f>
        <v>0</v>
      </c>
      <c r="N666" s="343">
        <f>(+H666-D666)</f>
        <v>-9</v>
      </c>
      <c r="O666" s="449">
        <f>I666-E666</f>
        <v>-7</v>
      </c>
      <c r="P666" s="289">
        <f>IF(OR(AND(N666&gt;0,O666&gt;0),AND(N666&lt;0,O666&lt;0)),1,0)</f>
        <v>1</v>
      </c>
      <c r="Q666" s="460">
        <f>WEEKNUM(tblResultadosNBA[[#This Row],[Fecha]],2)</f>
        <v>4</v>
      </c>
      <c r="R666" s="460" t="str">
        <f>TEXT(tblResultadosNBA[[#This Row],[Fecha]],"mmm")</f>
        <v>ene</v>
      </c>
    </row>
    <row r="667" spans="1:18">
      <c r="A667" s="419">
        <v>46045</v>
      </c>
      <c r="B667" s="302" t="s">
        <v>705</v>
      </c>
      <c r="C667" s="177" t="str">
        <f t="shared" ref="C667:C673" si="684">LEFT(B667,FIND("@",B667)-2)</f>
        <v>Phoenix Suns</v>
      </c>
      <c r="D667" s="177">
        <v>118</v>
      </c>
      <c r="E667" s="336">
        <v>103</v>
      </c>
      <c r="F667" s="327">
        <f t="shared" ref="F667:F673" si="685">IF(E667&gt;D667, 1, 0)</f>
        <v>0</v>
      </c>
      <c r="G667" s="177" t="str">
        <f t="shared" ref="G667:G673" si="686">MID(B667,FIND("@",B667)+2,LEN(B667)-FIND("@",B667)-1)</f>
        <v>Atlanta Hawks</v>
      </c>
      <c r="H667" s="177">
        <v>122</v>
      </c>
      <c r="I667" s="336">
        <v>110</v>
      </c>
      <c r="J667" s="327">
        <f t="shared" ref="J667:J673" si="687">IF(I667&gt;H667, 1, 0)</f>
        <v>0</v>
      </c>
      <c r="K667" s="177">
        <f t="shared" ref="K667:K673" si="688">+D667+H667</f>
        <v>240</v>
      </c>
      <c r="L667" s="336">
        <f t="shared" ref="L667:L673" si="689">E667+I667</f>
        <v>213</v>
      </c>
      <c r="M667" s="327">
        <f t="shared" ref="M667:M673" si="690">IF(L667&gt;K667, 1, 0)</f>
        <v>0</v>
      </c>
      <c r="N667" s="337">
        <f t="shared" ref="N667:N673" si="691">(+H667-D667)</f>
        <v>4</v>
      </c>
      <c r="O667" s="395">
        <f t="shared" ref="O667:O673" si="692">I667-E667</f>
        <v>7</v>
      </c>
      <c r="P667" s="289">
        <f t="shared" ref="P667:P673" si="693">IF(OR(AND(N667&gt;0,O667&gt;0),AND(N667&lt;0,O667&lt;0)),1,0)</f>
        <v>1</v>
      </c>
      <c r="Q667" s="460">
        <f>WEEKNUM(tblResultadosNBA[[#This Row],[Fecha]],2)</f>
        <v>4</v>
      </c>
      <c r="R667" s="460" t="str">
        <f>TEXT(tblResultadosNBA[[#This Row],[Fecha]],"mmm")</f>
        <v>ene</v>
      </c>
    </row>
    <row r="668" spans="1:18">
      <c r="A668" s="419">
        <v>46045</v>
      </c>
      <c r="B668" s="302" t="s">
        <v>76</v>
      </c>
      <c r="C668" s="177" t="str">
        <f t="shared" si="684"/>
        <v>Boston Celtics</v>
      </c>
      <c r="D668" s="177">
        <v>111</v>
      </c>
      <c r="E668" s="336">
        <v>130</v>
      </c>
      <c r="F668" s="327">
        <f t="shared" si="685"/>
        <v>1</v>
      </c>
      <c r="G668" s="177" t="str">
        <f t="shared" si="686"/>
        <v>Brooklyn Nets</v>
      </c>
      <c r="H668" s="177">
        <v>108</v>
      </c>
      <c r="I668" s="336">
        <v>126</v>
      </c>
      <c r="J668" s="327">
        <f t="shared" si="687"/>
        <v>1</v>
      </c>
      <c r="K668" s="177">
        <f t="shared" si="688"/>
        <v>219</v>
      </c>
      <c r="L668" s="336">
        <f t="shared" si="689"/>
        <v>256</v>
      </c>
      <c r="M668" s="327">
        <f t="shared" si="690"/>
        <v>1</v>
      </c>
      <c r="N668" s="337">
        <f t="shared" si="691"/>
        <v>-3</v>
      </c>
      <c r="O668" s="395">
        <f t="shared" si="692"/>
        <v>-4</v>
      </c>
      <c r="P668" s="289">
        <f t="shared" si="693"/>
        <v>1</v>
      </c>
      <c r="Q668" s="460">
        <f>WEEKNUM(tblResultadosNBA[[#This Row],[Fecha]],2)</f>
        <v>4</v>
      </c>
      <c r="R668" s="460" t="str">
        <f>TEXT(tblResultadosNBA[[#This Row],[Fecha]],"mmm")</f>
        <v>ene</v>
      </c>
    </row>
    <row r="669" spans="1:18">
      <c r="A669" s="419">
        <v>46045</v>
      </c>
      <c r="B669" s="302" t="s">
        <v>706</v>
      </c>
      <c r="C669" s="177" t="str">
        <f t="shared" si="684"/>
        <v>Sacramento Kings</v>
      </c>
      <c r="D669" s="177">
        <v>116</v>
      </c>
      <c r="E669" s="336">
        <v>118</v>
      </c>
      <c r="F669" s="327">
        <f t="shared" si="685"/>
        <v>1</v>
      </c>
      <c r="G669" s="177" t="str">
        <f t="shared" si="686"/>
        <v>Cleveland Cavaliers</v>
      </c>
      <c r="H669" s="177">
        <v>122</v>
      </c>
      <c r="I669" s="336">
        <v>123</v>
      </c>
      <c r="J669" s="327">
        <f t="shared" si="687"/>
        <v>1</v>
      </c>
      <c r="K669" s="177">
        <f t="shared" si="688"/>
        <v>238</v>
      </c>
      <c r="L669" s="336">
        <f t="shared" si="689"/>
        <v>241</v>
      </c>
      <c r="M669" s="327">
        <f t="shared" si="690"/>
        <v>1</v>
      </c>
      <c r="N669" s="337">
        <f t="shared" si="691"/>
        <v>6</v>
      </c>
      <c r="O669" s="395">
        <f t="shared" si="692"/>
        <v>5</v>
      </c>
      <c r="P669" s="289">
        <f t="shared" si="693"/>
        <v>1</v>
      </c>
      <c r="Q669" s="460">
        <f>WEEKNUM(tblResultadosNBA[[#This Row],[Fecha]],2)</f>
        <v>4</v>
      </c>
      <c r="R669" s="460" t="str">
        <f>TEXT(tblResultadosNBA[[#This Row],[Fecha]],"mmm")</f>
        <v>ene</v>
      </c>
    </row>
    <row r="670" spans="1:18">
      <c r="A670" s="419">
        <v>46045</v>
      </c>
      <c r="B670" s="302" t="s">
        <v>289</v>
      </c>
      <c r="C670" s="177" t="str">
        <f t="shared" si="684"/>
        <v>New Orleans Pelicans</v>
      </c>
      <c r="D670" s="177">
        <v>110</v>
      </c>
      <c r="E670" s="336">
        <v>133</v>
      </c>
      <c r="F670" s="327">
        <f t="shared" si="685"/>
        <v>1</v>
      </c>
      <c r="G670" s="177" t="str">
        <f t="shared" si="686"/>
        <v>Memphis Grizzlies</v>
      </c>
      <c r="H670" s="177">
        <v>122</v>
      </c>
      <c r="I670" s="336">
        <v>127</v>
      </c>
      <c r="J670" s="327">
        <f t="shared" si="687"/>
        <v>1</v>
      </c>
      <c r="K670" s="177">
        <f t="shared" si="688"/>
        <v>232</v>
      </c>
      <c r="L670" s="336">
        <f t="shared" si="689"/>
        <v>260</v>
      </c>
      <c r="M670" s="327">
        <f t="shared" si="690"/>
        <v>1</v>
      </c>
      <c r="N670" s="337">
        <f t="shared" si="691"/>
        <v>12</v>
      </c>
      <c r="O670" s="395">
        <f t="shared" si="692"/>
        <v>-6</v>
      </c>
      <c r="P670" s="289">
        <f t="shared" si="693"/>
        <v>0</v>
      </c>
      <c r="Q670" s="460">
        <f>WEEKNUM(tblResultadosNBA[[#This Row],[Fecha]],2)</f>
        <v>4</v>
      </c>
      <c r="R670" s="460" t="str">
        <f>TEXT(tblResultadosNBA[[#This Row],[Fecha]],"mmm")</f>
        <v>ene</v>
      </c>
    </row>
    <row r="671" spans="1:18">
      <c r="A671" s="419">
        <v>46045</v>
      </c>
      <c r="B671" s="302" t="s">
        <v>707</v>
      </c>
      <c r="C671" s="177" t="str">
        <f t="shared" si="684"/>
        <v>Indiana Pacers</v>
      </c>
      <c r="D671" s="177">
        <v>108</v>
      </c>
      <c r="E671" s="336">
        <v>117</v>
      </c>
      <c r="F671" s="327">
        <f t="shared" si="685"/>
        <v>1</v>
      </c>
      <c r="G671" s="177" t="str">
        <f t="shared" si="686"/>
        <v>Oklahoma City Thunder</v>
      </c>
      <c r="H671" s="177">
        <v>123</v>
      </c>
      <c r="I671" s="336">
        <v>114</v>
      </c>
      <c r="J671" s="327">
        <f t="shared" si="687"/>
        <v>0</v>
      </c>
      <c r="K671" s="177">
        <f t="shared" si="688"/>
        <v>231</v>
      </c>
      <c r="L671" s="336">
        <f t="shared" si="689"/>
        <v>231</v>
      </c>
      <c r="M671" s="327">
        <f t="shared" si="690"/>
        <v>0</v>
      </c>
      <c r="N671" s="337">
        <f t="shared" si="691"/>
        <v>15</v>
      </c>
      <c r="O671" s="395">
        <f t="shared" si="692"/>
        <v>-3</v>
      </c>
      <c r="P671" s="289">
        <f t="shared" si="693"/>
        <v>0</v>
      </c>
      <c r="Q671" s="460">
        <f>WEEKNUM(tblResultadosNBA[[#This Row],[Fecha]],2)</f>
        <v>4</v>
      </c>
      <c r="R671" s="460" t="str">
        <f>TEXT(tblResultadosNBA[[#This Row],[Fecha]],"mmm")</f>
        <v>ene</v>
      </c>
    </row>
    <row r="672" spans="1:18">
      <c r="A672" s="419">
        <v>46045</v>
      </c>
      <c r="B672" s="302" t="s">
        <v>708</v>
      </c>
      <c r="C672" s="177" t="str">
        <f t="shared" si="684"/>
        <v>Denver Nuggets</v>
      </c>
      <c r="D672" s="177">
        <v>110</v>
      </c>
      <c r="E672" s="336">
        <v>102</v>
      </c>
      <c r="F672" s="327">
        <f t="shared" si="685"/>
        <v>0</v>
      </c>
      <c r="G672" s="177" t="str">
        <f t="shared" si="686"/>
        <v>Milwaukee Bucks</v>
      </c>
      <c r="H672" s="177">
        <v>113</v>
      </c>
      <c r="I672" s="336">
        <v>100</v>
      </c>
      <c r="J672" s="327">
        <f t="shared" si="687"/>
        <v>0</v>
      </c>
      <c r="K672" s="177">
        <f t="shared" si="688"/>
        <v>223</v>
      </c>
      <c r="L672" s="336">
        <f t="shared" si="689"/>
        <v>202</v>
      </c>
      <c r="M672" s="327">
        <f t="shared" si="690"/>
        <v>0</v>
      </c>
      <c r="N672" s="337">
        <f t="shared" si="691"/>
        <v>3</v>
      </c>
      <c r="O672" s="395">
        <f t="shared" si="692"/>
        <v>-2</v>
      </c>
      <c r="P672" s="289">
        <f t="shared" si="693"/>
        <v>0</v>
      </c>
      <c r="Q672" s="460">
        <f>WEEKNUM(tblResultadosNBA[[#This Row],[Fecha]],2)</f>
        <v>4</v>
      </c>
      <c r="R672" s="460" t="str">
        <f>TEXT(tblResultadosNBA[[#This Row],[Fecha]],"mmm")</f>
        <v>ene</v>
      </c>
    </row>
    <row r="673" spans="1:18">
      <c r="A673" s="445">
        <v>46045</v>
      </c>
      <c r="B673" s="331" t="s">
        <v>290</v>
      </c>
      <c r="C673" s="286" t="str">
        <f t="shared" si="684"/>
        <v>Toronto Raptors</v>
      </c>
      <c r="D673" s="286">
        <v>109</v>
      </c>
      <c r="E673" s="431">
        <v>110</v>
      </c>
      <c r="F673" s="332">
        <f t="shared" si="685"/>
        <v>1</v>
      </c>
      <c r="G673" s="286" t="str">
        <f t="shared" si="686"/>
        <v>Portland Trail Blazers</v>
      </c>
      <c r="H673" s="286">
        <v>118</v>
      </c>
      <c r="I673" s="431">
        <v>98</v>
      </c>
      <c r="J673" s="332">
        <f t="shared" si="687"/>
        <v>0</v>
      </c>
      <c r="K673" s="286">
        <f t="shared" si="688"/>
        <v>227</v>
      </c>
      <c r="L673" s="431">
        <f t="shared" si="689"/>
        <v>208</v>
      </c>
      <c r="M673" s="332">
        <f t="shared" si="690"/>
        <v>0</v>
      </c>
      <c r="N673" s="432">
        <f t="shared" si="691"/>
        <v>9</v>
      </c>
      <c r="O673" s="451">
        <f t="shared" si="692"/>
        <v>-12</v>
      </c>
      <c r="P673" s="433">
        <f t="shared" si="693"/>
        <v>0</v>
      </c>
      <c r="Q673" s="460">
        <f>WEEKNUM(tblResultadosNBA[[#This Row],[Fecha]],2)</f>
        <v>4</v>
      </c>
      <c r="R673" s="460" t="str">
        <f>TEXT(tblResultadosNBA[[#This Row],[Fecha]],"mmm")</f>
        <v>ene</v>
      </c>
    </row>
    <row r="674" spans="1:18">
      <c r="A674" s="439">
        <v>46046</v>
      </c>
      <c r="B674" s="422" t="s">
        <v>213</v>
      </c>
      <c r="C674" s="341" t="str">
        <f>LEFT(B674,FIND("@",B674)-2)</f>
        <v>Washington Wizards</v>
      </c>
      <c r="D674" s="341">
        <v>113</v>
      </c>
      <c r="E674" s="342">
        <v>115</v>
      </c>
      <c r="F674" s="333">
        <f>IF(E674&gt;D674, 1, 0)</f>
        <v>1</v>
      </c>
      <c r="G674" s="341" t="str">
        <f>MID(B674,FIND("@",B674)+2,LEN(B674)-FIND("@",B674)-1)</f>
        <v>Charlotte Hornets</v>
      </c>
      <c r="H674" s="341">
        <v>119</v>
      </c>
      <c r="I674" s="342">
        <v>119</v>
      </c>
      <c r="J674" s="333">
        <f>IF(I674&gt;H674, 1, 0)</f>
        <v>0</v>
      </c>
      <c r="K674" s="341">
        <f>+D674+H674</f>
        <v>232</v>
      </c>
      <c r="L674" s="342">
        <f>E674+I674</f>
        <v>234</v>
      </c>
      <c r="M674" s="333">
        <f>IF(L674&gt;K674, 1, 0)</f>
        <v>1</v>
      </c>
      <c r="N674" s="343">
        <f>(+H674-D674)</f>
        <v>6</v>
      </c>
      <c r="O674" s="449">
        <f>I674-E674</f>
        <v>4</v>
      </c>
      <c r="P674" s="289">
        <f>IF(OR(AND(N674&gt;0,O674&gt;0),AND(N674&lt;0,O674&lt;0)),1,0)</f>
        <v>1</v>
      </c>
      <c r="Q674" s="460">
        <f>WEEKNUM(tblResultadosNBA[[#This Row],[Fecha]],2)</f>
        <v>4</v>
      </c>
      <c r="R674" s="460" t="str">
        <f>TEXT(tblResultadosNBA[[#This Row],[Fecha]],"mmm")</f>
        <v>ene</v>
      </c>
    </row>
    <row r="675" spans="1:18">
      <c r="A675" s="419">
        <v>46046</v>
      </c>
      <c r="B675" s="302" t="s">
        <v>291</v>
      </c>
      <c r="C675" s="177" t="str">
        <f t="shared" ref="C675:C679" si="694">LEFT(B675,FIND("@",B675)-2)</f>
        <v>New York Knicks</v>
      </c>
      <c r="D675" s="177">
        <v>113</v>
      </c>
      <c r="E675" s="336">
        <v>112</v>
      </c>
      <c r="F675" s="327">
        <f t="shared" ref="F675:F679" si="695">IF(E675&gt;D675, 1, 0)</f>
        <v>0</v>
      </c>
      <c r="G675" s="177" t="str">
        <f t="shared" ref="G675:G679" si="696">MID(B675,FIND("@",B675)+2,LEN(B675)-FIND("@",B675)-1)</f>
        <v>Philadelphia 76ers</v>
      </c>
      <c r="H675" s="177">
        <v>111</v>
      </c>
      <c r="I675" s="336">
        <v>109</v>
      </c>
      <c r="J675" s="327">
        <f t="shared" ref="J675:J679" si="697">IF(I675&gt;H675, 1, 0)</f>
        <v>0</v>
      </c>
      <c r="K675" s="177">
        <f t="shared" ref="K675:K679" si="698">+D675+H675</f>
        <v>224</v>
      </c>
      <c r="L675" s="336">
        <f t="shared" ref="L675:L679" si="699">E675+I675</f>
        <v>221</v>
      </c>
      <c r="M675" s="327">
        <f t="shared" ref="M675:M679" si="700">IF(L675&gt;K675, 1, 0)</f>
        <v>0</v>
      </c>
      <c r="N675" s="337">
        <f t="shared" ref="N675:N679" si="701">(+H675-D675)</f>
        <v>-2</v>
      </c>
      <c r="O675" s="395">
        <f t="shared" ref="O675:O679" si="702">I675-E675</f>
        <v>-3</v>
      </c>
      <c r="P675" s="289">
        <f t="shared" ref="P675:P679" si="703">IF(OR(AND(N675&gt;0,O675&gt;0),AND(N675&lt;0,O675&lt;0)),1,0)</f>
        <v>1</v>
      </c>
      <c r="Q675" s="460">
        <f>WEEKNUM(tblResultadosNBA[[#This Row],[Fecha]],2)</f>
        <v>4</v>
      </c>
      <c r="R675" s="460" t="str">
        <f>TEXT(tblResultadosNBA[[#This Row],[Fecha]],"mmm")</f>
        <v>ene</v>
      </c>
    </row>
    <row r="676" spans="1:18">
      <c r="A676" s="419">
        <v>46046</v>
      </c>
      <c r="B676" s="302" t="s">
        <v>292</v>
      </c>
      <c r="C676" s="177" t="str">
        <f t="shared" si="694"/>
        <v>Cleveland Cavaliers</v>
      </c>
      <c r="D676" s="177">
        <v>110</v>
      </c>
      <c r="E676" s="336">
        <v>119</v>
      </c>
      <c r="F676" s="327">
        <f t="shared" si="695"/>
        <v>1</v>
      </c>
      <c r="G676" s="177" t="str">
        <f t="shared" si="696"/>
        <v>Orlando Magic</v>
      </c>
      <c r="H676" s="177">
        <v>115</v>
      </c>
      <c r="I676" s="336">
        <v>105</v>
      </c>
      <c r="J676" s="327">
        <f t="shared" si="697"/>
        <v>0</v>
      </c>
      <c r="K676" s="177">
        <f t="shared" si="698"/>
        <v>225</v>
      </c>
      <c r="L676" s="336">
        <f t="shared" si="699"/>
        <v>224</v>
      </c>
      <c r="M676" s="327">
        <f t="shared" si="700"/>
        <v>0</v>
      </c>
      <c r="N676" s="337">
        <f t="shared" si="701"/>
        <v>5</v>
      </c>
      <c r="O676" s="395">
        <f t="shared" si="702"/>
        <v>-14</v>
      </c>
      <c r="P676" s="289">
        <f t="shared" si="703"/>
        <v>0</v>
      </c>
      <c r="Q676" s="460">
        <f>WEEKNUM(tblResultadosNBA[[#This Row],[Fecha]],2)</f>
        <v>4</v>
      </c>
      <c r="R676" s="460" t="str">
        <f>TEXT(tblResultadosNBA[[#This Row],[Fecha]],"mmm")</f>
        <v>ene</v>
      </c>
    </row>
    <row r="677" spans="1:18">
      <c r="A677" s="419">
        <v>46046</v>
      </c>
      <c r="B677" s="302" t="s">
        <v>293</v>
      </c>
      <c r="C677" s="177" t="str">
        <f t="shared" si="694"/>
        <v>Boston Celtics</v>
      </c>
      <c r="D677" s="177">
        <v>118</v>
      </c>
      <c r="E677" s="336">
        <v>111</v>
      </c>
      <c r="F677" s="327">
        <f t="shared" si="695"/>
        <v>0</v>
      </c>
      <c r="G677" s="177" t="str">
        <f t="shared" si="696"/>
        <v>Chicago Bulls</v>
      </c>
      <c r="H677" s="177">
        <v>113</v>
      </c>
      <c r="I677" s="336">
        <v>114</v>
      </c>
      <c r="J677" s="327">
        <f t="shared" si="697"/>
        <v>1</v>
      </c>
      <c r="K677" s="177">
        <f t="shared" si="698"/>
        <v>231</v>
      </c>
      <c r="L677" s="336">
        <f t="shared" si="699"/>
        <v>225</v>
      </c>
      <c r="M677" s="327">
        <f t="shared" si="700"/>
        <v>0</v>
      </c>
      <c r="N677" s="337">
        <f t="shared" si="701"/>
        <v>-5</v>
      </c>
      <c r="O677" s="395">
        <f t="shared" si="702"/>
        <v>3</v>
      </c>
      <c r="P677" s="289">
        <f t="shared" si="703"/>
        <v>0</v>
      </c>
      <c r="Q677" s="460">
        <f>WEEKNUM(tblResultadosNBA[[#This Row],[Fecha]],2)</f>
        <v>4</v>
      </c>
      <c r="R677" s="460" t="str">
        <f>TEXT(tblResultadosNBA[[#This Row],[Fecha]],"mmm")</f>
        <v>ene</v>
      </c>
    </row>
    <row r="678" spans="1:18">
      <c r="A678" s="419">
        <v>46046</v>
      </c>
      <c r="B678" s="302" t="s">
        <v>294</v>
      </c>
      <c r="C678" s="177" t="str">
        <f t="shared" si="694"/>
        <v>Los Angeles Lakers</v>
      </c>
      <c r="D678" s="177">
        <v>115</v>
      </c>
      <c r="E678" s="336">
        <v>116</v>
      </c>
      <c r="F678" s="327">
        <f t="shared" si="695"/>
        <v>1</v>
      </c>
      <c r="G678" s="177" t="str">
        <f t="shared" si="696"/>
        <v>Dallas Mavericks</v>
      </c>
      <c r="H678" s="177">
        <v>117</v>
      </c>
      <c r="I678" s="336">
        <v>110</v>
      </c>
      <c r="J678" s="327">
        <f t="shared" si="697"/>
        <v>0</v>
      </c>
      <c r="K678" s="177">
        <f t="shared" si="698"/>
        <v>232</v>
      </c>
      <c r="L678" s="336">
        <f t="shared" si="699"/>
        <v>226</v>
      </c>
      <c r="M678" s="327">
        <f t="shared" si="700"/>
        <v>0</v>
      </c>
      <c r="N678" s="337">
        <f t="shared" si="701"/>
        <v>2</v>
      </c>
      <c r="O678" s="395">
        <f t="shared" si="702"/>
        <v>-6</v>
      </c>
      <c r="P678" s="289">
        <f t="shared" si="703"/>
        <v>0</v>
      </c>
      <c r="Q678" s="460">
        <f>WEEKNUM(tblResultadosNBA[[#This Row],[Fecha]],2)</f>
        <v>4</v>
      </c>
      <c r="R678" s="460" t="str">
        <f>TEXT(tblResultadosNBA[[#This Row],[Fecha]],"mmm")</f>
        <v>ene</v>
      </c>
    </row>
    <row r="679" spans="1:18">
      <c r="A679" s="445">
        <v>46046</v>
      </c>
      <c r="B679" s="331" t="s">
        <v>295</v>
      </c>
      <c r="C679" s="286" t="str">
        <f t="shared" si="694"/>
        <v>Miami Heat</v>
      </c>
      <c r="D679" s="286">
        <v>114</v>
      </c>
      <c r="E679" s="431">
        <v>147</v>
      </c>
      <c r="F679" s="332">
        <f t="shared" si="695"/>
        <v>1</v>
      </c>
      <c r="G679" s="286" t="str">
        <f t="shared" si="696"/>
        <v>Utah Jazz</v>
      </c>
      <c r="H679" s="286">
        <v>115</v>
      </c>
      <c r="I679" s="431">
        <v>116</v>
      </c>
      <c r="J679" s="332">
        <f t="shared" si="697"/>
        <v>1</v>
      </c>
      <c r="K679" s="286">
        <f t="shared" si="698"/>
        <v>229</v>
      </c>
      <c r="L679" s="431">
        <f t="shared" si="699"/>
        <v>263</v>
      </c>
      <c r="M679" s="332">
        <f t="shared" si="700"/>
        <v>1</v>
      </c>
      <c r="N679" s="432">
        <f t="shared" si="701"/>
        <v>1</v>
      </c>
      <c r="O679" s="451">
        <f t="shared" si="702"/>
        <v>-31</v>
      </c>
      <c r="P679" s="433">
        <f t="shared" si="703"/>
        <v>0</v>
      </c>
      <c r="Q679" s="460">
        <f>WEEKNUM(tblResultadosNBA[[#This Row],[Fecha]],2)</f>
        <v>4</v>
      </c>
      <c r="R679" s="460" t="str">
        <f>TEXT(tblResultadosNBA[[#This Row],[Fecha]],"mmm")</f>
        <v>ene</v>
      </c>
    </row>
    <row r="680" spans="1:18">
      <c r="A680" s="439">
        <v>46047</v>
      </c>
      <c r="B680" s="422" t="s">
        <v>709</v>
      </c>
      <c r="C680" s="341" t="str">
        <f>LEFT(B680,FIND("@",B680)-2)</f>
        <v>Sacramento Kings</v>
      </c>
      <c r="D680" s="341">
        <v>113</v>
      </c>
      <c r="E680" s="342">
        <v>116</v>
      </c>
      <c r="F680" s="333">
        <f>IF(E680&gt;D680, 1, 0)</f>
        <v>1</v>
      </c>
      <c r="G680" s="341" t="str">
        <f>MID(B680,FIND("@",B680)+2,LEN(B680)-FIND("@",B680)-1)</f>
        <v>Detroit Pistons</v>
      </c>
      <c r="H680" s="341">
        <v>116</v>
      </c>
      <c r="I680" s="342">
        <v>139</v>
      </c>
      <c r="J680" s="333">
        <f>IF(I680&gt;H680, 1, 0)</f>
        <v>1</v>
      </c>
      <c r="K680" s="341">
        <f>+D680+H680</f>
        <v>229</v>
      </c>
      <c r="L680" s="342">
        <f>E680+I680</f>
        <v>255</v>
      </c>
      <c r="M680" s="333">
        <f>IF(L680&gt;K680, 1, 0)</f>
        <v>1</v>
      </c>
      <c r="N680" s="343">
        <f>(+H680-D680)</f>
        <v>3</v>
      </c>
      <c r="O680" s="449">
        <f>I680-E680</f>
        <v>23</v>
      </c>
      <c r="P680" s="289">
        <f>IF(OR(AND(N680&gt;0,O680&gt;0),AND(N680&lt;0,O680&lt;0)),1,0)</f>
        <v>1</v>
      </c>
      <c r="Q680" s="460">
        <f>WEEKNUM(tblResultadosNBA[[#This Row],[Fecha]],2)</f>
        <v>4</v>
      </c>
      <c r="R680" s="460" t="str">
        <f>TEXT(tblResultadosNBA[[#This Row],[Fecha]],"mmm")</f>
        <v>ene</v>
      </c>
    </row>
    <row r="681" spans="1:18">
      <c r="A681" s="419">
        <v>46047</v>
      </c>
      <c r="B681" s="302" t="s">
        <v>296</v>
      </c>
      <c r="C681" s="177" t="str">
        <f t="shared" ref="C681:C685" si="704">LEFT(B681,FIND("@",B681)-2)</f>
        <v>Golden State Warriors</v>
      </c>
      <c r="D681" s="177">
        <v>116</v>
      </c>
      <c r="E681" s="336">
        <v>111</v>
      </c>
      <c r="F681" s="327">
        <f t="shared" ref="F681:F685" si="705">IF(E681&gt;D681, 1, 0)</f>
        <v>0</v>
      </c>
      <c r="G681" s="177" t="str">
        <f t="shared" ref="G681:G685" si="706">MID(B681,FIND("@",B681)+2,LEN(B681)-FIND("@",B681)-1)</f>
        <v>Minnesota Timberwolves</v>
      </c>
      <c r="H681" s="177">
        <v>119</v>
      </c>
      <c r="I681" s="336">
        <v>85</v>
      </c>
      <c r="J681" s="327">
        <f t="shared" ref="J681:J685" si="707">IF(I681&gt;H681, 1, 0)</f>
        <v>0</v>
      </c>
      <c r="K681" s="177">
        <f t="shared" ref="K681:K685" si="708">+D681+H681</f>
        <v>235</v>
      </c>
      <c r="L681" s="336">
        <f t="shared" ref="L681:L685" si="709">E681+I681</f>
        <v>196</v>
      </c>
      <c r="M681" s="327">
        <f t="shared" ref="M681:M685" si="710">IF(L681&gt;K681, 1, 0)</f>
        <v>0</v>
      </c>
      <c r="N681" s="337">
        <f t="shared" ref="N681:N685" si="711">(+H681-D681)</f>
        <v>3</v>
      </c>
      <c r="O681" s="395">
        <f t="shared" ref="O681:O685" si="712">I681-E681</f>
        <v>-26</v>
      </c>
      <c r="P681" s="289">
        <f t="shared" ref="P681:P685" si="713">IF(OR(AND(N681&gt;0,O681&gt;0),AND(N681&lt;0,O681&lt;0)),1,0)</f>
        <v>0</v>
      </c>
      <c r="Q681" s="460">
        <f>WEEKNUM(tblResultadosNBA[[#This Row],[Fecha]],2)</f>
        <v>4</v>
      </c>
      <c r="R681" s="460" t="str">
        <f>TEXT(tblResultadosNBA[[#This Row],[Fecha]],"mmm")</f>
        <v>ene</v>
      </c>
    </row>
    <row r="682" spans="1:18">
      <c r="A682" s="419">
        <v>46047</v>
      </c>
      <c r="B682" s="302" t="s">
        <v>710</v>
      </c>
      <c r="C682" s="177" t="str">
        <f t="shared" si="704"/>
        <v>Toronto Raptors</v>
      </c>
      <c r="D682" s="177">
        <v>112</v>
      </c>
      <c r="E682" s="336">
        <v>103</v>
      </c>
      <c r="F682" s="327">
        <f t="shared" si="705"/>
        <v>0</v>
      </c>
      <c r="G682" s="177" t="str">
        <f t="shared" si="706"/>
        <v>Oklahoma City Thunder</v>
      </c>
      <c r="H682" s="177">
        <v>119</v>
      </c>
      <c r="I682" s="336">
        <v>101</v>
      </c>
      <c r="J682" s="327">
        <f t="shared" si="707"/>
        <v>0</v>
      </c>
      <c r="K682" s="177">
        <f t="shared" si="708"/>
        <v>231</v>
      </c>
      <c r="L682" s="336">
        <f t="shared" si="709"/>
        <v>204</v>
      </c>
      <c r="M682" s="327">
        <f t="shared" si="710"/>
        <v>0</v>
      </c>
      <c r="N682" s="337">
        <f t="shared" si="711"/>
        <v>7</v>
      </c>
      <c r="O682" s="395">
        <f t="shared" si="712"/>
        <v>-2</v>
      </c>
      <c r="P682" s="289">
        <f t="shared" si="713"/>
        <v>0</v>
      </c>
      <c r="Q682" s="460">
        <f>WEEKNUM(tblResultadosNBA[[#This Row],[Fecha]],2)</f>
        <v>4</v>
      </c>
      <c r="R682" s="460" t="str">
        <f>TEXT(tblResultadosNBA[[#This Row],[Fecha]],"mmm")</f>
        <v>ene</v>
      </c>
    </row>
    <row r="683" spans="1:18">
      <c r="A683" s="419">
        <v>46047</v>
      </c>
      <c r="B683" s="302" t="s">
        <v>297</v>
      </c>
      <c r="C683" s="177" t="str">
        <f t="shared" si="704"/>
        <v>New Orleans Pelicans</v>
      </c>
      <c r="D683" s="177">
        <v>116</v>
      </c>
      <c r="E683" s="336">
        <v>104</v>
      </c>
      <c r="F683" s="327">
        <f t="shared" si="705"/>
        <v>0</v>
      </c>
      <c r="G683" s="177" t="str">
        <f t="shared" si="706"/>
        <v>San Antonio Spurs</v>
      </c>
      <c r="H683" s="177">
        <v>120</v>
      </c>
      <c r="I683" s="336">
        <v>95</v>
      </c>
      <c r="J683" s="327">
        <f t="shared" si="707"/>
        <v>0</v>
      </c>
      <c r="K683" s="177">
        <f t="shared" si="708"/>
        <v>236</v>
      </c>
      <c r="L683" s="336">
        <f t="shared" si="709"/>
        <v>199</v>
      </c>
      <c r="M683" s="327">
        <f t="shared" si="710"/>
        <v>0</v>
      </c>
      <c r="N683" s="337">
        <f t="shared" si="711"/>
        <v>4</v>
      </c>
      <c r="O683" s="395">
        <f t="shared" si="712"/>
        <v>-9</v>
      </c>
      <c r="P683" s="289">
        <f t="shared" si="713"/>
        <v>0</v>
      </c>
      <c r="Q683" s="460">
        <f>WEEKNUM(tblResultadosNBA[[#This Row],[Fecha]],2)</f>
        <v>4</v>
      </c>
      <c r="R683" s="460" t="str">
        <f>TEXT(tblResultadosNBA[[#This Row],[Fecha]],"mmm")</f>
        <v>ene</v>
      </c>
    </row>
    <row r="684" spans="1:18">
      <c r="A684" s="419">
        <v>46047</v>
      </c>
      <c r="B684" s="302" t="s">
        <v>298</v>
      </c>
      <c r="C684" s="177" t="str">
        <f t="shared" si="704"/>
        <v>Miami Heat</v>
      </c>
      <c r="D684" s="177">
        <v>111</v>
      </c>
      <c r="E684" s="336">
        <v>111</v>
      </c>
      <c r="F684" s="327">
        <f t="shared" si="705"/>
        <v>0</v>
      </c>
      <c r="G684" s="177" t="str">
        <f t="shared" si="706"/>
        <v>Phoenix Suns</v>
      </c>
      <c r="H684" s="177">
        <v>113</v>
      </c>
      <c r="I684" s="336">
        <v>102</v>
      </c>
      <c r="J684" s="327">
        <f t="shared" si="707"/>
        <v>0</v>
      </c>
      <c r="K684" s="177">
        <f t="shared" si="708"/>
        <v>224</v>
      </c>
      <c r="L684" s="336">
        <f t="shared" si="709"/>
        <v>213</v>
      </c>
      <c r="M684" s="327">
        <f t="shared" si="710"/>
        <v>0</v>
      </c>
      <c r="N684" s="337">
        <f t="shared" si="711"/>
        <v>2</v>
      </c>
      <c r="O684" s="395">
        <f t="shared" si="712"/>
        <v>-9</v>
      </c>
      <c r="P684" s="289">
        <f t="shared" si="713"/>
        <v>0</v>
      </c>
      <c r="Q684" s="460">
        <f>WEEKNUM(tblResultadosNBA[[#This Row],[Fecha]],2)</f>
        <v>4</v>
      </c>
      <c r="R684" s="460" t="str">
        <f>TEXT(tblResultadosNBA[[#This Row],[Fecha]],"mmm")</f>
        <v>ene</v>
      </c>
    </row>
    <row r="685" spans="1:18">
      <c r="A685" s="445">
        <v>46047</v>
      </c>
      <c r="B685" s="331" t="s">
        <v>711</v>
      </c>
      <c r="C685" s="286" t="str">
        <f t="shared" si="704"/>
        <v>Brooklyn Nets</v>
      </c>
      <c r="D685" s="286">
        <v>111</v>
      </c>
      <c r="E685" s="431">
        <v>89</v>
      </c>
      <c r="F685" s="332">
        <f t="shared" si="705"/>
        <v>0</v>
      </c>
      <c r="G685" s="286" t="str">
        <f t="shared" si="706"/>
        <v>LA Clippers</v>
      </c>
      <c r="H685" s="286">
        <v>113</v>
      </c>
      <c r="I685" s="431">
        <v>126</v>
      </c>
      <c r="J685" s="332">
        <f t="shared" si="707"/>
        <v>1</v>
      </c>
      <c r="K685" s="286">
        <f t="shared" si="708"/>
        <v>224</v>
      </c>
      <c r="L685" s="431">
        <f t="shared" si="709"/>
        <v>215</v>
      </c>
      <c r="M685" s="332">
        <f t="shared" si="710"/>
        <v>0</v>
      </c>
      <c r="N685" s="432">
        <f t="shared" si="711"/>
        <v>2</v>
      </c>
      <c r="O685" s="451">
        <f t="shared" si="712"/>
        <v>37</v>
      </c>
      <c r="P685" s="433">
        <f t="shared" si="713"/>
        <v>1</v>
      </c>
      <c r="Q685" s="460">
        <f>WEEKNUM(tblResultadosNBA[[#This Row],[Fecha]],2)</f>
        <v>4</v>
      </c>
      <c r="R685" s="460" t="str">
        <f>TEXT(tblResultadosNBA[[#This Row],[Fecha]],"mmm")</f>
        <v>ene</v>
      </c>
    </row>
    <row r="686" spans="1:18">
      <c r="A686" s="439">
        <v>46048</v>
      </c>
      <c r="B686" s="422" t="s">
        <v>299</v>
      </c>
      <c r="C686" s="341" t="str">
        <f>LEFT(B686,FIND("@",B686)-2)</f>
        <v>Indiana Pacers</v>
      </c>
      <c r="D686" s="341">
        <v>115</v>
      </c>
      <c r="E686" s="342">
        <v>116</v>
      </c>
      <c r="F686" s="333">
        <f>IF(E686&gt;D686, 1, 0)</f>
        <v>1</v>
      </c>
      <c r="G686" s="341" t="str">
        <f>MID(B686,FIND("@",B686)+2,LEN(B686)-FIND("@",B686)-1)</f>
        <v>Atlanta Hawks</v>
      </c>
      <c r="H686" s="341">
        <v>119</v>
      </c>
      <c r="I686" s="342">
        <v>132</v>
      </c>
      <c r="J686" s="333">
        <f>IF(I686&gt;H686, 1, 0)</f>
        <v>1</v>
      </c>
      <c r="K686" s="341">
        <f>+D686+H686</f>
        <v>234</v>
      </c>
      <c r="L686" s="342">
        <f>E686+I686</f>
        <v>248</v>
      </c>
      <c r="M686" s="333">
        <f>IF(L686&gt;K686, 1, 0)</f>
        <v>1</v>
      </c>
      <c r="N686" s="343">
        <f>(+H686-D686)</f>
        <v>4</v>
      </c>
      <c r="O686" s="449">
        <f>I686-E686</f>
        <v>16</v>
      </c>
      <c r="P686" s="289">
        <f>IF(OR(AND(N686&gt;0,O686&gt;0),AND(N686&lt;0,O686&lt;0)),1,0)</f>
        <v>1</v>
      </c>
      <c r="Q686" s="460">
        <f>WEEKNUM(tblResultadosNBA[[#This Row],[Fecha]],2)</f>
        <v>5</v>
      </c>
      <c r="R686" s="460" t="str">
        <f>TEXT(tblResultadosNBA[[#This Row],[Fecha]],"mmm")</f>
        <v>ene</v>
      </c>
    </row>
    <row r="687" spans="1:18">
      <c r="A687" s="419">
        <v>46048</v>
      </c>
      <c r="B687" s="302" t="s">
        <v>712</v>
      </c>
      <c r="C687" s="177" t="str">
        <f t="shared" ref="C687:C692" si="714">LEFT(B687,FIND("@",B687)-2)</f>
        <v>Philadelphia 76ers</v>
      </c>
      <c r="D687" s="177">
        <v>115</v>
      </c>
      <c r="E687" s="336">
        <v>93</v>
      </c>
      <c r="F687" s="327">
        <f t="shared" ref="F687:F692" si="715">IF(E687&gt;D687, 1, 0)</f>
        <v>0</v>
      </c>
      <c r="G687" s="177" t="str">
        <f t="shared" ref="G687:G692" si="716">MID(B687,FIND("@",B687)+2,LEN(B687)-FIND("@",B687)-1)</f>
        <v>Charlotte Hornets</v>
      </c>
      <c r="H687" s="177">
        <v>115</v>
      </c>
      <c r="I687" s="336">
        <v>130</v>
      </c>
      <c r="J687" s="327">
        <f t="shared" ref="J687:J692" si="717">IF(I687&gt;H687, 1, 0)</f>
        <v>1</v>
      </c>
      <c r="K687" s="177">
        <f t="shared" ref="K687:K692" si="718">+D687+H687</f>
        <v>230</v>
      </c>
      <c r="L687" s="336">
        <f t="shared" ref="L687:L692" si="719">E687+I687</f>
        <v>223</v>
      </c>
      <c r="M687" s="327">
        <f t="shared" ref="M687:M692" si="720">IF(L687&gt;K687, 1, 0)</f>
        <v>0</v>
      </c>
      <c r="N687" s="337">
        <f t="shared" ref="N687:N692" si="721">(+H687-D687)</f>
        <v>0</v>
      </c>
      <c r="O687" s="395">
        <f t="shared" ref="O687:O692" si="722">I687-E687</f>
        <v>37</v>
      </c>
      <c r="P687" s="289">
        <f t="shared" ref="P687:P692" si="723">IF(OR(AND(N687&gt;0,O687&gt;0),AND(N687&lt;0,O687&lt;0)),1,0)</f>
        <v>0</v>
      </c>
      <c r="Q687" s="460">
        <f>WEEKNUM(tblResultadosNBA[[#This Row],[Fecha]],2)</f>
        <v>5</v>
      </c>
      <c r="R687" s="460" t="str">
        <f>TEXT(tblResultadosNBA[[#This Row],[Fecha]],"mmm")</f>
        <v>ene</v>
      </c>
    </row>
    <row r="688" spans="1:18">
      <c r="A688" s="419">
        <v>46048</v>
      </c>
      <c r="B688" s="302" t="s">
        <v>300</v>
      </c>
      <c r="C688" s="177" t="str">
        <f t="shared" si="714"/>
        <v>Orlando Magic</v>
      </c>
      <c r="D688" s="177">
        <v>112</v>
      </c>
      <c r="E688" s="336">
        <v>98</v>
      </c>
      <c r="F688" s="327">
        <f t="shared" si="715"/>
        <v>0</v>
      </c>
      <c r="G688" s="177" t="str">
        <f t="shared" si="716"/>
        <v>Cleveland Cavaliers</v>
      </c>
      <c r="H688" s="177">
        <v>116</v>
      </c>
      <c r="I688" s="336">
        <v>114</v>
      </c>
      <c r="J688" s="327">
        <f t="shared" si="717"/>
        <v>0</v>
      </c>
      <c r="K688" s="177">
        <f t="shared" si="718"/>
        <v>228</v>
      </c>
      <c r="L688" s="336">
        <f t="shared" si="719"/>
        <v>212</v>
      </c>
      <c r="M688" s="327">
        <f t="shared" si="720"/>
        <v>0</v>
      </c>
      <c r="N688" s="337">
        <f t="shared" si="721"/>
        <v>4</v>
      </c>
      <c r="O688" s="395">
        <f t="shared" si="722"/>
        <v>16</v>
      </c>
      <c r="P688" s="289">
        <f t="shared" si="723"/>
        <v>1</v>
      </c>
      <c r="Q688" s="460">
        <f>WEEKNUM(tblResultadosNBA[[#This Row],[Fecha]],2)</f>
        <v>5</v>
      </c>
      <c r="R688" s="460" t="str">
        <f>TEXT(tblResultadosNBA[[#This Row],[Fecha]],"mmm")</f>
        <v>ene</v>
      </c>
    </row>
    <row r="689" spans="1:18">
      <c r="A689" s="419">
        <v>46048</v>
      </c>
      <c r="B689" s="302" t="s">
        <v>713</v>
      </c>
      <c r="C689" s="177" t="str">
        <f t="shared" si="714"/>
        <v>Portland Trail Blazers</v>
      </c>
      <c r="D689" s="177">
        <v>111</v>
      </c>
      <c r="E689" s="336">
        <v>94</v>
      </c>
      <c r="F689" s="327">
        <f t="shared" si="715"/>
        <v>0</v>
      </c>
      <c r="G689" s="177" t="str">
        <f t="shared" si="716"/>
        <v>Boston Celtics</v>
      </c>
      <c r="H689" s="177">
        <v>116</v>
      </c>
      <c r="I689" s="336">
        <v>102</v>
      </c>
      <c r="J689" s="327">
        <f t="shared" si="717"/>
        <v>0</v>
      </c>
      <c r="K689" s="177">
        <f t="shared" si="718"/>
        <v>227</v>
      </c>
      <c r="L689" s="336">
        <f t="shared" si="719"/>
        <v>196</v>
      </c>
      <c r="M689" s="327">
        <f t="shared" si="720"/>
        <v>0</v>
      </c>
      <c r="N689" s="337">
        <f t="shared" si="721"/>
        <v>5</v>
      </c>
      <c r="O689" s="395">
        <f t="shared" si="722"/>
        <v>8</v>
      </c>
      <c r="P689" s="289">
        <f t="shared" si="723"/>
        <v>1</v>
      </c>
      <c r="Q689" s="460">
        <f>WEEKNUM(tblResultadosNBA[[#This Row],[Fecha]],2)</f>
        <v>5</v>
      </c>
      <c r="R689" s="460" t="str">
        <f>TEXT(tblResultadosNBA[[#This Row],[Fecha]],"mmm")</f>
        <v>ene</v>
      </c>
    </row>
    <row r="690" spans="1:18">
      <c r="A690" s="419">
        <v>46048</v>
      </c>
      <c r="B690" s="302" t="s">
        <v>301</v>
      </c>
      <c r="C690" s="177" t="str">
        <f t="shared" si="714"/>
        <v>Los Angeles Lakers</v>
      </c>
      <c r="D690" s="177">
        <v>119</v>
      </c>
      <c r="E690" s="336">
        <v>129</v>
      </c>
      <c r="F690" s="327">
        <f t="shared" si="715"/>
        <v>1</v>
      </c>
      <c r="G690" s="177" t="str">
        <f t="shared" si="716"/>
        <v>Chicago Bulls</v>
      </c>
      <c r="H690" s="177">
        <v>120</v>
      </c>
      <c r="I690" s="336">
        <v>118</v>
      </c>
      <c r="J690" s="327">
        <f t="shared" si="717"/>
        <v>0</v>
      </c>
      <c r="K690" s="177">
        <f t="shared" si="718"/>
        <v>239</v>
      </c>
      <c r="L690" s="336">
        <f t="shared" si="719"/>
        <v>247</v>
      </c>
      <c r="M690" s="327">
        <f t="shared" si="720"/>
        <v>1</v>
      </c>
      <c r="N690" s="337">
        <f t="shared" si="721"/>
        <v>1</v>
      </c>
      <c r="O690" s="395">
        <f t="shared" si="722"/>
        <v>-11</v>
      </c>
      <c r="P690" s="289">
        <f t="shared" si="723"/>
        <v>0</v>
      </c>
      <c r="Q690" s="460">
        <f>WEEKNUM(tblResultadosNBA[[#This Row],[Fecha]],2)</f>
        <v>5</v>
      </c>
      <c r="R690" s="460" t="str">
        <f>TEXT(tblResultadosNBA[[#This Row],[Fecha]],"mmm")</f>
        <v>ene</v>
      </c>
    </row>
    <row r="691" spans="1:18">
      <c r="A691" s="419">
        <v>46048</v>
      </c>
      <c r="B691" s="302" t="s">
        <v>714</v>
      </c>
      <c r="C691" s="177" t="str">
        <f t="shared" si="714"/>
        <v>Memphis Grizzlies</v>
      </c>
      <c r="D691" s="177">
        <v>114</v>
      </c>
      <c r="E691" s="336">
        <v>99</v>
      </c>
      <c r="F691" s="327">
        <f t="shared" si="715"/>
        <v>0</v>
      </c>
      <c r="G691" s="177" t="str">
        <f t="shared" si="716"/>
        <v>Houston Rockets</v>
      </c>
      <c r="H691" s="177">
        <v>120</v>
      </c>
      <c r="I691" s="336">
        <v>108</v>
      </c>
      <c r="J691" s="327">
        <f t="shared" si="717"/>
        <v>0</v>
      </c>
      <c r="K691" s="177">
        <f t="shared" si="718"/>
        <v>234</v>
      </c>
      <c r="L691" s="336">
        <f t="shared" si="719"/>
        <v>207</v>
      </c>
      <c r="M691" s="327">
        <f t="shared" si="720"/>
        <v>0</v>
      </c>
      <c r="N691" s="337">
        <f t="shared" si="721"/>
        <v>6</v>
      </c>
      <c r="O691" s="395">
        <f t="shared" si="722"/>
        <v>9</v>
      </c>
      <c r="P691" s="289">
        <f t="shared" si="723"/>
        <v>1</v>
      </c>
      <c r="Q691" s="460">
        <f>WEEKNUM(tblResultadosNBA[[#This Row],[Fecha]],2)</f>
        <v>5</v>
      </c>
      <c r="R691" s="460" t="str">
        <f>TEXT(tblResultadosNBA[[#This Row],[Fecha]],"mmm")</f>
        <v>ene</v>
      </c>
    </row>
    <row r="692" spans="1:18">
      <c r="A692" s="445">
        <v>46048</v>
      </c>
      <c r="B692" s="331" t="s">
        <v>296</v>
      </c>
      <c r="C692" s="286" t="str">
        <f t="shared" si="714"/>
        <v>Golden State Warriors</v>
      </c>
      <c r="D692" s="286">
        <v>114</v>
      </c>
      <c r="E692" s="431">
        <v>83</v>
      </c>
      <c r="F692" s="332">
        <f t="shared" si="715"/>
        <v>0</v>
      </c>
      <c r="G692" s="286" t="str">
        <f t="shared" si="716"/>
        <v>Minnesota Timberwolves</v>
      </c>
      <c r="H692" s="286">
        <v>116</v>
      </c>
      <c r="I692" s="431">
        <v>108</v>
      </c>
      <c r="J692" s="332">
        <f t="shared" si="717"/>
        <v>0</v>
      </c>
      <c r="K692" s="286">
        <f t="shared" si="718"/>
        <v>230</v>
      </c>
      <c r="L692" s="431">
        <f t="shared" si="719"/>
        <v>191</v>
      </c>
      <c r="M692" s="332">
        <f t="shared" si="720"/>
        <v>0</v>
      </c>
      <c r="N692" s="432">
        <f t="shared" si="721"/>
        <v>2</v>
      </c>
      <c r="O692" s="451">
        <f t="shared" si="722"/>
        <v>25</v>
      </c>
      <c r="P692" s="433">
        <f t="shared" si="723"/>
        <v>1</v>
      </c>
      <c r="Q692" s="460">
        <f>WEEKNUM(tblResultadosNBA[[#This Row],[Fecha]],2)</f>
        <v>5</v>
      </c>
      <c r="R692" s="460" t="str">
        <f>TEXT(tblResultadosNBA[[#This Row],[Fecha]],"mmm")</f>
        <v>ene</v>
      </c>
    </row>
    <row r="693" spans="1:18">
      <c r="A693" s="439">
        <v>46049</v>
      </c>
      <c r="B693" s="422" t="s">
        <v>302</v>
      </c>
      <c r="C693" s="341" t="str">
        <f>LEFT(B693,FIND("@",B693)-2)</f>
        <v>Portland Trail Blazers</v>
      </c>
      <c r="D693" s="341">
        <v>115</v>
      </c>
      <c r="E693" s="342">
        <v>111</v>
      </c>
      <c r="F693" s="333">
        <f>IF(E693&gt;D693, 1, 0)</f>
        <v>0</v>
      </c>
      <c r="G693" s="341" t="str">
        <f>MID(B693,FIND("@",B693)+2,LEN(B693)-FIND("@",B693)-1)</f>
        <v>Washington Wizards</v>
      </c>
      <c r="H693" s="341">
        <v>113</v>
      </c>
      <c r="I693" s="342">
        <v>115</v>
      </c>
      <c r="J693" s="333">
        <f>IF(I693&gt;H693, 1, 0)</f>
        <v>1</v>
      </c>
      <c r="K693" s="341">
        <f>+D693+H693</f>
        <v>228</v>
      </c>
      <c r="L693" s="342">
        <f>E693+I693</f>
        <v>226</v>
      </c>
      <c r="M693" s="333">
        <f>IF(L693&gt;K693, 1, 0)</f>
        <v>0</v>
      </c>
      <c r="N693" s="343">
        <f>(+H693-D693)</f>
        <v>-2</v>
      </c>
      <c r="O693" s="449">
        <f>I693-E693</f>
        <v>4</v>
      </c>
      <c r="P693" s="289">
        <f>IF(OR(AND(N693&gt;0,O693&gt;0),AND(N693&lt;0,O693&lt;0)),1,0)</f>
        <v>0</v>
      </c>
      <c r="Q693" s="460">
        <f>WEEKNUM(tblResultadosNBA[[#This Row],[Fecha]],2)</f>
        <v>5</v>
      </c>
      <c r="R693" s="460" t="str">
        <f>TEXT(tblResultadosNBA[[#This Row],[Fecha]],"mmm")</f>
        <v>ene</v>
      </c>
    </row>
    <row r="694" spans="1:18">
      <c r="A694" s="419">
        <v>46049</v>
      </c>
      <c r="B694" s="302" t="s">
        <v>303</v>
      </c>
      <c r="C694" s="177" t="str">
        <f t="shared" ref="C694:C699" si="724">LEFT(B694,FIND("@",B694)-2)</f>
        <v>Sacramento Kings</v>
      </c>
      <c r="D694" s="177">
        <v>111</v>
      </c>
      <c r="E694" s="336">
        <v>87</v>
      </c>
      <c r="F694" s="327">
        <f t="shared" ref="F694:F699" si="725">IF(E694&gt;D694, 1, 0)</f>
        <v>0</v>
      </c>
      <c r="G694" s="177" t="str">
        <f t="shared" ref="G694:G699" si="726">MID(B694,FIND("@",B694)+2,LEN(B694)-FIND("@",B694)-1)</f>
        <v>New York Knicks</v>
      </c>
      <c r="H694" s="177">
        <v>119</v>
      </c>
      <c r="I694" s="336">
        <v>103</v>
      </c>
      <c r="J694" s="327">
        <f t="shared" ref="J694:J699" si="727">IF(I694&gt;H694, 1, 0)</f>
        <v>0</v>
      </c>
      <c r="K694" s="177">
        <f t="shared" ref="K694:K699" si="728">+D694+H694</f>
        <v>230</v>
      </c>
      <c r="L694" s="336">
        <f t="shared" ref="L694:L699" si="729">E694+I694</f>
        <v>190</v>
      </c>
      <c r="M694" s="327">
        <f t="shared" ref="M694:M699" si="730">IF(L694&gt;K694, 1, 0)</f>
        <v>0</v>
      </c>
      <c r="N694" s="337">
        <f t="shared" ref="N694:N699" si="731">(+H694-D694)</f>
        <v>8</v>
      </c>
      <c r="O694" s="395">
        <f t="shared" ref="O694:O699" si="732">I694-E694</f>
        <v>16</v>
      </c>
      <c r="P694" s="289">
        <f t="shared" ref="P694:P699" si="733">IF(OR(AND(N694&gt;0,O694&gt;0),AND(N694&lt;0,O694&lt;0)),1,0)</f>
        <v>1</v>
      </c>
      <c r="Q694" s="460">
        <f>WEEKNUM(tblResultadosNBA[[#This Row],[Fecha]],2)</f>
        <v>5</v>
      </c>
      <c r="R694" s="460" t="str">
        <f>TEXT(tblResultadosNBA[[#This Row],[Fecha]],"mmm")</f>
        <v>ene</v>
      </c>
    </row>
    <row r="695" spans="1:18">
      <c r="A695" s="419">
        <v>46049</v>
      </c>
      <c r="B695" s="302" t="s">
        <v>304</v>
      </c>
      <c r="C695" s="177" t="str">
        <f t="shared" si="724"/>
        <v>Milwaukee Bucks</v>
      </c>
      <c r="D695" s="177">
        <v>113</v>
      </c>
      <c r="E695" s="336">
        <v>122</v>
      </c>
      <c r="F695" s="327">
        <f t="shared" si="725"/>
        <v>1</v>
      </c>
      <c r="G695" s="177" t="str">
        <f t="shared" si="726"/>
        <v>Philadelphia 76ers</v>
      </c>
      <c r="H695" s="177">
        <v>117</v>
      </c>
      <c r="I695" s="336">
        <v>139</v>
      </c>
      <c r="J695" s="327">
        <f t="shared" si="727"/>
        <v>1</v>
      </c>
      <c r="K695" s="177">
        <f t="shared" si="728"/>
        <v>230</v>
      </c>
      <c r="L695" s="336">
        <f t="shared" si="729"/>
        <v>261</v>
      </c>
      <c r="M695" s="327">
        <f t="shared" si="730"/>
        <v>1</v>
      </c>
      <c r="N695" s="337">
        <f t="shared" si="731"/>
        <v>4</v>
      </c>
      <c r="O695" s="395">
        <f t="shared" si="732"/>
        <v>17</v>
      </c>
      <c r="P695" s="289">
        <f t="shared" si="733"/>
        <v>1</v>
      </c>
      <c r="Q695" s="460">
        <f>WEEKNUM(tblResultadosNBA[[#This Row],[Fecha]],2)</f>
        <v>5</v>
      </c>
      <c r="R695" s="460" t="str">
        <f>TEXT(tblResultadosNBA[[#This Row],[Fecha]],"mmm")</f>
        <v>ene</v>
      </c>
    </row>
    <row r="696" spans="1:18">
      <c r="A696" s="419">
        <v>46049</v>
      </c>
      <c r="B696" s="302" t="s">
        <v>305</v>
      </c>
      <c r="C696" s="177" t="str">
        <f t="shared" si="724"/>
        <v>New Orleans Pelicans</v>
      </c>
      <c r="D696" s="177">
        <v>109</v>
      </c>
      <c r="E696" s="336">
        <v>95</v>
      </c>
      <c r="F696" s="327">
        <f t="shared" si="725"/>
        <v>0</v>
      </c>
      <c r="G696" s="177" t="str">
        <f t="shared" si="726"/>
        <v>Oklahoma City Thunder</v>
      </c>
      <c r="H696" s="177">
        <v>120</v>
      </c>
      <c r="I696" s="336">
        <v>104</v>
      </c>
      <c r="J696" s="327">
        <f t="shared" si="727"/>
        <v>0</v>
      </c>
      <c r="K696" s="177">
        <f t="shared" si="728"/>
        <v>229</v>
      </c>
      <c r="L696" s="336">
        <f t="shared" si="729"/>
        <v>199</v>
      </c>
      <c r="M696" s="327">
        <f t="shared" si="730"/>
        <v>0</v>
      </c>
      <c r="N696" s="337">
        <f t="shared" si="731"/>
        <v>11</v>
      </c>
      <c r="O696" s="395">
        <f t="shared" si="732"/>
        <v>9</v>
      </c>
      <c r="P696" s="289">
        <f t="shared" si="733"/>
        <v>1</v>
      </c>
      <c r="Q696" s="460">
        <f>WEEKNUM(tblResultadosNBA[[#This Row],[Fecha]],2)</f>
        <v>5</v>
      </c>
      <c r="R696" s="460" t="str">
        <f>TEXT(tblResultadosNBA[[#This Row],[Fecha]],"mmm")</f>
        <v>ene</v>
      </c>
    </row>
    <row r="697" spans="1:18">
      <c r="A697" s="419">
        <v>46049</v>
      </c>
      <c r="B697" s="302" t="s">
        <v>715</v>
      </c>
      <c r="C697" s="177" t="str">
        <f t="shared" si="724"/>
        <v>Detroit Pistons</v>
      </c>
      <c r="D697" s="177">
        <v>112</v>
      </c>
      <c r="E697" s="336">
        <v>109</v>
      </c>
      <c r="F697" s="327">
        <f t="shared" si="725"/>
        <v>0</v>
      </c>
      <c r="G697" s="177" t="str">
        <f t="shared" si="726"/>
        <v>Denver Nuggets</v>
      </c>
      <c r="H697" s="177">
        <v>116</v>
      </c>
      <c r="I697" s="336">
        <v>107</v>
      </c>
      <c r="J697" s="327">
        <f t="shared" si="727"/>
        <v>0</v>
      </c>
      <c r="K697" s="177">
        <f t="shared" si="728"/>
        <v>228</v>
      </c>
      <c r="L697" s="336">
        <f t="shared" si="729"/>
        <v>216</v>
      </c>
      <c r="M697" s="327">
        <f t="shared" si="730"/>
        <v>0</v>
      </c>
      <c r="N697" s="337">
        <f t="shared" si="731"/>
        <v>4</v>
      </c>
      <c r="O697" s="395">
        <f t="shared" si="732"/>
        <v>-2</v>
      </c>
      <c r="P697" s="289">
        <f t="shared" si="733"/>
        <v>0</v>
      </c>
      <c r="Q697" s="460">
        <f>WEEKNUM(tblResultadosNBA[[#This Row],[Fecha]],2)</f>
        <v>5</v>
      </c>
      <c r="R697" s="460" t="str">
        <f>TEXT(tblResultadosNBA[[#This Row],[Fecha]],"mmm")</f>
        <v>ene</v>
      </c>
    </row>
    <row r="698" spans="1:18">
      <c r="A698" s="419">
        <v>46049</v>
      </c>
      <c r="B698" s="302" t="s">
        <v>716</v>
      </c>
      <c r="C698" s="177" t="str">
        <f t="shared" si="724"/>
        <v>Brooklyn Nets</v>
      </c>
      <c r="D698" s="177">
        <v>109</v>
      </c>
      <c r="E698" s="336">
        <v>102</v>
      </c>
      <c r="F698" s="327">
        <f t="shared" si="725"/>
        <v>0</v>
      </c>
      <c r="G698" s="177" t="str">
        <f t="shared" si="726"/>
        <v>Phoenix Suns</v>
      </c>
      <c r="H698" s="177">
        <v>113</v>
      </c>
      <c r="I698" s="336">
        <v>106</v>
      </c>
      <c r="J698" s="327">
        <f t="shared" si="727"/>
        <v>0</v>
      </c>
      <c r="K698" s="177">
        <f t="shared" si="728"/>
        <v>222</v>
      </c>
      <c r="L698" s="336">
        <f t="shared" si="729"/>
        <v>208</v>
      </c>
      <c r="M698" s="327">
        <f t="shared" si="730"/>
        <v>0</v>
      </c>
      <c r="N698" s="337">
        <f t="shared" si="731"/>
        <v>4</v>
      </c>
      <c r="O698" s="395">
        <f t="shared" si="732"/>
        <v>4</v>
      </c>
      <c r="P698" s="289">
        <f t="shared" si="733"/>
        <v>1</v>
      </c>
      <c r="Q698" s="460">
        <f>WEEKNUM(tblResultadosNBA[[#This Row],[Fecha]],2)</f>
        <v>5</v>
      </c>
      <c r="R698" s="460" t="str">
        <f>TEXT(tblResultadosNBA[[#This Row],[Fecha]],"mmm")</f>
        <v>ene</v>
      </c>
    </row>
    <row r="699" spans="1:18">
      <c r="A699" s="445">
        <v>46049</v>
      </c>
      <c r="B699" s="331" t="s">
        <v>306</v>
      </c>
      <c r="C699" s="286" t="str">
        <f t="shared" si="724"/>
        <v>LA Clippers</v>
      </c>
      <c r="D699" s="286">
        <v>117</v>
      </c>
      <c r="E699" s="431">
        <v>115</v>
      </c>
      <c r="F699" s="332">
        <f t="shared" si="725"/>
        <v>0</v>
      </c>
      <c r="G699" s="286" t="str">
        <f t="shared" si="726"/>
        <v>Utah Jazz</v>
      </c>
      <c r="H699" s="286">
        <v>117</v>
      </c>
      <c r="I699" s="431">
        <v>103</v>
      </c>
      <c r="J699" s="332">
        <f t="shared" si="727"/>
        <v>0</v>
      </c>
      <c r="K699" s="286">
        <f t="shared" si="728"/>
        <v>234</v>
      </c>
      <c r="L699" s="431">
        <f t="shared" si="729"/>
        <v>218</v>
      </c>
      <c r="M699" s="332">
        <f t="shared" si="730"/>
        <v>0</v>
      </c>
      <c r="N699" s="432">
        <f t="shared" si="731"/>
        <v>0</v>
      </c>
      <c r="O699" s="451">
        <f t="shared" si="732"/>
        <v>-12</v>
      </c>
      <c r="P699" s="433">
        <f t="shared" si="733"/>
        <v>0</v>
      </c>
      <c r="Q699" s="460">
        <f>WEEKNUM(tblResultadosNBA[[#This Row],[Fecha]],2)</f>
        <v>5</v>
      </c>
      <c r="R699" s="460" t="str">
        <f>TEXT(tblResultadosNBA[[#This Row],[Fecha]],"mmm")</f>
        <v>ene</v>
      </c>
    </row>
    <row r="700" spans="1:18">
      <c r="A700" s="439">
        <v>46050</v>
      </c>
      <c r="B700" s="422" t="s">
        <v>307</v>
      </c>
      <c r="C700" s="341" t="str">
        <f>LEFT(B700,FIND("@",B700)-2)</f>
        <v>Los Angeles Lakers</v>
      </c>
      <c r="D700" s="341">
        <v>114</v>
      </c>
      <c r="E700" s="342">
        <v>99</v>
      </c>
      <c r="F700" s="333">
        <f>IF(E700&gt;D700, 1, 0)</f>
        <v>0</v>
      </c>
      <c r="G700" s="341" t="str">
        <f>MID(B700,FIND("@",B700)+2,LEN(B700)-FIND("@",B700)-1)</f>
        <v>Cleveland Cavaliers</v>
      </c>
      <c r="H700" s="341">
        <v>115</v>
      </c>
      <c r="I700" s="342">
        <v>129</v>
      </c>
      <c r="J700" s="333">
        <f>IF(I700&gt;H700, 1, 0)</f>
        <v>1</v>
      </c>
      <c r="K700" s="341">
        <f>+D700+H700</f>
        <v>229</v>
      </c>
      <c r="L700" s="342">
        <f>E700+I700</f>
        <v>228</v>
      </c>
      <c r="M700" s="333">
        <f>IF(L700&gt;K700, 1, 0)</f>
        <v>0</v>
      </c>
      <c r="N700" s="343">
        <f>(+H700-D700)</f>
        <v>1</v>
      </c>
      <c r="O700" s="449">
        <f>I700-E700</f>
        <v>30</v>
      </c>
      <c r="P700" s="289">
        <f>IF(OR(AND(N700&gt;0,O700&gt;0),AND(N700&lt;0,O700&lt;0)),1,0)</f>
        <v>1</v>
      </c>
      <c r="Q700" s="460">
        <f>WEEKNUM(tblResultadosNBA[[#This Row],[Fecha]],2)</f>
        <v>5</v>
      </c>
      <c r="R700" s="460" t="str">
        <f>TEXT(tblResultadosNBA[[#This Row],[Fecha]],"mmm")</f>
        <v>ene</v>
      </c>
    </row>
    <row r="701" spans="1:18">
      <c r="A701" s="419">
        <v>46050</v>
      </c>
      <c r="B701" s="302" t="s">
        <v>308</v>
      </c>
      <c r="C701" s="177" t="str">
        <f t="shared" ref="C701:C708" si="734">LEFT(B701,FIND("@",B701)-2)</f>
        <v>Chicago Bulls</v>
      </c>
      <c r="D701" s="177">
        <v>115</v>
      </c>
      <c r="E701" s="336">
        <v>110</v>
      </c>
      <c r="F701" s="327">
        <f t="shared" ref="F701:F708" si="735">IF(E701&gt;D701, 1, 0)</f>
        <v>0</v>
      </c>
      <c r="G701" s="177" t="str">
        <f t="shared" ref="G701:G708" si="736">MID(B701,FIND("@",B701)+2,LEN(B701)-FIND("@",B701)-1)</f>
        <v>Indiana Pacers</v>
      </c>
      <c r="H701" s="177">
        <v>116</v>
      </c>
      <c r="I701" s="336">
        <v>113</v>
      </c>
      <c r="J701" s="327">
        <f t="shared" ref="J701:J708" si="737">IF(I701&gt;H701, 1, 0)</f>
        <v>0</v>
      </c>
      <c r="K701" s="177">
        <f t="shared" ref="K701:K708" si="738">+D701+H701</f>
        <v>231</v>
      </c>
      <c r="L701" s="336">
        <f t="shared" ref="L701:L708" si="739">E701+I701</f>
        <v>223</v>
      </c>
      <c r="M701" s="327">
        <f t="shared" ref="M701:M708" si="740">IF(L701&gt;K701, 1, 0)</f>
        <v>0</v>
      </c>
      <c r="N701" s="337">
        <f t="shared" ref="N701:N708" si="741">(+H701-D701)</f>
        <v>1</v>
      </c>
      <c r="O701" s="395">
        <f t="shared" ref="O701:O708" si="742">I701-E701</f>
        <v>3</v>
      </c>
      <c r="P701" s="289">
        <f t="shared" ref="P701:P708" si="743">IF(OR(AND(N701&gt;0,O701&gt;0),AND(N701&lt;0,O701&lt;0)),1,0)</f>
        <v>1</v>
      </c>
      <c r="Q701" s="460">
        <f>WEEKNUM(tblResultadosNBA[[#This Row],[Fecha]],2)</f>
        <v>5</v>
      </c>
      <c r="R701" s="460" t="str">
        <f>TEXT(tblResultadosNBA[[#This Row],[Fecha]],"mmm")</f>
        <v>ene</v>
      </c>
    </row>
    <row r="702" spans="1:18">
      <c r="A702" s="419">
        <v>46050</v>
      </c>
      <c r="B702" s="302" t="s">
        <v>309</v>
      </c>
      <c r="C702" s="177" t="str">
        <f t="shared" si="734"/>
        <v>Atlanta Hawks</v>
      </c>
      <c r="D702" s="177">
        <v>112</v>
      </c>
      <c r="E702" s="336">
        <v>117</v>
      </c>
      <c r="F702" s="327">
        <f t="shared" si="735"/>
        <v>1</v>
      </c>
      <c r="G702" s="177" t="str">
        <f t="shared" si="736"/>
        <v>Boston Celtics</v>
      </c>
      <c r="H702" s="177">
        <v>120</v>
      </c>
      <c r="I702" s="336">
        <v>106</v>
      </c>
      <c r="J702" s="327">
        <f t="shared" si="737"/>
        <v>0</v>
      </c>
      <c r="K702" s="177">
        <f t="shared" si="738"/>
        <v>232</v>
      </c>
      <c r="L702" s="336">
        <f t="shared" si="739"/>
        <v>223</v>
      </c>
      <c r="M702" s="327">
        <f t="shared" si="740"/>
        <v>0</v>
      </c>
      <c r="N702" s="337">
        <f t="shared" si="741"/>
        <v>8</v>
      </c>
      <c r="O702" s="395">
        <f t="shared" si="742"/>
        <v>-11</v>
      </c>
      <c r="P702" s="289">
        <f t="shared" si="743"/>
        <v>0</v>
      </c>
      <c r="Q702" s="460">
        <f>WEEKNUM(tblResultadosNBA[[#This Row],[Fecha]],2)</f>
        <v>5</v>
      </c>
      <c r="R702" s="460" t="str">
        <f>TEXT(tblResultadosNBA[[#This Row],[Fecha]],"mmm")</f>
        <v>ene</v>
      </c>
    </row>
    <row r="703" spans="1:18">
      <c r="A703" s="419">
        <v>46050</v>
      </c>
      <c r="B703" s="302" t="s">
        <v>310</v>
      </c>
      <c r="C703" s="177" t="str">
        <f t="shared" si="734"/>
        <v>Orlando Magic</v>
      </c>
      <c r="D703" s="177">
        <v>110</v>
      </c>
      <c r="E703" s="336">
        <v>133</v>
      </c>
      <c r="F703" s="327">
        <f t="shared" si="735"/>
        <v>1</v>
      </c>
      <c r="G703" s="177" t="str">
        <f t="shared" si="736"/>
        <v>Miami Heat</v>
      </c>
      <c r="H703" s="177">
        <v>118</v>
      </c>
      <c r="I703" s="336">
        <v>124</v>
      </c>
      <c r="J703" s="327">
        <f t="shared" si="737"/>
        <v>1</v>
      </c>
      <c r="K703" s="177">
        <f t="shared" si="738"/>
        <v>228</v>
      </c>
      <c r="L703" s="336">
        <f t="shared" si="739"/>
        <v>257</v>
      </c>
      <c r="M703" s="327">
        <f t="shared" si="740"/>
        <v>1</v>
      </c>
      <c r="N703" s="337">
        <f t="shared" si="741"/>
        <v>8</v>
      </c>
      <c r="O703" s="395">
        <f t="shared" si="742"/>
        <v>-9</v>
      </c>
      <c r="P703" s="289">
        <f t="shared" si="743"/>
        <v>0</v>
      </c>
      <c r="Q703" s="460">
        <f>WEEKNUM(tblResultadosNBA[[#This Row],[Fecha]],2)</f>
        <v>5</v>
      </c>
      <c r="R703" s="460" t="str">
        <f>TEXT(tblResultadosNBA[[#This Row],[Fecha]],"mmm")</f>
        <v>ene</v>
      </c>
    </row>
    <row r="704" spans="1:18">
      <c r="A704" s="419">
        <v>46050</v>
      </c>
      <c r="B704" s="302" t="s">
        <v>169</v>
      </c>
      <c r="C704" s="177" t="str">
        <f t="shared" si="734"/>
        <v>New York Knicks</v>
      </c>
      <c r="D704" s="177">
        <v>112</v>
      </c>
      <c r="E704" s="336">
        <v>119</v>
      </c>
      <c r="F704" s="327">
        <f t="shared" si="735"/>
        <v>1</v>
      </c>
      <c r="G704" s="177" t="str">
        <f t="shared" si="736"/>
        <v>Toronto Raptors</v>
      </c>
      <c r="H704" s="177">
        <v>111</v>
      </c>
      <c r="I704" s="336">
        <v>92</v>
      </c>
      <c r="J704" s="327">
        <f t="shared" si="737"/>
        <v>0</v>
      </c>
      <c r="K704" s="177">
        <f t="shared" si="738"/>
        <v>223</v>
      </c>
      <c r="L704" s="336">
        <f t="shared" si="739"/>
        <v>211</v>
      </c>
      <c r="M704" s="327">
        <f t="shared" si="740"/>
        <v>0</v>
      </c>
      <c r="N704" s="337">
        <f t="shared" si="741"/>
        <v>-1</v>
      </c>
      <c r="O704" s="395">
        <f t="shared" si="742"/>
        <v>-27</v>
      </c>
      <c r="P704" s="289">
        <f t="shared" si="743"/>
        <v>1</v>
      </c>
      <c r="Q704" s="460">
        <f>WEEKNUM(tblResultadosNBA[[#This Row],[Fecha]],2)</f>
        <v>5</v>
      </c>
      <c r="R704" s="460" t="str">
        <f>TEXT(tblResultadosNBA[[#This Row],[Fecha]],"mmm")</f>
        <v>ene</v>
      </c>
    </row>
    <row r="705" spans="1:18">
      <c r="A705" s="419">
        <v>46050</v>
      </c>
      <c r="B705" s="302" t="s">
        <v>717</v>
      </c>
      <c r="C705" s="177" t="str">
        <f t="shared" si="734"/>
        <v>Charlotte Hornets</v>
      </c>
      <c r="D705" s="177">
        <v>117</v>
      </c>
      <c r="E705" s="336">
        <v>112</v>
      </c>
      <c r="F705" s="327">
        <f t="shared" si="735"/>
        <v>0</v>
      </c>
      <c r="G705" s="177" t="str">
        <f t="shared" si="736"/>
        <v>Memphis Grizzlies</v>
      </c>
      <c r="H705" s="177">
        <v>117</v>
      </c>
      <c r="I705" s="336">
        <v>97</v>
      </c>
      <c r="J705" s="327">
        <f t="shared" si="737"/>
        <v>0</v>
      </c>
      <c r="K705" s="177">
        <f t="shared" si="738"/>
        <v>234</v>
      </c>
      <c r="L705" s="336">
        <f t="shared" si="739"/>
        <v>209</v>
      </c>
      <c r="M705" s="327">
        <f t="shared" si="740"/>
        <v>0</v>
      </c>
      <c r="N705" s="337">
        <f t="shared" si="741"/>
        <v>0</v>
      </c>
      <c r="O705" s="395">
        <f t="shared" si="742"/>
        <v>-15</v>
      </c>
      <c r="P705" s="289">
        <f t="shared" si="743"/>
        <v>0</v>
      </c>
      <c r="Q705" s="460">
        <f>WEEKNUM(tblResultadosNBA[[#This Row],[Fecha]],2)</f>
        <v>5</v>
      </c>
      <c r="R705" s="460" t="str">
        <f>TEXT(tblResultadosNBA[[#This Row],[Fecha]],"mmm")</f>
        <v>ene</v>
      </c>
    </row>
    <row r="706" spans="1:18">
      <c r="A706" s="419">
        <v>46050</v>
      </c>
      <c r="B706" s="302" t="s">
        <v>311</v>
      </c>
      <c r="C706" s="177" t="str">
        <f t="shared" si="734"/>
        <v>Minnesota Timberwolves</v>
      </c>
      <c r="D706" s="177">
        <v>116</v>
      </c>
      <c r="E706" s="336">
        <v>118</v>
      </c>
      <c r="F706" s="327">
        <f t="shared" si="735"/>
        <v>1</v>
      </c>
      <c r="G706" s="177" t="str">
        <f t="shared" si="736"/>
        <v>Dallas Mavericks</v>
      </c>
      <c r="H706" s="177">
        <v>117</v>
      </c>
      <c r="I706" s="336">
        <v>105</v>
      </c>
      <c r="J706" s="327">
        <f t="shared" si="737"/>
        <v>0</v>
      </c>
      <c r="K706" s="177">
        <f t="shared" si="738"/>
        <v>233</v>
      </c>
      <c r="L706" s="336">
        <f t="shared" si="739"/>
        <v>223</v>
      </c>
      <c r="M706" s="327">
        <f t="shared" si="740"/>
        <v>0</v>
      </c>
      <c r="N706" s="337">
        <f t="shared" si="741"/>
        <v>1</v>
      </c>
      <c r="O706" s="395">
        <f t="shared" si="742"/>
        <v>-13</v>
      </c>
      <c r="P706" s="289">
        <f t="shared" si="743"/>
        <v>0</v>
      </c>
      <c r="Q706" s="460">
        <f>WEEKNUM(tblResultadosNBA[[#This Row],[Fecha]],2)</f>
        <v>5</v>
      </c>
      <c r="R706" s="460" t="str">
        <f>TEXT(tblResultadosNBA[[#This Row],[Fecha]],"mmm")</f>
        <v>ene</v>
      </c>
    </row>
    <row r="707" spans="1:18">
      <c r="A707" s="419">
        <v>46050</v>
      </c>
      <c r="B707" s="302" t="s">
        <v>312</v>
      </c>
      <c r="C707" s="177" t="str">
        <f t="shared" si="734"/>
        <v>Golden State Warriors</v>
      </c>
      <c r="D707" s="177">
        <v>118</v>
      </c>
      <c r="E707" s="336">
        <v>140</v>
      </c>
      <c r="F707" s="327">
        <f t="shared" si="735"/>
        <v>1</v>
      </c>
      <c r="G707" s="177" t="str">
        <f t="shared" si="736"/>
        <v>Utah Jazz</v>
      </c>
      <c r="H707" s="177">
        <v>116</v>
      </c>
      <c r="I707" s="336">
        <v>124</v>
      </c>
      <c r="J707" s="327">
        <f t="shared" si="737"/>
        <v>1</v>
      </c>
      <c r="K707" s="177">
        <f t="shared" si="738"/>
        <v>234</v>
      </c>
      <c r="L707" s="336">
        <f t="shared" si="739"/>
        <v>264</v>
      </c>
      <c r="M707" s="327">
        <f t="shared" si="740"/>
        <v>1</v>
      </c>
      <c r="N707" s="337">
        <f t="shared" si="741"/>
        <v>-2</v>
      </c>
      <c r="O707" s="395">
        <f t="shared" si="742"/>
        <v>-16</v>
      </c>
      <c r="P707" s="289">
        <f t="shared" si="743"/>
        <v>1</v>
      </c>
      <c r="Q707" s="460">
        <f>WEEKNUM(tblResultadosNBA[[#This Row],[Fecha]],2)</f>
        <v>5</v>
      </c>
      <c r="R707" s="460" t="str">
        <f>TEXT(tblResultadosNBA[[#This Row],[Fecha]],"mmm")</f>
        <v>ene</v>
      </c>
    </row>
    <row r="708" spans="1:18">
      <c r="A708" s="445">
        <v>46050</v>
      </c>
      <c r="B708" s="331" t="s">
        <v>694</v>
      </c>
      <c r="C708" s="286" t="str">
        <f t="shared" si="734"/>
        <v>San Antonio Spurs</v>
      </c>
      <c r="D708" s="286">
        <v>113</v>
      </c>
      <c r="E708" s="431">
        <v>111</v>
      </c>
      <c r="F708" s="332">
        <f t="shared" si="735"/>
        <v>0</v>
      </c>
      <c r="G708" s="286" t="str">
        <f t="shared" si="736"/>
        <v>Houston Rockets</v>
      </c>
      <c r="H708" s="286">
        <v>116</v>
      </c>
      <c r="I708" s="431">
        <v>99</v>
      </c>
      <c r="J708" s="332">
        <f t="shared" si="737"/>
        <v>0</v>
      </c>
      <c r="K708" s="286">
        <f t="shared" si="738"/>
        <v>229</v>
      </c>
      <c r="L708" s="431">
        <f t="shared" si="739"/>
        <v>210</v>
      </c>
      <c r="M708" s="332">
        <f t="shared" si="740"/>
        <v>0</v>
      </c>
      <c r="N708" s="432">
        <f t="shared" si="741"/>
        <v>3</v>
      </c>
      <c r="O708" s="451">
        <f t="shared" si="742"/>
        <v>-12</v>
      </c>
      <c r="P708" s="433">
        <f t="shared" si="743"/>
        <v>0</v>
      </c>
      <c r="Q708" s="460">
        <f>WEEKNUM(tblResultadosNBA[[#This Row],[Fecha]],2)</f>
        <v>5</v>
      </c>
      <c r="R708" s="460" t="str">
        <f>TEXT(tblResultadosNBA[[#This Row],[Fecha]],"mmm")</f>
        <v>ene</v>
      </c>
    </row>
    <row r="709" spans="1:18">
      <c r="A709" s="439">
        <v>46051</v>
      </c>
      <c r="B709" s="422" t="s">
        <v>313</v>
      </c>
      <c r="C709" s="341" t="str">
        <f>LEFT(B709,FIND("@",B709)-2)</f>
        <v>Sacramento Kings</v>
      </c>
      <c r="D709" s="341">
        <v>109</v>
      </c>
      <c r="E709" s="342">
        <v>111</v>
      </c>
      <c r="F709" s="333">
        <f>IF(E709&gt;D709, 1, 0)</f>
        <v>1</v>
      </c>
      <c r="G709" s="341" t="str">
        <f>MID(B709,FIND("@",B709)+2,LEN(B709)-FIND("@",B709)-1)</f>
        <v>Philadelphia 76ers</v>
      </c>
      <c r="H709" s="341">
        <v>118</v>
      </c>
      <c r="I709" s="342">
        <v>113</v>
      </c>
      <c r="J709" s="333">
        <f>IF(I709&gt;H709, 1, 0)</f>
        <v>0</v>
      </c>
      <c r="K709" s="341">
        <f>+D709+H709</f>
        <v>227</v>
      </c>
      <c r="L709" s="342">
        <f>E709+I709</f>
        <v>224</v>
      </c>
      <c r="M709" s="333">
        <f>IF(L709&gt;K709, 1, 0)</f>
        <v>0</v>
      </c>
      <c r="N709" s="343">
        <f>(+H709-D709)</f>
        <v>9</v>
      </c>
      <c r="O709" s="449">
        <f>I709-E709</f>
        <v>2</v>
      </c>
      <c r="P709" s="289">
        <f>IF(OR(AND(N709&gt;0,O709&gt;0),AND(N709&lt;0,O709&lt;0)),1,0)</f>
        <v>1</v>
      </c>
      <c r="Q709" s="460">
        <f>WEEKNUM(tblResultadosNBA[[#This Row],[Fecha]],2)</f>
        <v>5</v>
      </c>
      <c r="R709" s="460" t="str">
        <f>TEXT(tblResultadosNBA[[#This Row],[Fecha]],"mmm")</f>
        <v>ene</v>
      </c>
    </row>
    <row r="710" spans="1:18">
      <c r="A710" s="439">
        <v>46051</v>
      </c>
      <c r="B710" s="302" t="s">
        <v>128</v>
      </c>
      <c r="C710" s="177" t="str">
        <f t="shared" ref="C710:C716" si="744">LEFT(B710,FIND("@",B710)-2)</f>
        <v>Milwaukee Bucks</v>
      </c>
      <c r="D710" s="177">
        <v>119</v>
      </c>
      <c r="E710" s="336">
        <v>99</v>
      </c>
      <c r="F710" s="327">
        <f t="shared" ref="F710:F716" si="745">IF(E710&gt;D710, 1, 0)</f>
        <v>0</v>
      </c>
      <c r="G710" s="177" t="str">
        <f t="shared" ref="G710:G716" si="746">MID(B710,FIND("@",B710)+2,LEN(B710)-FIND("@",B710)-1)</f>
        <v>Washington Wizards</v>
      </c>
      <c r="H710" s="177">
        <v>114</v>
      </c>
      <c r="I710" s="336">
        <v>109</v>
      </c>
      <c r="J710" s="327">
        <f t="shared" ref="J710:J716" si="747">IF(I710&gt;H710, 1, 0)</f>
        <v>0</v>
      </c>
      <c r="K710" s="177">
        <f t="shared" ref="K710:K716" si="748">+D710+H710</f>
        <v>233</v>
      </c>
      <c r="L710" s="336">
        <f t="shared" ref="L710:L716" si="749">E710+I710</f>
        <v>208</v>
      </c>
      <c r="M710" s="327">
        <f t="shared" ref="M710:M716" si="750">IF(L710&gt;K710, 1, 0)</f>
        <v>0</v>
      </c>
      <c r="N710" s="337">
        <f t="shared" ref="N710:N716" si="751">(+H710-D710)</f>
        <v>-5</v>
      </c>
      <c r="O710" s="395">
        <f t="shared" ref="O710:O716" si="752">I710-E710</f>
        <v>10</v>
      </c>
      <c r="P710" s="289">
        <f t="shared" ref="P710:P716" si="753">IF(OR(AND(N710&gt;0,O710&gt;0),AND(N710&lt;0,O710&lt;0)),1,0)</f>
        <v>0</v>
      </c>
      <c r="Q710" s="460">
        <f>WEEKNUM(tblResultadosNBA[[#This Row],[Fecha]],2)</f>
        <v>5</v>
      </c>
      <c r="R710" s="460" t="str">
        <f>TEXT(tblResultadosNBA[[#This Row],[Fecha]],"mmm")</f>
        <v>ene</v>
      </c>
    </row>
    <row r="711" spans="1:18">
      <c r="A711" s="439">
        <v>46051</v>
      </c>
      <c r="B711" s="302" t="s">
        <v>718</v>
      </c>
      <c r="C711" s="177" t="str">
        <f t="shared" si="744"/>
        <v>Houston Rockets</v>
      </c>
      <c r="D711" s="177">
        <v>118</v>
      </c>
      <c r="E711" s="336">
        <v>104</v>
      </c>
      <c r="F711" s="327">
        <f t="shared" si="745"/>
        <v>0</v>
      </c>
      <c r="G711" s="177" t="str">
        <f t="shared" si="746"/>
        <v>Atlanta Hawks</v>
      </c>
      <c r="H711" s="177">
        <v>117</v>
      </c>
      <c r="I711" s="336">
        <v>86</v>
      </c>
      <c r="J711" s="327">
        <f t="shared" si="747"/>
        <v>0</v>
      </c>
      <c r="K711" s="177">
        <f t="shared" si="748"/>
        <v>235</v>
      </c>
      <c r="L711" s="336">
        <f t="shared" si="749"/>
        <v>190</v>
      </c>
      <c r="M711" s="327">
        <f t="shared" si="750"/>
        <v>0</v>
      </c>
      <c r="N711" s="337">
        <f t="shared" si="751"/>
        <v>-1</v>
      </c>
      <c r="O711" s="395">
        <f t="shared" si="752"/>
        <v>-18</v>
      </c>
      <c r="P711" s="289">
        <f t="shared" si="753"/>
        <v>1</v>
      </c>
      <c r="Q711" s="460">
        <f>WEEKNUM(tblResultadosNBA[[#This Row],[Fecha]],2)</f>
        <v>5</v>
      </c>
      <c r="R711" s="460" t="str">
        <f>TEXT(tblResultadosNBA[[#This Row],[Fecha]],"mmm")</f>
        <v>ene</v>
      </c>
    </row>
    <row r="712" spans="1:18">
      <c r="A712" s="439">
        <v>46051</v>
      </c>
      <c r="B712" s="302" t="s">
        <v>314</v>
      </c>
      <c r="C712" s="177" t="str">
        <f t="shared" si="744"/>
        <v>Miami Heat</v>
      </c>
      <c r="D712" s="177">
        <v>112</v>
      </c>
      <c r="E712" s="336">
        <v>116</v>
      </c>
      <c r="F712" s="327">
        <f t="shared" si="745"/>
        <v>1</v>
      </c>
      <c r="G712" s="177" t="str">
        <f t="shared" si="746"/>
        <v>Chicago Bulls</v>
      </c>
      <c r="H712" s="177">
        <v>117</v>
      </c>
      <c r="I712" s="336">
        <v>113</v>
      </c>
      <c r="J712" s="327">
        <f t="shared" si="747"/>
        <v>0</v>
      </c>
      <c r="K712" s="177">
        <f t="shared" si="748"/>
        <v>229</v>
      </c>
      <c r="L712" s="336">
        <f t="shared" si="749"/>
        <v>229</v>
      </c>
      <c r="M712" s="327">
        <f t="shared" si="750"/>
        <v>0</v>
      </c>
      <c r="N712" s="337">
        <f t="shared" si="751"/>
        <v>5</v>
      </c>
      <c r="O712" s="395">
        <f t="shared" si="752"/>
        <v>-3</v>
      </c>
      <c r="P712" s="289">
        <f t="shared" si="753"/>
        <v>0</v>
      </c>
      <c r="Q712" s="460">
        <f>WEEKNUM(tblResultadosNBA[[#This Row],[Fecha]],2)</f>
        <v>5</v>
      </c>
      <c r="R712" s="460" t="str">
        <f>TEXT(tblResultadosNBA[[#This Row],[Fecha]],"mmm")</f>
        <v>ene</v>
      </c>
    </row>
    <row r="713" spans="1:18">
      <c r="A713" s="439">
        <v>46051</v>
      </c>
      <c r="B713" s="302" t="s">
        <v>315</v>
      </c>
      <c r="C713" s="177" t="str">
        <f t="shared" si="744"/>
        <v>Charlotte Hornets</v>
      </c>
      <c r="D713" s="177">
        <v>114</v>
      </c>
      <c r="E713" s="336">
        <v>123</v>
      </c>
      <c r="F713" s="327">
        <f t="shared" si="745"/>
        <v>1</v>
      </c>
      <c r="G713" s="177" t="str">
        <f t="shared" si="746"/>
        <v>Dallas Mavericks</v>
      </c>
      <c r="H713" s="177">
        <v>114</v>
      </c>
      <c r="I713" s="336">
        <v>121</v>
      </c>
      <c r="J713" s="327">
        <f t="shared" si="747"/>
        <v>1</v>
      </c>
      <c r="K713" s="177">
        <f t="shared" si="748"/>
        <v>228</v>
      </c>
      <c r="L713" s="336">
        <f t="shared" si="749"/>
        <v>244</v>
      </c>
      <c r="M713" s="327">
        <f t="shared" si="750"/>
        <v>1</v>
      </c>
      <c r="N713" s="337">
        <f t="shared" si="751"/>
        <v>0</v>
      </c>
      <c r="O713" s="395">
        <f t="shared" si="752"/>
        <v>-2</v>
      </c>
      <c r="P713" s="289">
        <f t="shared" si="753"/>
        <v>0</v>
      </c>
      <c r="Q713" s="460">
        <f>WEEKNUM(tblResultadosNBA[[#This Row],[Fecha]],2)</f>
        <v>5</v>
      </c>
      <c r="R713" s="460" t="str">
        <f>TEXT(tblResultadosNBA[[#This Row],[Fecha]],"mmm")</f>
        <v>ene</v>
      </c>
    </row>
    <row r="714" spans="1:18">
      <c r="A714" s="439">
        <v>46051</v>
      </c>
      <c r="B714" s="302" t="s">
        <v>316</v>
      </c>
      <c r="C714" s="177" t="str">
        <f t="shared" si="744"/>
        <v>Brooklyn Nets</v>
      </c>
      <c r="D714" s="177">
        <v>108</v>
      </c>
      <c r="E714" s="336">
        <v>103</v>
      </c>
      <c r="F714" s="327">
        <f t="shared" si="745"/>
        <v>0</v>
      </c>
      <c r="G714" s="177" t="str">
        <f t="shared" si="746"/>
        <v>Denver Nuggets</v>
      </c>
      <c r="H714" s="177">
        <v>116</v>
      </c>
      <c r="I714" s="336">
        <v>107</v>
      </c>
      <c r="J714" s="327">
        <f t="shared" si="747"/>
        <v>0</v>
      </c>
      <c r="K714" s="177">
        <f t="shared" si="748"/>
        <v>224</v>
      </c>
      <c r="L714" s="336">
        <f t="shared" si="749"/>
        <v>210</v>
      </c>
      <c r="M714" s="327">
        <f t="shared" si="750"/>
        <v>0</v>
      </c>
      <c r="N714" s="337">
        <f t="shared" si="751"/>
        <v>8</v>
      </c>
      <c r="O714" s="395">
        <f t="shared" si="752"/>
        <v>4</v>
      </c>
      <c r="P714" s="289">
        <f t="shared" si="753"/>
        <v>1</v>
      </c>
      <c r="Q714" s="460">
        <f>WEEKNUM(tblResultadosNBA[[#This Row],[Fecha]],2)</f>
        <v>5</v>
      </c>
      <c r="R714" s="460" t="str">
        <f>TEXT(tblResultadosNBA[[#This Row],[Fecha]],"mmm")</f>
        <v>ene</v>
      </c>
    </row>
    <row r="715" spans="1:18">
      <c r="A715" s="439">
        <v>46051</v>
      </c>
      <c r="B715" s="302" t="s">
        <v>317</v>
      </c>
      <c r="C715" s="177" t="str">
        <f t="shared" si="744"/>
        <v>Detroit Pistons</v>
      </c>
      <c r="D715" s="177">
        <v>114</v>
      </c>
      <c r="E715" s="336">
        <v>96</v>
      </c>
      <c r="F715" s="327">
        <f t="shared" si="745"/>
        <v>0</v>
      </c>
      <c r="G715" s="177" t="str">
        <f t="shared" si="746"/>
        <v>Phoenix Suns</v>
      </c>
      <c r="H715" s="177">
        <v>114</v>
      </c>
      <c r="I715" s="336">
        <v>114</v>
      </c>
      <c r="J715" s="327">
        <f t="shared" si="747"/>
        <v>0</v>
      </c>
      <c r="K715" s="177">
        <f t="shared" si="748"/>
        <v>228</v>
      </c>
      <c r="L715" s="336">
        <f t="shared" si="749"/>
        <v>210</v>
      </c>
      <c r="M715" s="327">
        <f t="shared" si="750"/>
        <v>0</v>
      </c>
      <c r="N715" s="337">
        <f t="shared" si="751"/>
        <v>0</v>
      </c>
      <c r="O715" s="395">
        <f t="shared" si="752"/>
        <v>18</v>
      </c>
      <c r="P715" s="289">
        <f t="shared" si="753"/>
        <v>0</v>
      </c>
      <c r="Q715" s="460">
        <f>WEEKNUM(tblResultadosNBA[[#This Row],[Fecha]],2)</f>
        <v>5</v>
      </c>
      <c r="R715" s="460" t="str">
        <f>TEXT(tblResultadosNBA[[#This Row],[Fecha]],"mmm")</f>
        <v>ene</v>
      </c>
    </row>
    <row r="716" spans="1:18">
      <c r="A716" s="446">
        <v>46051</v>
      </c>
      <c r="B716" s="331" t="s">
        <v>318</v>
      </c>
      <c r="C716" s="286" t="str">
        <f t="shared" si="744"/>
        <v>Oklahoma City Thunder</v>
      </c>
      <c r="D716" s="286">
        <v>115</v>
      </c>
      <c r="E716" s="431">
        <v>111</v>
      </c>
      <c r="F716" s="332">
        <f t="shared" si="745"/>
        <v>0</v>
      </c>
      <c r="G716" s="286" t="str">
        <f t="shared" si="746"/>
        <v>Minnesota Timberwolves</v>
      </c>
      <c r="H716" s="286">
        <v>112</v>
      </c>
      <c r="I716" s="431">
        <v>123</v>
      </c>
      <c r="J716" s="332">
        <f t="shared" si="747"/>
        <v>1</v>
      </c>
      <c r="K716" s="286">
        <f t="shared" si="748"/>
        <v>227</v>
      </c>
      <c r="L716" s="431">
        <f t="shared" si="749"/>
        <v>234</v>
      </c>
      <c r="M716" s="332">
        <f t="shared" si="750"/>
        <v>1</v>
      </c>
      <c r="N716" s="432">
        <f t="shared" si="751"/>
        <v>-3</v>
      </c>
      <c r="O716" s="451">
        <f t="shared" si="752"/>
        <v>12</v>
      </c>
      <c r="P716" s="433">
        <f t="shared" si="753"/>
        <v>0</v>
      </c>
      <c r="Q716" s="460">
        <f>WEEKNUM(tblResultadosNBA[[#This Row],[Fecha]],2)</f>
        <v>5</v>
      </c>
      <c r="R716" s="460" t="str">
        <f>TEXT(tblResultadosNBA[[#This Row],[Fecha]],"mmm")</f>
        <v>ene</v>
      </c>
    </row>
    <row r="717" spans="1:18">
      <c r="A717" s="439">
        <v>46052</v>
      </c>
      <c r="B717" s="422" t="s">
        <v>719</v>
      </c>
      <c r="C717" s="341" t="str">
        <f>LEFT(B717,FIND("@",B717)-2)</f>
        <v>Los Angeles Lakers</v>
      </c>
      <c r="D717" s="341">
        <v>122</v>
      </c>
      <c r="E717" s="342">
        <v>142</v>
      </c>
      <c r="F717" s="333">
        <f>IF(E717&gt;D717, 1, 0)</f>
        <v>1</v>
      </c>
      <c r="G717" s="341" t="str">
        <f>MID(B717,FIND("@",B717)+2,LEN(B717)-FIND("@",B717)-1)</f>
        <v>Washington Wizards</v>
      </c>
      <c r="H717" s="341">
        <v>116</v>
      </c>
      <c r="I717" s="342">
        <v>111</v>
      </c>
      <c r="J717" s="333">
        <f>IF(I717&gt;H717, 1, 0)</f>
        <v>0</v>
      </c>
      <c r="K717" s="341">
        <f>+D717+H717</f>
        <v>238</v>
      </c>
      <c r="L717" s="342">
        <f>E717+I717</f>
        <v>253</v>
      </c>
      <c r="M717" s="333">
        <f>IF(L717&gt;K717, 1, 0)</f>
        <v>1</v>
      </c>
      <c r="N717" s="343">
        <f>(+H717-D717)</f>
        <v>-6</v>
      </c>
      <c r="O717" s="449">
        <f>I717-E717</f>
        <v>-31</v>
      </c>
      <c r="P717" s="289">
        <f>IF(OR(AND(N717&gt;0,O717&gt;0),AND(N717&lt;0,O717&lt;0)),1,0)</f>
        <v>1</v>
      </c>
      <c r="Q717" s="460">
        <f>WEEKNUM(tblResultadosNBA[[#This Row],[Fecha]],2)</f>
        <v>5</v>
      </c>
      <c r="R717" s="460" t="str">
        <f>TEXT(tblResultadosNBA[[#This Row],[Fecha]],"mmm")</f>
        <v>ene</v>
      </c>
    </row>
    <row r="718" spans="1:18">
      <c r="A718" s="439">
        <v>46052</v>
      </c>
      <c r="B718" s="302" t="s">
        <v>720</v>
      </c>
      <c r="C718" s="177" t="str">
        <f t="shared" ref="C718:C725" si="754">LEFT(B718,FIND("@",B718)-2)</f>
        <v>Toronto Raptors</v>
      </c>
      <c r="D718" s="177">
        <v>111</v>
      </c>
      <c r="E718" s="336">
        <v>120</v>
      </c>
      <c r="F718" s="327">
        <f t="shared" ref="F718:F725" si="755">IF(E718&gt;D718, 1, 0)</f>
        <v>1</v>
      </c>
      <c r="G718" s="177" t="str">
        <f t="shared" ref="G718:G725" si="756">MID(B718,FIND("@",B718)+2,LEN(B718)-FIND("@",B718)-1)</f>
        <v>Orlando Magic</v>
      </c>
      <c r="H718" s="177">
        <v>112</v>
      </c>
      <c r="I718" s="336">
        <v>130</v>
      </c>
      <c r="J718" s="327">
        <f t="shared" ref="J718:J725" si="757">IF(I718&gt;H718, 1, 0)</f>
        <v>1</v>
      </c>
      <c r="K718" s="177">
        <f t="shared" ref="K718:K725" si="758">+D718+H718</f>
        <v>223</v>
      </c>
      <c r="L718" s="336">
        <f t="shared" ref="L718:L725" si="759">E718+I718</f>
        <v>250</v>
      </c>
      <c r="M718" s="327">
        <f t="shared" ref="M718:M725" si="760">IF(L718&gt;K718, 1, 0)</f>
        <v>1</v>
      </c>
      <c r="N718" s="337">
        <f t="shared" ref="N718:N725" si="761">(+H718-D718)</f>
        <v>1</v>
      </c>
      <c r="O718" s="395">
        <f t="shared" ref="O718:O725" si="762">I718-E718</f>
        <v>10</v>
      </c>
      <c r="P718" s="289">
        <f t="shared" ref="P718:P725" si="763">IF(OR(AND(N718&gt;0,O718&gt;0),AND(N718&lt;0,O718&lt;0)),1,0)</f>
        <v>1</v>
      </c>
      <c r="Q718" s="460">
        <f>WEEKNUM(tblResultadosNBA[[#This Row],[Fecha]],2)</f>
        <v>5</v>
      </c>
      <c r="R718" s="460" t="str">
        <f>TEXT(tblResultadosNBA[[#This Row],[Fecha]],"mmm")</f>
        <v>ene</v>
      </c>
    </row>
    <row r="719" spans="1:18">
      <c r="A719" s="439">
        <v>46052</v>
      </c>
      <c r="B719" s="302" t="s">
        <v>721</v>
      </c>
      <c r="C719" s="177" t="str">
        <f t="shared" si="754"/>
        <v>Sacramento Kings</v>
      </c>
      <c r="D719" s="177">
        <v>106</v>
      </c>
      <c r="E719" s="336">
        <v>93</v>
      </c>
      <c r="F719" s="327">
        <f t="shared" si="755"/>
        <v>0</v>
      </c>
      <c r="G719" s="177" t="str">
        <f t="shared" si="756"/>
        <v>Boston Celtics</v>
      </c>
      <c r="H719" s="177">
        <v>118</v>
      </c>
      <c r="I719" s="336">
        <v>112</v>
      </c>
      <c r="J719" s="327">
        <f t="shared" si="757"/>
        <v>0</v>
      </c>
      <c r="K719" s="177">
        <f t="shared" si="758"/>
        <v>224</v>
      </c>
      <c r="L719" s="336">
        <f t="shared" si="759"/>
        <v>205</v>
      </c>
      <c r="M719" s="327">
        <f t="shared" si="760"/>
        <v>0</v>
      </c>
      <c r="N719" s="337">
        <f t="shared" si="761"/>
        <v>12</v>
      </c>
      <c r="O719" s="395">
        <f t="shared" si="762"/>
        <v>19</v>
      </c>
      <c r="P719" s="289">
        <f t="shared" si="763"/>
        <v>1</v>
      </c>
      <c r="Q719" s="460">
        <f>WEEKNUM(tblResultadosNBA[[#This Row],[Fecha]],2)</f>
        <v>5</v>
      </c>
      <c r="R719" s="460" t="str">
        <f>TEXT(tblResultadosNBA[[#This Row],[Fecha]],"mmm")</f>
        <v>ene</v>
      </c>
    </row>
    <row r="720" spans="1:18">
      <c r="A720" s="439">
        <v>46052</v>
      </c>
      <c r="B720" s="302" t="s">
        <v>319</v>
      </c>
      <c r="C720" s="177" t="str">
        <f t="shared" si="754"/>
        <v>Portland Trail Blazers</v>
      </c>
      <c r="D720" s="177">
        <v>110</v>
      </c>
      <c r="E720" s="336">
        <v>97</v>
      </c>
      <c r="F720" s="327">
        <f t="shared" si="755"/>
        <v>0</v>
      </c>
      <c r="G720" s="177" t="str">
        <f t="shared" si="756"/>
        <v>New York Knicks</v>
      </c>
      <c r="H720" s="177">
        <v>116</v>
      </c>
      <c r="I720" s="336">
        <v>127</v>
      </c>
      <c r="J720" s="327">
        <f t="shared" si="757"/>
        <v>1</v>
      </c>
      <c r="K720" s="177">
        <f t="shared" si="758"/>
        <v>226</v>
      </c>
      <c r="L720" s="336">
        <f t="shared" si="759"/>
        <v>224</v>
      </c>
      <c r="M720" s="327">
        <f t="shared" si="760"/>
        <v>0</v>
      </c>
      <c r="N720" s="337">
        <f t="shared" si="761"/>
        <v>6</v>
      </c>
      <c r="O720" s="395">
        <f t="shared" si="762"/>
        <v>30</v>
      </c>
      <c r="P720" s="289">
        <f t="shared" si="763"/>
        <v>1</v>
      </c>
      <c r="Q720" s="460">
        <f>WEEKNUM(tblResultadosNBA[[#This Row],[Fecha]],2)</f>
        <v>5</v>
      </c>
      <c r="R720" s="460" t="str">
        <f>TEXT(tblResultadosNBA[[#This Row],[Fecha]],"mmm")</f>
        <v>ene</v>
      </c>
    </row>
    <row r="721" spans="1:18">
      <c r="A721" s="439">
        <v>46052</v>
      </c>
      <c r="B721" s="302" t="s">
        <v>108</v>
      </c>
      <c r="C721" s="177" t="str">
        <f t="shared" si="754"/>
        <v>Memphis Grizzlies</v>
      </c>
      <c r="D721" s="177">
        <v>117</v>
      </c>
      <c r="E721" s="336">
        <v>106</v>
      </c>
      <c r="F721" s="327">
        <f t="shared" si="755"/>
        <v>0</v>
      </c>
      <c r="G721" s="177" t="str">
        <f t="shared" si="756"/>
        <v>New Orleans Pelicans</v>
      </c>
      <c r="H721" s="177">
        <v>117</v>
      </c>
      <c r="I721" s="336">
        <v>114</v>
      </c>
      <c r="J721" s="327">
        <f t="shared" si="757"/>
        <v>0</v>
      </c>
      <c r="K721" s="177">
        <f t="shared" si="758"/>
        <v>234</v>
      </c>
      <c r="L721" s="336">
        <f t="shared" si="759"/>
        <v>220</v>
      </c>
      <c r="M721" s="327">
        <f t="shared" si="760"/>
        <v>0</v>
      </c>
      <c r="N721" s="337">
        <f t="shared" si="761"/>
        <v>0</v>
      </c>
      <c r="O721" s="395">
        <f t="shared" si="762"/>
        <v>8</v>
      </c>
      <c r="P721" s="289">
        <f t="shared" si="763"/>
        <v>0</v>
      </c>
      <c r="Q721" s="460">
        <f>WEEKNUM(tblResultadosNBA[[#This Row],[Fecha]],2)</f>
        <v>5</v>
      </c>
      <c r="R721" s="460" t="str">
        <f>TEXT(tblResultadosNBA[[#This Row],[Fecha]],"mmm")</f>
        <v>ene</v>
      </c>
    </row>
    <row r="722" spans="1:18">
      <c r="A722" s="439">
        <v>46052</v>
      </c>
      <c r="B722" s="302" t="s">
        <v>722</v>
      </c>
      <c r="C722" s="177" t="str">
        <f t="shared" si="754"/>
        <v>Cleveland Cavaliers</v>
      </c>
      <c r="D722" s="177">
        <v>114</v>
      </c>
      <c r="E722" s="336">
        <v>113</v>
      </c>
      <c r="F722" s="327">
        <f t="shared" si="755"/>
        <v>0</v>
      </c>
      <c r="G722" s="177" t="str">
        <f t="shared" si="756"/>
        <v>Phoenix Suns</v>
      </c>
      <c r="H722" s="177">
        <v>114</v>
      </c>
      <c r="I722" s="336">
        <v>126</v>
      </c>
      <c r="J722" s="327">
        <f t="shared" si="757"/>
        <v>1</v>
      </c>
      <c r="K722" s="177">
        <f t="shared" si="758"/>
        <v>228</v>
      </c>
      <c r="L722" s="336">
        <f t="shared" si="759"/>
        <v>239</v>
      </c>
      <c r="M722" s="327">
        <f t="shared" si="760"/>
        <v>1</v>
      </c>
      <c r="N722" s="337">
        <f t="shared" si="761"/>
        <v>0</v>
      </c>
      <c r="O722" s="395">
        <f t="shared" si="762"/>
        <v>13</v>
      </c>
      <c r="P722" s="289">
        <f t="shared" si="763"/>
        <v>0</v>
      </c>
      <c r="Q722" s="460">
        <f>WEEKNUM(tblResultadosNBA[[#This Row],[Fecha]],2)</f>
        <v>5</v>
      </c>
      <c r="R722" s="460" t="str">
        <f>TEXT(tblResultadosNBA[[#This Row],[Fecha]],"mmm")</f>
        <v>ene</v>
      </c>
    </row>
    <row r="723" spans="1:18">
      <c r="A723" s="439">
        <v>46052</v>
      </c>
      <c r="B723" s="302" t="s">
        <v>320</v>
      </c>
      <c r="C723" s="177" t="str">
        <f t="shared" si="754"/>
        <v>LA Clippers</v>
      </c>
      <c r="D723" s="177">
        <v>110</v>
      </c>
      <c r="E723" s="336">
        <v>109</v>
      </c>
      <c r="F723" s="327">
        <f t="shared" si="755"/>
        <v>0</v>
      </c>
      <c r="G723" s="177" t="str">
        <f t="shared" si="756"/>
        <v>Denver Nuggets</v>
      </c>
      <c r="H723" s="177">
        <v>112</v>
      </c>
      <c r="I723" s="336">
        <v>122</v>
      </c>
      <c r="J723" s="327">
        <f t="shared" si="757"/>
        <v>1</v>
      </c>
      <c r="K723" s="177">
        <f t="shared" si="758"/>
        <v>222</v>
      </c>
      <c r="L723" s="336">
        <f t="shared" si="759"/>
        <v>231</v>
      </c>
      <c r="M723" s="327">
        <f t="shared" si="760"/>
        <v>1</v>
      </c>
      <c r="N723" s="337">
        <f t="shared" si="761"/>
        <v>2</v>
      </c>
      <c r="O723" s="395">
        <f t="shared" si="762"/>
        <v>13</v>
      </c>
      <c r="P723" s="289">
        <f t="shared" si="763"/>
        <v>1</v>
      </c>
      <c r="Q723" s="460">
        <f>WEEKNUM(tblResultadosNBA[[#This Row],[Fecha]],2)</f>
        <v>5</v>
      </c>
      <c r="R723" s="460" t="str">
        <f>TEXT(tblResultadosNBA[[#This Row],[Fecha]],"mmm")</f>
        <v>ene</v>
      </c>
    </row>
    <row r="724" spans="1:18">
      <c r="A724" s="439">
        <v>46052</v>
      </c>
      <c r="B724" s="302" t="s">
        <v>321</v>
      </c>
      <c r="C724" s="177" t="str">
        <f t="shared" si="754"/>
        <v>Brooklyn Nets</v>
      </c>
      <c r="D724" s="177">
        <v>110</v>
      </c>
      <c r="E724" s="336">
        <v>109</v>
      </c>
      <c r="F724" s="327">
        <f t="shared" si="755"/>
        <v>0</v>
      </c>
      <c r="G724" s="177" t="str">
        <f t="shared" si="756"/>
        <v>Utah Jazz</v>
      </c>
      <c r="H724" s="177">
        <v>114</v>
      </c>
      <c r="I724" s="336">
        <v>99</v>
      </c>
      <c r="J724" s="327">
        <f t="shared" si="757"/>
        <v>0</v>
      </c>
      <c r="K724" s="177">
        <f t="shared" si="758"/>
        <v>224</v>
      </c>
      <c r="L724" s="336">
        <f t="shared" si="759"/>
        <v>208</v>
      </c>
      <c r="M724" s="327">
        <f t="shared" si="760"/>
        <v>0</v>
      </c>
      <c r="N724" s="337">
        <f t="shared" si="761"/>
        <v>4</v>
      </c>
      <c r="O724" s="395">
        <f t="shared" si="762"/>
        <v>-10</v>
      </c>
      <c r="P724" s="289">
        <f t="shared" si="763"/>
        <v>0</v>
      </c>
      <c r="Q724" s="460">
        <f>WEEKNUM(tblResultadosNBA[[#This Row],[Fecha]],2)</f>
        <v>5</v>
      </c>
      <c r="R724" s="460" t="str">
        <f>TEXT(tblResultadosNBA[[#This Row],[Fecha]],"mmm")</f>
        <v>ene</v>
      </c>
    </row>
    <row r="725" spans="1:18">
      <c r="A725" s="446">
        <v>46052</v>
      </c>
      <c r="B725" s="331" t="s">
        <v>723</v>
      </c>
      <c r="C725" s="286" t="str">
        <f t="shared" si="754"/>
        <v>Detroit Pistons</v>
      </c>
      <c r="D725" s="286">
        <v>113</v>
      </c>
      <c r="E725" s="431">
        <v>131</v>
      </c>
      <c r="F725" s="332">
        <f t="shared" si="755"/>
        <v>1</v>
      </c>
      <c r="G725" s="286" t="str">
        <f t="shared" si="756"/>
        <v>Golden State Warriors</v>
      </c>
      <c r="H725" s="286">
        <v>119</v>
      </c>
      <c r="I725" s="431">
        <v>124</v>
      </c>
      <c r="J725" s="332">
        <f t="shared" si="757"/>
        <v>1</v>
      </c>
      <c r="K725" s="286">
        <f t="shared" si="758"/>
        <v>232</v>
      </c>
      <c r="L725" s="431">
        <f t="shared" si="759"/>
        <v>255</v>
      </c>
      <c r="M725" s="332">
        <f t="shared" si="760"/>
        <v>1</v>
      </c>
      <c r="N725" s="432">
        <f t="shared" si="761"/>
        <v>6</v>
      </c>
      <c r="O725" s="451">
        <f t="shared" si="762"/>
        <v>-7</v>
      </c>
      <c r="P725" s="433">
        <f t="shared" si="763"/>
        <v>0</v>
      </c>
      <c r="Q725" s="460">
        <f>WEEKNUM(tblResultadosNBA[[#This Row],[Fecha]],2)</f>
        <v>5</v>
      </c>
      <c r="R725" s="460" t="str">
        <f>TEXT(tblResultadosNBA[[#This Row],[Fecha]],"mmm")</f>
        <v>ene</v>
      </c>
    </row>
    <row r="726" spans="1:18">
      <c r="A726" s="439">
        <v>46053</v>
      </c>
      <c r="B726" s="422" t="s">
        <v>724</v>
      </c>
      <c r="C726" s="341" t="str">
        <f>LEFT(B726,FIND("@",B726)-2)</f>
        <v>San Antonio Spurs</v>
      </c>
      <c r="D726" s="341">
        <v>119</v>
      </c>
      <c r="E726" s="342">
        <v>106</v>
      </c>
      <c r="F726" s="333">
        <f>IF(E726&gt;D726, 1, 0)</f>
        <v>0</v>
      </c>
      <c r="G726" s="341" t="str">
        <f>MID(B726,FIND("@",B726)+2,LEN(B726)-FIND("@",B726)-1)</f>
        <v>Charlotte Hornets</v>
      </c>
      <c r="H726" s="341">
        <v>113</v>
      </c>
      <c r="I726" s="342">
        <v>111</v>
      </c>
      <c r="J726" s="333">
        <f>IF(I726&gt;H726, 1, 0)</f>
        <v>0</v>
      </c>
      <c r="K726" s="341">
        <f>+D726+H726</f>
        <v>232</v>
      </c>
      <c r="L726" s="342">
        <f>E726+I726</f>
        <v>217</v>
      </c>
      <c r="M726" s="333">
        <f>IF(L726&gt;K726, 1, 0)</f>
        <v>0</v>
      </c>
      <c r="N726" s="343">
        <f>(+H726-D726)</f>
        <v>-6</v>
      </c>
      <c r="O726" s="449">
        <f>I726-E726</f>
        <v>5</v>
      </c>
      <c r="P726" s="289">
        <f>IF(OR(AND(N726&gt;0,O726&gt;0),AND(N726&lt;0,O726&lt;0)),1,0)</f>
        <v>0</v>
      </c>
      <c r="Q726" s="460">
        <f>WEEKNUM(tblResultadosNBA[[#This Row],[Fecha]],2)</f>
        <v>5</v>
      </c>
      <c r="R726" s="460" t="str">
        <f>TEXT(tblResultadosNBA[[#This Row],[Fecha]],"mmm")</f>
        <v>ene</v>
      </c>
    </row>
    <row r="727" spans="1:18">
      <c r="A727" s="439">
        <v>46053</v>
      </c>
      <c r="B727" s="302" t="s">
        <v>473</v>
      </c>
      <c r="C727" s="177" t="str">
        <f t="shared" ref="C727:C731" si="764">LEFT(B727,FIND("@",B727)-2)</f>
        <v>Atlanta Hawks</v>
      </c>
      <c r="D727" s="177">
        <v>117</v>
      </c>
      <c r="E727" s="336">
        <v>124</v>
      </c>
      <c r="F727" s="327">
        <f t="shared" ref="F727:F731" si="765">IF(E727&gt;D727, 1, 0)</f>
        <v>1</v>
      </c>
      <c r="G727" s="177" t="str">
        <f t="shared" ref="G727:G731" si="766">MID(B727,FIND("@",B727)+2,LEN(B727)-FIND("@",B727)-1)</f>
        <v>Indiana Pacers</v>
      </c>
      <c r="H727" s="177">
        <v>119</v>
      </c>
      <c r="I727" s="336">
        <v>129</v>
      </c>
      <c r="J727" s="327">
        <f t="shared" ref="J727:J731" si="767">IF(I727&gt;H727, 1, 0)</f>
        <v>1</v>
      </c>
      <c r="K727" s="177">
        <f t="shared" ref="K727:K731" si="768">+D727+H727</f>
        <v>236</v>
      </c>
      <c r="L727" s="336">
        <f t="shared" ref="L727:L731" si="769">E727+I727</f>
        <v>253</v>
      </c>
      <c r="M727" s="327">
        <f t="shared" ref="M727:M731" si="770">IF(L727&gt;K727, 1, 0)</f>
        <v>1</v>
      </c>
      <c r="N727" s="337">
        <f t="shared" ref="N727:N731" si="771">(+H727-D727)</f>
        <v>2</v>
      </c>
      <c r="O727" s="395">
        <f t="shared" ref="O727:O731" si="772">I727-E727</f>
        <v>5</v>
      </c>
      <c r="P727" s="289">
        <f t="shared" ref="P727:P731" si="773">IF(OR(AND(N727&gt;0,O727&gt;0),AND(N727&lt;0,O727&lt;0)),1,0)</f>
        <v>1</v>
      </c>
      <c r="Q727" s="460">
        <f>WEEKNUM(tblResultadosNBA[[#This Row],[Fecha]],2)</f>
        <v>5</v>
      </c>
      <c r="R727" s="460" t="str">
        <f>TEXT(tblResultadosNBA[[#This Row],[Fecha]],"mmm")</f>
        <v>ene</v>
      </c>
    </row>
    <row r="728" spans="1:18">
      <c r="A728" s="439">
        <v>46053</v>
      </c>
      <c r="B728" s="302" t="s">
        <v>322</v>
      </c>
      <c r="C728" s="177" t="str">
        <f t="shared" si="764"/>
        <v>New Orleans Pelicans</v>
      </c>
      <c r="D728" s="177">
        <v>110</v>
      </c>
      <c r="E728" s="336">
        <v>114</v>
      </c>
      <c r="F728" s="327">
        <f t="shared" si="765"/>
        <v>1</v>
      </c>
      <c r="G728" s="177" t="str">
        <f t="shared" si="766"/>
        <v>Philadelphia 76ers</v>
      </c>
      <c r="H728" s="177">
        <v>119</v>
      </c>
      <c r="I728" s="336">
        <v>124</v>
      </c>
      <c r="J728" s="327">
        <f t="shared" si="767"/>
        <v>1</v>
      </c>
      <c r="K728" s="177">
        <f t="shared" si="768"/>
        <v>229</v>
      </c>
      <c r="L728" s="336">
        <f t="shared" si="769"/>
        <v>238</v>
      </c>
      <c r="M728" s="327">
        <f t="shared" si="770"/>
        <v>1</v>
      </c>
      <c r="N728" s="337">
        <f t="shared" si="771"/>
        <v>9</v>
      </c>
      <c r="O728" s="395">
        <f t="shared" si="772"/>
        <v>10</v>
      </c>
      <c r="P728" s="289">
        <f t="shared" si="773"/>
        <v>1</v>
      </c>
      <c r="Q728" s="460">
        <f>WEEKNUM(tblResultadosNBA[[#This Row],[Fecha]],2)</f>
        <v>5</v>
      </c>
      <c r="R728" s="460" t="str">
        <f>TEXT(tblResultadosNBA[[#This Row],[Fecha]],"mmm")</f>
        <v>ene</v>
      </c>
    </row>
    <row r="729" spans="1:18">
      <c r="A729" s="439">
        <v>46053</v>
      </c>
      <c r="B729" s="302" t="s">
        <v>323</v>
      </c>
      <c r="C729" s="177" t="str">
        <f t="shared" si="764"/>
        <v>Chicago Bulls</v>
      </c>
      <c r="D729" s="177">
        <v>114</v>
      </c>
      <c r="E729" s="336">
        <v>125</v>
      </c>
      <c r="F729" s="327">
        <f t="shared" si="765"/>
        <v>1</v>
      </c>
      <c r="G729" s="177" t="str">
        <f t="shared" si="766"/>
        <v>Miami Heat</v>
      </c>
      <c r="H729" s="177">
        <v>120</v>
      </c>
      <c r="I729" s="336">
        <v>118</v>
      </c>
      <c r="J729" s="327">
        <f t="shared" si="767"/>
        <v>0</v>
      </c>
      <c r="K729" s="177">
        <f t="shared" si="768"/>
        <v>234</v>
      </c>
      <c r="L729" s="336">
        <f t="shared" si="769"/>
        <v>243</v>
      </c>
      <c r="M729" s="327">
        <f t="shared" si="770"/>
        <v>1</v>
      </c>
      <c r="N729" s="337">
        <f t="shared" si="771"/>
        <v>6</v>
      </c>
      <c r="O729" s="395">
        <f t="shared" si="772"/>
        <v>-7</v>
      </c>
      <c r="P729" s="289">
        <f t="shared" si="773"/>
        <v>0</v>
      </c>
      <c r="Q729" s="460">
        <f>WEEKNUM(tblResultadosNBA[[#This Row],[Fecha]],2)</f>
        <v>5</v>
      </c>
      <c r="R729" s="460" t="str">
        <f>TEXT(tblResultadosNBA[[#This Row],[Fecha]],"mmm")</f>
        <v>ene</v>
      </c>
    </row>
    <row r="730" spans="1:18">
      <c r="A730" s="439">
        <v>46053</v>
      </c>
      <c r="B730" s="302" t="s">
        <v>725</v>
      </c>
      <c r="C730" s="177" t="str">
        <f t="shared" si="764"/>
        <v>Minnesota Timberwolves</v>
      </c>
      <c r="D730" s="177">
        <v>120</v>
      </c>
      <c r="E730" s="336">
        <v>131</v>
      </c>
      <c r="F730" s="327">
        <f t="shared" si="765"/>
        <v>1</v>
      </c>
      <c r="G730" s="177" t="str">
        <f t="shared" si="766"/>
        <v>Memphis Grizzlies</v>
      </c>
      <c r="H730" s="177">
        <v>116</v>
      </c>
      <c r="I730" s="336">
        <v>114</v>
      </c>
      <c r="J730" s="327">
        <f t="shared" si="767"/>
        <v>0</v>
      </c>
      <c r="K730" s="177">
        <f t="shared" si="768"/>
        <v>236</v>
      </c>
      <c r="L730" s="336">
        <f t="shared" si="769"/>
        <v>245</v>
      </c>
      <c r="M730" s="327">
        <f t="shared" si="770"/>
        <v>1</v>
      </c>
      <c r="N730" s="337">
        <f t="shared" si="771"/>
        <v>-4</v>
      </c>
      <c r="O730" s="395">
        <f t="shared" si="772"/>
        <v>-17</v>
      </c>
      <c r="P730" s="289">
        <f t="shared" si="773"/>
        <v>1</v>
      </c>
      <c r="Q730" s="460">
        <f>WEEKNUM(tblResultadosNBA[[#This Row],[Fecha]],2)</f>
        <v>5</v>
      </c>
      <c r="R730" s="460" t="str">
        <f>TEXT(tblResultadosNBA[[#This Row],[Fecha]],"mmm")</f>
        <v>ene</v>
      </c>
    </row>
    <row r="731" spans="1:18">
      <c r="A731" s="446">
        <v>46053</v>
      </c>
      <c r="B731" s="331" t="s">
        <v>493</v>
      </c>
      <c r="C731" s="286" t="str">
        <f t="shared" si="764"/>
        <v>Dallas Mavericks</v>
      </c>
      <c r="D731" s="286">
        <v>111</v>
      </c>
      <c r="E731" s="431">
        <v>107</v>
      </c>
      <c r="F731" s="332">
        <f t="shared" si="765"/>
        <v>0</v>
      </c>
      <c r="G731" s="286" t="str">
        <f t="shared" si="766"/>
        <v>Houston Rockets</v>
      </c>
      <c r="H731" s="286">
        <v>116</v>
      </c>
      <c r="I731" s="431">
        <v>111</v>
      </c>
      <c r="J731" s="332">
        <f t="shared" si="767"/>
        <v>0</v>
      </c>
      <c r="K731" s="286">
        <f t="shared" si="768"/>
        <v>227</v>
      </c>
      <c r="L731" s="431">
        <f t="shared" si="769"/>
        <v>218</v>
      </c>
      <c r="M731" s="332">
        <f t="shared" si="770"/>
        <v>0</v>
      </c>
      <c r="N731" s="432">
        <f t="shared" si="771"/>
        <v>5</v>
      </c>
      <c r="O731" s="451">
        <f t="shared" si="772"/>
        <v>4</v>
      </c>
      <c r="P731" s="433">
        <f t="shared" si="773"/>
        <v>1</v>
      </c>
      <c r="Q731" s="460">
        <f>WEEKNUM(tblResultadosNBA[[#This Row],[Fecha]],2)</f>
        <v>5</v>
      </c>
      <c r="R731" s="460" t="str">
        <f>TEXT(tblResultadosNBA[[#This Row],[Fecha]],"mmm")</f>
        <v>ene</v>
      </c>
    </row>
    <row r="732" spans="1:18">
      <c r="A732" s="439">
        <v>46054</v>
      </c>
      <c r="B732" s="422" t="s">
        <v>324</v>
      </c>
      <c r="C732" s="341" t="str">
        <f>LEFT(B732,FIND("@",B732)-2)</f>
        <v>Milwaukee Bucks</v>
      </c>
      <c r="D732" s="341">
        <v>108</v>
      </c>
      <c r="E732" s="342">
        <v>79</v>
      </c>
      <c r="F732" s="333">
        <f>IF(E732&gt;D732, 1, 0)</f>
        <v>0</v>
      </c>
      <c r="G732" s="341" t="str">
        <f>MID(B732,FIND("@",B732)+2,LEN(B732)-FIND("@",B732)-1)</f>
        <v>Boston Celtics</v>
      </c>
      <c r="H732" s="341">
        <v>118</v>
      </c>
      <c r="I732" s="342">
        <v>107</v>
      </c>
      <c r="J732" s="333">
        <f>IF(I732&gt;H732, 1, 0)</f>
        <v>0</v>
      </c>
      <c r="K732" s="341">
        <f>+D732+H732</f>
        <v>226</v>
      </c>
      <c r="L732" s="342">
        <f>E732+I732</f>
        <v>186</v>
      </c>
      <c r="M732" s="333">
        <f>IF(L732&gt;K732, 1, 0)</f>
        <v>0</v>
      </c>
      <c r="N732" s="343">
        <f>(+H732-D732)</f>
        <v>10</v>
      </c>
      <c r="O732" s="449">
        <f>I732-E732</f>
        <v>28</v>
      </c>
      <c r="P732" s="289">
        <f>IF(OR(AND(N732&gt;0,O732&gt;0),AND(N732&lt;0,O732&lt;0)),1,0)</f>
        <v>1</v>
      </c>
      <c r="Q732" s="460">
        <f>WEEKNUM(tblResultadosNBA[[#This Row],[Fecha]],2)</f>
        <v>5</v>
      </c>
      <c r="R732" s="460" t="str">
        <f>TEXT(tblResultadosNBA[[#This Row],[Fecha]],"mmm")</f>
        <v>feb</v>
      </c>
    </row>
    <row r="733" spans="1:18">
      <c r="A733" s="439">
        <v>46054</v>
      </c>
      <c r="B733" s="302" t="s">
        <v>726</v>
      </c>
      <c r="C733" s="177" t="str">
        <f t="shared" ref="C733:C741" si="774">LEFT(B733,FIND("@",B733)-2)</f>
        <v>Brooklyn Nets</v>
      </c>
      <c r="D733" s="177">
        <v>110</v>
      </c>
      <c r="E733" s="336">
        <v>77</v>
      </c>
      <c r="F733" s="327">
        <f t="shared" ref="F733:F741" si="775">IF(E733&gt;D733, 1, 0)</f>
        <v>0</v>
      </c>
      <c r="G733" s="177" t="str">
        <f t="shared" ref="G733:G741" si="776">MID(B733,FIND("@",B733)+2,LEN(B733)-FIND("@",B733)-1)</f>
        <v>Detroit Pistons</v>
      </c>
      <c r="H733" s="177">
        <v>108</v>
      </c>
      <c r="I733" s="336">
        <v>130</v>
      </c>
      <c r="J733" s="327">
        <f t="shared" ref="J733:J741" si="777">IF(I733&gt;H733, 1, 0)</f>
        <v>1</v>
      </c>
      <c r="K733" s="177">
        <f t="shared" ref="K733:K741" si="778">+D733+H733</f>
        <v>218</v>
      </c>
      <c r="L733" s="336">
        <f t="shared" ref="L733:L741" si="779">E733+I733</f>
        <v>207</v>
      </c>
      <c r="M733" s="327">
        <f t="shared" ref="M733:M741" si="780">IF(L733&gt;K733, 1, 0)</f>
        <v>0</v>
      </c>
      <c r="N733" s="337">
        <f t="shared" ref="N733:N741" si="781">(+H733-D733)</f>
        <v>-2</v>
      </c>
      <c r="O733" s="395">
        <f t="shared" ref="O733:O741" si="782">I733-E733</f>
        <v>53</v>
      </c>
      <c r="P733" s="289">
        <f t="shared" ref="P733:P741" si="783">IF(OR(AND(N733&gt;0,O733&gt;0),AND(N733&lt;0,O733&lt;0)),1,0)</f>
        <v>0</v>
      </c>
      <c r="Q733" s="460">
        <f>WEEKNUM(tblResultadosNBA[[#This Row],[Fecha]],2)</f>
        <v>5</v>
      </c>
      <c r="R733" s="460" t="str">
        <f>TEXT(tblResultadosNBA[[#This Row],[Fecha]],"mmm")</f>
        <v>feb</v>
      </c>
    </row>
    <row r="734" spans="1:18">
      <c r="A734" s="439">
        <v>46054</v>
      </c>
      <c r="B734" s="302" t="s">
        <v>323</v>
      </c>
      <c r="C734" s="177" t="str">
        <f t="shared" si="774"/>
        <v>Chicago Bulls</v>
      </c>
      <c r="D734" s="177">
        <v>111</v>
      </c>
      <c r="E734" s="336">
        <v>91</v>
      </c>
      <c r="F734" s="327">
        <f t="shared" si="775"/>
        <v>0</v>
      </c>
      <c r="G734" s="177" t="str">
        <f t="shared" si="776"/>
        <v>Miami Heat</v>
      </c>
      <c r="H734" s="177">
        <v>118</v>
      </c>
      <c r="I734" s="336">
        <v>134</v>
      </c>
      <c r="J734" s="327">
        <f t="shared" si="777"/>
        <v>1</v>
      </c>
      <c r="K734" s="177">
        <f t="shared" si="778"/>
        <v>229</v>
      </c>
      <c r="L734" s="336">
        <f t="shared" si="779"/>
        <v>225</v>
      </c>
      <c r="M734" s="327">
        <f t="shared" si="780"/>
        <v>0</v>
      </c>
      <c r="N734" s="337">
        <f t="shared" si="781"/>
        <v>7</v>
      </c>
      <c r="O734" s="395">
        <f t="shared" si="782"/>
        <v>43</v>
      </c>
      <c r="P734" s="289">
        <f t="shared" si="783"/>
        <v>1</v>
      </c>
      <c r="Q734" s="460">
        <f>WEEKNUM(tblResultadosNBA[[#This Row],[Fecha]],2)</f>
        <v>5</v>
      </c>
      <c r="R734" s="460" t="str">
        <f>TEXT(tblResultadosNBA[[#This Row],[Fecha]],"mmm")</f>
        <v>feb</v>
      </c>
    </row>
    <row r="735" spans="1:18">
      <c r="A735" s="439">
        <v>46054</v>
      </c>
      <c r="B735" s="302" t="s">
        <v>325</v>
      </c>
      <c r="C735" s="177" t="str">
        <f t="shared" si="774"/>
        <v>Utah Jazz</v>
      </c>
      <c r="D735" s="177">
        <v>114</v>
      </c>
      <c r="E735" s="336">
        <v>100</v>
      </c>
      <c r="F735" s="327">
        <f t="shared" si="775"/>
        <v>0</v>
      </c>
      <c r="G735" s="177" t="str">
        <f t="shared" si="776"/>
        <v>Toronto Raptors</v>
      </c>
      <c r="H735" s="177">
        <v>120</v>
      </c>
      <c r="I735" s="336">
        <v>107</v>
      </c>
      <c r="J735" s="327">
        <f t="shared" si="777"/>
        <v>0</v>
      </c>
      <c r="K735" s="177">
        <f t="shared" si="778"/>
        <v>234</v>
      </c>
      <c r="L735" s="336">
        <f t="shared" si="779"/>
        <v>207</v>
      </c>
      <c r="M735" s="327">
        <f t="shared" si="780"/>
        <v>0</v>
      </c>
      <c r="N735" s="337">
        <f t="shared" si="781"/>
        <v>6</v>
      </c>
      <c r="O735" s="395">
        <f t="shared" si="782"/>
        <v>7</v>
      </c>
      <c r="P735" s="289">
        <f t="shared" si="783"/>
        <v>1</v>
      </c>
      <c r="Q735" s="460">
        <f>WEEKNUM(tblResultadosNBA[[#This Row],[Fecha]],2)</f>
        <v>5</v>
      </c>
      <c r="R735" s="460" t="str">
        <f>TEXT(tblResultadosNBA[[#This Row],[Fecha]],"mmm")</f>
        <v>feb</v>
      </c>
    </row>
    <row r="736" spans="1:18">
      <c r="A736" s="439">
        <v>46054</v>
      </c>
      <c r="B736" s="302" t="s">
        <v>727</v>
      </c>
      <c r="C736" s="177" t="str">
        <f t="shared" si="774"/>
        <v>Sacramento Kings</v>
      </c>
      <c r="D736" s="177">
        <v>117</v>
      </c>
      <c r="E736" s="336">
        <v>112</v>
      </c>
      <c r="F736" s="327">
        <f t="shared" si="775"/>
        <v>0</v>
      </c>
      <c r="G736" s="177" t="str">
        <f t="shared" si="776"/>
        <v>Washington Wizards</v>
      </c>
      <c r="H736" s="177">
        <v>118</v>
      </c>
      <c r="I736" s="336">
        <v>116</v>
      </c>
      <c r="J736" s="327">
        <f t="shared" si="777"/>
        <v>0</v>
      </c>
      <c r="K736" s="177">
        <f t="shared" si="778"/>
        <v>235</v>
      </c>
      <c r="L736" s="336">
        <f t="shared" si="779"/>
        <v>228</v>
      </c>
      <c r="M736" s="327">
        <f t="shared" si="780"/>
        <v>0</v>
      </c>
      <c r="N736" s="337">
        <f t="shared" si="781"/>
        <v>1</v>
      </c>
      <c r="O736" s="395">
        <f t="shared" si="782"/>
        <v>4</v>
      </c>
      <c r="P736" s="289">
        <f t="shared" si="783"/>
        <v>1</v>
      </c>
      <c r="Q736" s="460">
        <f>WEEKNUM(tblResultadosNBA[[#This Row],[Fecha]],2)</f>
        <v>5</v>
      </c>
      <c r="R736" s="460" t="str">
        <f>TEXT(tblResultadosNBA[[#This Row],[Fecha]],"mmm")</f>
        <v>feb</v>
      </c>
    </row>
    <row r="737" spans="1:18">
      <c r="A737" s="439">
        <v>46054</v>
      </c>
      <c r="B737" s="302" t="s">
        <v>326</v>
      </c>
      <c r="C737" s="177" t="str">
        <f t="shared" si="774"/>
        <v>Orlando Magic</v>
      </c>
      <c r="D737" s="177">
        <v>111</v>
      </c>
      <c r="E737" s="336">
        <v>103</v>
      </c>
      <c r="F737" s="327">
        <f t="shared" si="775"/>
        <v>0</v>
      </c>
      <c r="G737" s="177" t="str">
        <f t="shared" si="776"/>
        <v>San Antonio Spurs</v>
      </c>
      <c r="H737" s="177">
        <v>115</v>
      </c>
      <c r="I737" s="336">
        <v>112</v>
      </c>
      <c r="J737" s="327">
        <f t="shared" si="777"/>
        <v>0</v>
      </c>
      <c r="K737" s="177">
        <f t="shared" si="778"/>
        <v>226</v>
      </c>
      <c r="L737" s="336">
        <f t="shared" si="779"/>
        <v>215</v>
      </c>
      <c r="M737" s="327">
        <f t="shared" si="780"/>
        <v>0</v>
      </c>
      <c r="N737" s="337">
        <f t="shared" si="781"/>
        <v>4</v>
      </c>
      <c r="O737" s="395">
        <f t="shared" si="782"/>
        <v>9</v>
      </c>
      <c r="P737" s="289">
        <f t="shared" si="783"/>
        <v>1</v>
      </c>
      <c r="Q737" s="460">
        <f>WEEKNUM(tblResultadosNBA[[#This Row],[Fecha]],2)</f>
        <v>5</v>
      </c>
      <c r="R737" s="460" t="str">
        <f>TEXT(tblResultadosNBA[[#This Row],[Fecha]],"mmm")</f>
        <v>feb</v>
      </c>
    </row>
    <row r="738" spans="1:18">
      <c r="A738" s="439">
        <v>46054</v>
      </c>
      <c r="B738" s="302" t="s">
        <v>327</v>
      </c>
      <c r="C738" s="177" t="str">
        <f t="shared" si="774"/>
        <v>Los Angeles Lakers</v>
      </c>
      <c r="D738" s="177">
        <v>114</v>
      </c>
      <c r="E738" s="336">
        <v>100</v>
      </c>
      <c r="F738" s="327">
        <f t="shared" si="775"/>
        <v>0</v>
      </c>
      <c r="G738" s="177" t="str">
        <f t="shared" si="776"/>
        <v>New York Knicks</v>
      </c>
      <c r="H738" s="177">
        <v>115</v>
      </c>
      <c r="I738" s="336">
        <v>112</v>
      </c>
      <c r="J738" s="327">
        <f t="shared" si="777"/>
        <v>0</v>
      </c>
      <c r="K738" s="177">
        <f t="shared" si="778"/>
        <v>229</v>
      </c>
      <c r="L738" s="336">
        <f t="shared" si="779"/>
        <v>212</v>
      </c>
      <c r="M738" s="327">
        <f t="shared" si="780"/>
        <v>0</v>
      </c>
      <c r="N738" s="337">
        <f t="shared" si="781"/>
        <v>1</v>
      </c>
      <c r="O738" s="395">
        <f t="shared" si="782"/>
        <v>12</v>
      </c>
      <c r="P738" s="289">
        <f t="shared" si="783"/>
        <v>1</v>
      </c>
      <c r="Q738" s="460">
        <f>WEEKNUM(tblResultadosNBA[[#This Row],[Fecha]],2)</f>
        <v>5</v>
      </c>
      <c r="R738" s="460" t="str">
        <f>TEXT(tblResultadosNBA[[#This Row],[Fecha]],"mmm")</f>
        <v>feb</v>
      </c>
    </row>
    <row r="739" spans="1:18">
      <c r="A739" s="439">
        <v>46054</v>
      </c>
      <c r="B739" s="302" t="s">
        <v>328</v>
      </c>
      <c r="C739" s="177" t="str">
        <f t="shared" si="774"/>
        <v>LA Clippers</v>
      </c>
      <c r="D739" s="177">
        <v>113</v>
      </c>
      <c r="E739" s="336">
        <v>117</v>
      </c>
      <c r="F739" s="327">
        <f t="shared" si="775"/>
        <v>1</v>
      </c>
      <c r="G739" s="177" t="str">
        <f t="shared" si="776"/>
        <v>Phoenix Suns</v>
      </c>
      <c r="H739" s="177">
        <v>113</v>
      </c>
      <c r="I739" s="336">
        <v>93</v>
      </c>
      <c r="J739" s="327">
        <f t="shared" si="777"/>
        <v>0</v>
      </c>
      <c r="K739" s="177">
        <f t="shared" si="778"/>
        <v>226</v>
      </c>
      <c r="L739" s="336">
        <f t="shared" si="779"/>
        <v>210</v>
      </c>
      <c r="M739" s="327">
        <f t="shared" si="780"/>
        <v>0</v>
      </c>
      <c r="N739" s="337">
        <f t="shared" si="781"/>
        <v>0</v>
      </c>
      <c r="O739" s="395">
        <f t="shared" si="782"/>
        <v>-24</v>
      </c>
      <c r="P739" s="289">
        <f t="shared" si="783"/>
        <v>0</v>
      </c>
      <c r="Q739" s="460">
        <f>WEEKNUM(tblResultadosNBA[[#This Row],[Fecha]],2)</f>
        <v>5</v>
      </c>
      <c r="R739" s="460" t="str">
        <f>TEXT(tblResultadosNBA[[#This Row],[Fecha]],"mmm")</f>
        <v>feb</v>
      </c>
    </row>
    <row r="740" spans="1:18">
      <c r="A740" s="439">
        <v>46054</v>
      </c>
      <c r="B740" s="302" t="s">
        <v>728</v>
      </c>
      <c r="C740" s="177" t="str">
        <f t="shared" si="774"/>
        <v>Cleveland Cavaliers</v>
      </c>
      <c r="D740" s="177">
        <v>119</v>
      </c>
      <c r="E740" s="336">
        <v>130</v>
      </c>
      <c r="F740" s="327">
        <f t="shared" si="775"/>
        <v>1</v>
      </c>
      <c r="G740" s="177" t="str">
        <f t="shared" si="776"/>
        <v>Portland Trail Blazers</v>
      </c>
      <c r="H740" s="177">
        <v>116</v>
      </c>
      <c r="I740" s="336">
        <v>111</v>
      </c>
      <c r="J740" s="327">
        <f t="shared" si="777"/>
        <v>0</v>
      </c>
      <c r="K740" s="177">
        <f t="shared" si="778"/>
        <v>235</v>
      </c>
      <c r="L740" s="336">
        <f t="shared" si="779"/>
        <v>241</v>
      </c>
      <c r="M740" s="327">
        <f t="shared" si="780"/>
        <v>1</v>
      </c>
      <c r="N740" s="337">
        <f t="shared" si="781"/>
        <v>-3</v>
      </c>
      <c r="O740" s="395">
        <f t="shared" si="782"/>
        <v>-19</v>
      </c>
      <c r="P740" s="289">
        <f t="shared" si="783"/>
        <v>1</v>
      </c>
      <c r="Q740" s="460">
        <f>WEEKNUM(tblResultadosNBA[[#This Row],[Fecha]],2)</f>
        <v>5</v>
      </c>
      <c r="R740" s="460" t="str">
        <f>TEXT(tblResultadosNBA[[#This Row],[Fecha]],"mmm")</f>
        <v>feb</v>
      </c>
    </row>
    <row r="741" spans="1:18">
      <c r="A741" s="446">
        <v>46054</v>
      </c>
      <c r="B741" s="331" t="s">
        <v>729</v>
      </c>
      <c r="C741" s="286" t="str">
        <f t="shared" si="774"/>
        <v>Oklahoma City Thunder</v>
      </c>
      <c r="D741" s="286">
        <v>114</v>
      </c>
      <c r="E741" s="431">
        <v>121</v>
      </c>
      <c r="F741" s="332">
        <f t="shared" si="775"/>
        <v>1</v>
      </c>
      <c r="G741" s="286" t="str">
        <f t="shared" si="776"/>
        <v>Denver Nuggets</v>
      </c>
      <c r="H741" s="286">
        <v>115</v>
      </c>
      <c r="I741" s="431">
        <v>111</v>
      </c>
      <c r="J741" s="332">
        <f t="shared" si="777"/>
        <v>0</v>
      </c>
      <c r="K741" s="286">
        <f t="shared" si="778"/>
        <v>229</v>
      </c>
      <c r="L741" s="431">
        <f t="shared" si="779"/>
        <v>232</v>
      </c>
      <c r="M741" s="332">
        <f t="shared" si="780"/>
        <v>1</v>
      </c>
      <c r="N741" s="432">
        <f t="shared" si="781"/>
        <v>1</v>
      </c>
      <c r="O741" s="451">
        <f t="shared" si="782"/>
        <v>-10</v>
      </c>
      <c r="P741" s="433">
        <f t="shared" si="783"/>
        <v>0</v>
      </c>
      <c r="Q741" s="460">
        <f>WEEKNUM(tblResultadosNBA[[#This Row],[Fecha]],2)</f>
        <v>5</v>
      </c>
      <c r="R741" s="460" t="str">
        <f>TEXT(tblResultadosNBA[[#This Row],[Fecha]],"mmm")</f>
        <v>feb</v>
      </c>
    </row>
    <row r="742" spans="1:18">
      <c r="A742" s="439">
        <v>46055</v>
      </c>
      <c r="B742" s="422" t="s">
        <v>730</v>
      </c>
      <c r="C742" s="341" t="str">
        <f>LEFT(B742,FIND("@",B742)-2)</f>
        <v>New Orleans Pelicans</v>
      </c>
      <c r="D742" s="341">
        <v>117</v>
      </c>
      <c r="E742" s="342">
        <v>95</v>
      </c>
      <c r="F742" s="333">
        <f>IF(E742&gt;D742, 1, 0)</f>
        <v>0</v>
      </c>
      <c r="G742" s="341" t="str">
        <f>MID(B742,FIND("@",B742)+2,LEN(B742)-FIND("@",B742)-1)</f>
        <v>Charlotte Hornets</v>
      </c>
      <c r="H742" s="341">
        <v>120</v>
      </c>
      <c r="I742" s="342">
        <v>102</v>
      </c>
      <c r="J742" s="333">
        <f>IF(I742&gt;H742, 1, 0)</f>
        <v>0</v>
      </c>
      <c r="K742" s="341">
        <f>+D742+H742</f>
        <v>237</v>
      </c>
      <c r="L742" s="342">
        <f>E742+I742</f>
        <v>197</v>
      </c>
      <c r="M742" s="333">
        <f>IF(L742&gt;K742, 1, 0)</f>
        <v>0</v>
      </c>
      <c r="N742" s="343">
        <f>(+H742-D742)</f>
        <v>3</v>
      </c>
      <c r="O742" s="449">
        <f>I742-E742</f>
        <v>7</v>
      </c>
      <c r="P742" s="289">
        <f>IF(OR(AND(N742&gt;0,O742&gt;0),AND(N742&lt;0,O742&lt;0)),1,0)</f>
        <v>1</v>
      </c>
      <c r="Q742" s="460">
        <f>WEEKNUM(tblResultadosNBA[[#This Row],[Fecha]],2)</f>
        <v>6</v>
      </c>
      <c r="R742" s="460" t="str">
        <f>TEXT(tblResultadosNBA[[#This Row],[Fecha]],"mmm")</f>
        <v>feb</v>
      </c>
    </row>
    <row r="743" spans="1:18">
      <c r="A743" s="439">
        <v>46055</v>
      </c>
      <c r="B743" s="302" t="s">
        <v>329</v>
      </c>
      <c r="C743" s="177" t="str">
        <f t="shared" ref="C743:C745" si="784">LEFT(B743,FIND("@",B743)-2)</f>
        <v>Houston Rockets</v>
      </c>
      <c r="D743" s="177">
        <v>119</v>
      </c>
      <c r="E743" s="336">
        <v>118</v>
      </c>
      <c r="F743" s="327">
        <f t="shared" ref="F743:F745" si="785">IF(E743&gt;D743, 1, 0)</f>
        <v>0</v>
      </c>
      <c r="G743" s="177" t="str">
        <f t="shared" ref="G743:G745" si="786">MID(B743,FIND("@",B743)+2,LEN(B743)-FIND("@",B743)-1)</f>
        <v>Indiana Pacers</v>
      </c>
      <c r="H743" s="177">
        <v>111</v>
      </c>
      <c r="I743" s="336">
        <v>114</v>
      </c>
      <c r="J743" s="327">
        <f t="shared" ref="J743:J745" si="787">IF(I743&gt;H743, 1, 0)</f>
        <v>1</v>
      </c>
      <c r="K743" s="177">
        <f t="shared" ref="K743:K745" si="788">+D743+H743</f>
        <v>230</v>
      </c>
      <c r="L743" s="336">
        <f t="shared" ref="L743:L745" si="789">E743+I743</f>
        <v>232</v>
      </c>
      <c r="M743" s="327">
        <f t="shared" ref="M743:M745" si="790">IF(L743&gt;K743, 1, 0)</f>
        <v>1</v>
      </c>
      <c r="N743" s="337">
        <f t="shared" ref="N743:N745" si="791">(+H743-D743)</f>
        <v>-8</v>
      </c>
      <c r="O743" s="395">
        <f t="shared" ref="O743:O745" si="792">I743-E743</f>
        <v>-4</v>
      </c>
      <c r="P743" s="289">
        <f t="shared" ref="P743:P745" si="793">IF(OR(AND(N743&gt;0,O743&gt;0),AND(N743&lt;0,O743&lt;0)),1,0)</f>
        <v>1</v>
      </c>
      <c r="Q743" s="460">
        <f>WEEKNUM(tblResultadosNBA[[#This Row],[Fecha]],2)</f>
        <v>6</v>
      </c>
      <c r="R743" s="460" t="str">
        <f>TEXT(tblResultadosNBA[[#This Row],[Fecha]],"mmm")</f>
        <v>feb</v>
      </c>
    </row>
    <row r="744" spans="1:18">
      <c r="A744" s="439">
        <v>46055</v>
      </c>
      <c r="B744" s="302" t="s">
        <v>725</v>
      </c>
      <c r="C744" s="177" t="str">
        <f t="shared" si="784"/>
        <v>Minnesota Timberwolves</v>
      </c>
      <c r="D744" s="177">
        <v>119</v>
      </c>
      <c r="E744" s="336">
        <v>128</v>
      </c>
      <c r="F744" s="327">
        <f t="shared" si="785"/>
        <v>1</v>
      </c>
      <c r="G744" s="177" t="str">
        <f t="shared" si="786"/>
        <v>Memphis Grizzlies</v>
      </c>
      <c r="H744" s="177">
        <v>116</v>
      </c>
      <c r="I744" s="336">
        <v>137</v>
      </c>
      <c r="J744" s="327">
        <f t="shared" si="787"/>
        <v>1</v>
      </c>
      <c r="K744" s="177">
        <f t="shared" si="788"/>
        <v>235</v>
      </c>
      <c r="L744" s="336">
        <f t="shared" si="789"/>
        <v>265</v>
      </c>
      <c r="M744" s="327">
        <f t="shared" si="790"/>
        <v>1</v>
      </c>
      <c r="N744" s="337">
        <f t="shared" si="791"/>
        <v>-3</v>
      </c>
      <c r="O744" s="395">
        <f t="shared" si="792"/>
        <v>9</v>
      </c>
      <c r="P744" s="289">
        <f t="shared" si="793"/>
        <v>0</v>
      </c>
      <c r="Q744" s="460">
        <f>WEEKNUM(tblResultadosNBA[[#This Row],[Fecha]],2)</f>
        <v>6</v>
      </c>
      <c r="R744" s="460" t="str">
        <f>TEXT(tblResultadosNBA[[#This Row],[Fecha]],"mmm")</f>
        <v>feb</v>
      </c>
    </row>
    <row r="745" spans="1:18">
      <c r="A745" s="446">
        <v>46055</v>
      </c>
      <c r="B745" s="331" t="s">
        <v>330</v>
      </c>
      <c r="C745" s="286" t="str">
        <f t="shared" si="784"/>
        <v>Philadelphia 76ers</v>
      </c>
      <c r="D745" s="286">
        <v>115</v>
      </c>
      <c r="E745" s="431">
        <v>128</v>
      </c>
      <c r="F745" s="332">
        <f t="shared" si="785"/>
        <v>1</v>
      </c>
      <c r="G745" s="286" t="str">
        <f t="shared" si="786"/>
        <v>LA Clippers</v>
      </c>
      <c r="H745" s="286">
        <v>116</v>
      </c>
      <c r="I745" s="431">
        <v>113</v>
      </c>
      <c r="J745" s="332">
        <f t="shared" si="787"/>
        <v>0</v>
      </c>
      <c r="K745" s="286">
        <f t="shared" si="788"/>
        <v>231</v>
      </c>
      <c r="L745" s="431">
        <f t="shared" si="789"/>
        <v>241</v>
      </c>
      <c r="M745" s="332">
        <f t="shared" si="790"/>
        <v>1</v>
      </c>
      <c r="N745" s="432">
        <f t="shared" si="791"/>
        <v>1</v>
      </c>
      <c r="O745" s="451">
        <f t="shared" si="792"/>
        <v>-15</v>
      </c>
      <c r="P745" s="433">
        <f t="shared" si="793"/>
        <v>0</v>
      </c>
      <c r="Q745" s="460">
        <f>WEEKNUM(tblResultadosNBA[[#This Row],[Fecha]],2)</f>
        <v>6</v>
      </c>
      <c r="R745" s="460" t="str">
        <f>TEXT(tblResultadosNBA[[#This Row],[Fecha]],"mmm")</f>
        <v>feb</v>
      </c>
    </row>
    <row r="746" spans="1:18">
      <c r="A746" s="439">
        <v>46056</v>
      </c>
      <c r="B746" s="422" t="s">
        <v>331</v>
      </c>
      <c r="C746" s="341" t="str">
        <f>LEFT(B746,FIND("@",B746)-2)</f>
        <v>Denver Nuggets</v>
      </c>
      <c r="D746" s="341">
        <v>117</v>
      </c>
      <c r="E746" s="342">
        <v>121</v>
      </c>
      <c r="F746" s="333">
        <f>IF(E746&gt;D746, 1, 0)</f>
        <v>1</v>
      </c>
      <c r="G746" s="341" t="str">
        <f>MID(B746,FIND("@",B746)+2,LEN(B746)-FIND("@",B746)-1)</f>
        <v>Detroit Pistons</v>
      </c>
      <c r="H746" s="341">
        <v>112</v>
      </c>
      <c r="I746" s="342">
        <v>124</v>
      </c>
      <c r="J746" s="333">
        <f>IF(I746&gt;H746, 1, 0)</f>
        <v>1</v>
      </c>
      <c r="K746" s="341">
        <f>+D746+H746</f>
        <v>229</v>
      </c>
      <c r="L746" s="342">
        <f>E746+I746</f>
        <v>245</v>
      </c>
      <c r="M746" s="333">
        <f>IF(L746&gt;K746, 1, 0)</f>
        <v>1</v>
      </c>
      <c r="N746" s="343">
        <f>(+H746-D746)</f>
        <v>-5</v>
      </c>
      <c r="O746" s="449">
        <f>I746-E746</f>
        <v>3</v>
      </c>
      <c r="P746" s="289">
        <f>IF(OR(AND(N746&gt;0,O746&gt;0),AND(N746&lt;0,O746&lt;0)),1,0)</f>
        <v>0</v>
      </c>
      <c r="Q746" s="460">
        <f>WEEKNUM(tblResultadosNBA[[#This Row],[Fecha]],2)</f>
        <v>6</v>
      </c>
      <c r="R746" s="460" t="str">
        <f>TEXT(tblResultadosNBA[[#This Row],[Fecha]],"mmm")</f>
        <v>feb</v>
      </c>
    </row>
    <row r="747" spans="1:18">
      <c r="A747" s="439">
        <v>46056</v>
      </c>
      <c r="B747" s="302" t="s">
        <v>332</v>
      </c>
      <c r="C747" s="177" t="str">
        <f t="shared" ref="C747:C755" si="794">LEFT(B747,FIND("@",B747)-2)</f>
        <v>Utah Jazz</v>
      </c>
      <c r="D747" s="177">
        <v>118</v>
      </c>
      <c r="E747" s="336">
        <v>131</v>
      </c>
      <c r="F747" s="327">
        <f t="shared" ref="F747:F755" si="795">IF(E747&gt;D747, 1, 0)</f>
        <v>1</v>
      </c>
      <c r="G747" s="177" t="str">
        <f t="shared" ref="G747:G755" si="796">MID(B747,FIND("@",B747)+2,LEN(B747)-FIND("@",B747)-1)</f>
        <v>Indiana Pacers</v>
      </c>
      <c r="H747" s="177">
        <v>115</v>
      </c>
      <c r="I747" s="336">
        <v>122</v>
      </c>
      <c r="J747" s="327">
        <f t="shared" ref="J747:J755" si="797">IF(I747&gt;H747, 1, 0)</f>
        <v>1</v>
      </c>
      <c r="K747" s="177">
        <f t="shared" ref="K747:K755" si="798">+D747+H747</f>
        <v>233</v>
      </c>
      <c r="L747" s="336">
        <f t="shared" ref="L747:L755" si="799">E747+I747</f>
        <v>253</v>
      </c>
      <c r="M747" s="327">
        <f t="shared" ref="M747:M755" si="800">IF(L747&gt;K747, 1, 0)</f>
        <v>1</v>
      </c>
      <c r="N747" s="337">
        <f t="shared" ref="N747:N755" si="801">(+H747-D747)</f>
        <v>-3</v>
      </c>
      <c r="O747" s="395">
        <f t="shared" ref="O747:O755" si="802">I747-E747</f>
        <v>-9</v>
      </c>
      <c r="P747" s="289">
        <f t="shared" ref="P747:P755" si="803">IF(OR(AND(N747&gt;0,O747&gt;0),AND(N747&lt;0,O747&lt;0)),1,0)</f>
        <v>1</v>
      </c>
      <c r="Q747" s="460">
        <f>WEEKNUM(tblResultadosNBA[[#This Row],[Fecha]],2)</f>
        <v>6</v>
      </c>
      <c r="R747" s="460" t="str">
        <f>TEXT(tblResultadosNBA[[#This Row],[Fecha]],"mmm")</f>
        <v>feb</v>
      </c>
    </row>
    <row r="748" spans="1:18">
      <c r="A748" s="439">
        <v>46056</v>
      </c>
      <c r="B748" s="302" t="s">
        <v>731</v>
      </c>
      <c r="C748" s="177" t="str">
        <f t="shared" si="794"/>
        <v>New York Knicks</v>
      </c>
      <c r="D748" s="177">
        <v>120</v>
      </c>
      <c r="E748" s="336">
        <v>132</v>
      </c>
      <c r="F748" s="327">
        <f t="shared" si="795"/>
        <v>1</v>
      </c>
      <c r="G748" s="177" t="str">
        <f t="shared" si="796"/>
        <v>Washington Wizards</v>
      </c>
      <c r="H748" s="177">
        <v>113</v>
      </c>
      <c r="I748" s="336">
        <v>101</v>
      </c>
      <c r="J748" s="327">
        <f t="shared" si="797"/>
        <v>0</v>
      </c>
      <c r="K748" s="177">
        <f t="shared" si="798"/>
        <v>233</v>
      </c>
      <c r="L748" s="336">
        <f t="shared" si="799"/>
        <v>233</v>
      </c>
      <c r="M748" s="327">
        <f t="shared" si="800"/>
        <v>0</v>
      </c>
      <c r="N748" s="337">
        <f t="shared" si="801"/>
        <v>-7</v>
      </c>
      <c r="O748" s="395">
        <f t="shared" si="802"/>
        <v>-31</v>
      </c>
      <c r="P748" s="289">
        <f t="shared" si="803"/>
        <v>1</v>
      </c>
      <c r="Q748" s="460">
        <f>WEEKNUM(tblResultadosNBA[[#This Row],[Fecha]],2)</f>
        <v>6</v>
      </c>
      <c r="R748" s="460" t="str">
        <f>TEXT(tblResultadosNBA[[#This Row],[Fecha]],"mmm")</f>
        <v>feb</v>
      </c>
    </row>
    <row r="749" spans="1:18">
      <c r="A749" s="439">
        <v>46056</v>
      </c>
      <c r="B749" s="302" t="s">
        <v>732</v>
      </c>
      <c r="C749" s="177" t="str">
        <f t="shared" si="794"/>
        <v>Los Angeles Lakers</v>
      </c>
      <c r="D749" s="177">
        <v>115</v>
      </c>
      <c r="E749" s="336">
        <v>125</v>
      </c>
      <c r="F749" s="327">
        <f t="shared" si="795"/>
        <v>1</v>
      </c>
      <c r="G749" s="177" t="str">
        <f t="shared" si="796"/>
        <v>Brooklyn Nets</v>
      </c>
      <c r="H749" s="177">
        <v>114</v>
      </c>
      <c r="I749" s="336">
        <v>109</v>
      </c>
      <c r="J749" s="327">
        <f t="shared" si="797"/>
        <v>0</v>
      </c>
      <c r="K749" s="177">
        <f t="shared" si="798"/>
        <v>229</v>
      </c>
      <c r="L749" s="336">
        <f t="shared" si="799"/>
        <v>234</v>
      </c>
      <c r="M749" s="327">
        <f t="shared" si="800"/>
        <v>1</v>
      </c>
      <c r="N749" s="337">
        <f t="shared" si="801"/>
        <v>-1</v>
      </c>
      <c r="O749" s="395">
        <f t="shared" si="802"/>
        <v>-16</v>
      </c>
      <c r="P749" s="289">
        <f t="shared" si="803"/>
        <v>1</v>
      </c>
      <c r="Q749" s="460">
        <f>WEEKNUM(tblResultadosNBA[[#This Row],[Fecha]],2)</f>
        <v>6</v>
      </c>
      <c r="R749" s="460" t="str">
        <f>TEXT(tblResultadosNBA[[#This Row],[Fecha]],"mmm")</f>
        <v>feb</v>
      </c>
    </row>
    <row r="750" spans="1:18">
      <c r="A750" s="439">
        <v>46056</v>
      </c>
      <c r="B750" s="302" t="s">
        <v>333</v>
      </c>
      <c r="C750" s="177" t="str">
        <f t="shared" si="794"/>
        <v>Atlanta Hawks</v>
      </c>
      <c r="D750" s="177">
        <v>114</v>
      </c>
      <c r="E750" s="336">
        <v>127</v>
      </c>
      <c r="F750" s="327">
        <f t="shared" si="795"/>
        <v>1</v>
      </c>
      <c r="G750" s="177" t="str">
        <f t="shared" si="796"/>
        <v>Miami Heat</v>
      </c>
      <c r="H750" s="177">
        <v>120</v>
      </c>
      <c r="I750" s="336">
        <v>115</v>
      </c>
      <c r="J750" s="327">
        <f t="shared" si="797"/>
        <v>0</v>
      </c>
      <c r="K750" s="177">
        <f t="shared" si="798"/>
        <v>234</v>
      </c>
      <c r="L750" s="336">
        <f t="shared" si="799"/>
        <v>242</v>
      </c>
      <c r="M750" s="327">
        <f t="shared" si="800"/>
        <v>1</v>
      </c>
      <c r="N750" s="337">
        <f t="shared" si="801"/>
        <v>6</v>
      </c>
      <c r="O750" s="395">
        <f t="shared" si="802"/>
        <v>-12</v>
      </c>
      <c r="P750" s="289">
        <f t="shared" si="803"/>
        <v>0</v>
      </c>
      <c r="Q750" s="460">
        <f>WEEKNUM(tblResultadosNBA[[#This Row],[Fecha]],2)</f>
        <v>6</v>
      </c>
      <c r="R750" s="460" t="str">
        <f>TEXT(tblResultadosNBA[[#This Row],[Fecha]],"mmm")</f>
        <v>feb</v>
      </c>
    </row>
    <row r="751" spans="1:18">
      <c r="A751" s="439">
        <v>46056</v>
      </c>
      <c r="B751" s="302" t="s">
        <v>334</v>
      </c>
      <c r="C751" s="177" t="str">
        <f t="shared" si="794"/>
        <v>Boston Celtics</v>
      </c>
      <c r="D751" s="177">
        <v>114</v>
      </c>
      <c r="E751" s="336">
        <v>110</v>
      </c>
      <c r="F751" s="327">
        <f t="shared" si="795"/>
        <v>0</v>
      </c>
      <c r="G751" s="177" t="str">
        <f t="shared" si="796"/>
        <v>Dallas Mavericks</v>
      </c>
      <c r="H751" s="177">
        <v>110</v>
      </c>
      <c r="I751" s="336">
        <v>100</v>
      </c>
      <c r="J751" s="327">
        <f t="shared" si="797"/>
        <v>0</v>
      </c>
      <c r="K751" s="177">
        <f t="shared" si="798"/>
        <v>224</v>
      </c>
      <c r="L751" s="336">
        <f t="shared" si="799"/>
        <v>210</v>
      </c>
      <c r="M751" s="327">
        <f t="shared" si="800"/>
        <v>0</v>
      </c>
      <c r="N751" s="337">
        <f t="shared" si="801"/>
        <v>-4</v>
      </c>
      <c r="O751" s="395">
        <f t="shared" si="802"/>
        <v>-10</v>
      </c>
      <c r="P751" s="289">
        <f t="shared" si="803"/>
        <v>1</v>
      </c>
      <c r="Q751" s="460">
        <f>WEEKNUM(tblResultadosNBA[[#This Row],[Fecha]],2)</f>
        <v>6</v>
      </c>
      <c r="R751" s="460" t="str">
        <f>TEXT(tblResultadosNBA[[#This Row],[Fecha]],"mmm")</f>
        <v>feb</v>
      </c>
    </row>
    <row r="752" spans="1:18">
      <c r="A752" s="439">
        <v>46056</v>
      </c>
      <c r="B752" s="302" t="s">
        <v>517</v>
      </c>
      <c r="C752" s="177" t="str">
        <f t="shared" si="794"/>
        <v>Chicago Bulls</v>
      </c>
      <c r="D752" s="177">
        <v>110</v>
      </c>
      <c r="E752" s="336">
        <v>115</v>
      </c>
      <c r="F752" s="327">
        <f t="shared" si="795"/>
        <v>1</v>
      </c>
      <c r="G752" s="177" t="str">
        <f t="shared" si="796"/>
        <v>Milwaukee Bucks</v>
      </c>
      <c r="H752" s="177">
        <v>118</v>
      </c>
      <c r="I752" s="336">
        <v>131</v>
      </c>
      <c r="J752" s="327">
        <f t="shared" si="797"/>
        <v>1</v>
      </c>
      <c r="K752" s="177">
        <f t="shared" si="798"/>
        <v>228</v>
      </c>
      <c r="L752" s="336">
        <f t="shared" si="799"/>
        <v>246</v>
      </c>
      <c r="M752" s="327">
        <f t="shared" si="800"/>
        <v>1</v>
      </c>
      <c r="N752" s="337">
        <f t="shared" si="801"/>
        <v>8</v>
      </c>
      <c r="O752" s="395">
        <f t="shared" si="802"/>
        <v>16</v>
      </c>
      <c r="P752" s="289">
        <f t="shared" si="803"/>
        <v>1</v>
      </c>
      <c r="Q752" s="460">
        <f>WEEKNUM(tblResultadosNBA[[#This Row],[Fecha]],2)</f>
        <v>6</v>
      </c>
      <c r="R752" s="460" t="str">
        <f>TEXT(tblResultadosNBA[[#This Row],[Fecha]],"mmm")</f>
        <v>feb</v>
      </c>
    </row>
    <row r="753" spans="1:18">
      <c r="A753" s="439">
        <v>46056</v>
      </c>
      <c r="B753" s="302" t="s">
        <v>733</v>
      </c>
      <c r="C753" s="177" t="str">
        <f t="shared" si="794"/>
        <v>Orlando Magic</v>
      </c>
      <c r="D753" s="177">
        <v>106</v>
      </c>
      <c r="E753" s="336">
        <v>92</v>
      </c>
      <c r="F753" s="327">
        <f t="shared" si="795"/>
        <v>0</v>
      </c>
      <c r="G753" s="177" t="str">
        <f t="shared" si="796"/>
        <v>Oklahoma City Thunder</v>
      </c>
      <c r="H753" s="177">
        <v>120</v>
      </c>
      <c r="I753" s="336">
        <v>128</v>
      </c>
      <c r="J753" s="327">
        <f t="shared" si="797"/>
        <v>1</v>
      </c>
      <c r="K753" s="177">
        <f t="shared" si="798"/>
        <v>226</v>
      </c>
      <c r="L753" s="336">
        <f t="shared" si="799"/>
        <v>220</v>
      </c>
      <c r="M753" s="327">
        <f t="shared" si="800"/>
        <v>0</v>
      </c>
      <c r="N753" s="337">
        <f t="shared" si="801"/>
        <v>14</v>
      </c>
      <c r="O753" s="395">
        <f t="shared" si="802"/>
        <v>36</v>
      </c>
      <c r="P753" s="289">
        <f t="shared" si="803"/>
        <v>1</v>
      </c>
      <c r="Q753" s="460">
        <f>WEEKNUM(tblResultadosNBA[[#This Row],[Fecha]],2)</f>
        <v>6</v>
      </c>
      <c r="R753" s="460" t="str">
        <f>TEXT(tblResultadosNBA[[#This Row],[Fecha]],"mmm")</f>
        <v>feb</v>
      </c>
    </row>
    <row r="754" spans="1:18">
      <c r="A754" s="439">
        <v>46056</v>
      </c>
      <c r="B754" s="302" t="s">
        <v>734</v>
      </c>
      <c r="C754" s="177" t="str">
        <f t="shared" si="794"/>
        <v>Philadelphia 76ers</v>
      </c>
      <c r="D754" s="177">
        <v>113</v>
      </c>
      <c r="E754" s="336">
        <v>113</v>
      </c>
      <c r="F754" s="327">
        <f t="shared" si="795"/>
        <v>0</v>
      </c>
      <c r="G754" s="177" t="str">
        <f t="shared" si="796"/>
        <v>Golden State Warriors</v>
      </c>
      <c r="H754" s="177">
        <v>117</v>
      </c>
      <c r="I754" s="336">
        <v>94</v>
      </c>
      <c r="J754" s="327">
        <f t="shared" si="797"/>
        <v>0</v>
      </c>
      <c r="K754" s="177">
        <f t="shared" si="798"/>
        <v>230</v>
      </c>
      <c r="L754" s="336">
        <f t="shared" si="799"/>
        <v>207</v>
      </c>
      <c r="M754" s="327">
        <f t="shared" si="800"/>
        <v>0</v>
      </c>
      <c r="N754" s="337">
        <f t="shared" si="801"/>
        <v>4</v>
      </c>
      <c r="O754" s="395">
        <f t="shared" si="802"/>
        <v>-19</v>
      </c>
      <c r="P754" s="289">
        <f t="shared" si="803"/>
        <v>0</v>
      </c>
      <c r="Q754" s="460">
        <f>WEEKNUM(tblResultadosNBA[[#This Row],[Fecha]],2)</f>
        <v>6</v>
      </c>
      <c r="R754" s="460" t="str">
        <f>TEXT(tblResultadosNBA[[#This Row],[Fecha]],"mmm")</f>
        <v>feb</v>
      </c>
    </row>
    <row r="755" spans="1:18">
      <c r="A755" s="446">
        <v>46056</v>
      </c>
      <c r="B755" s="331" t="s">
        <v>335</v>
      </c>
      <c r="C755" s="286" t="str">
        <f t="shared" si="794"/>
        <v>Phoenix Suns</v>
      </c>
      <c r="D755" s="286">
        <v>116</v>
      </c>
      <c r="E755" s="431">
        <v>130</v>
      </c>
      <c r="F755" s="332">
        <f t="shared" si="795"/>
        <v>1</v>
      </c>
      <c r="G755" s="286" t="str">
        <f t="shared" si="796"/>
        <v>Portland Trail Blazers</v>
      </c>
      <c r="H755" s="286">
        <v>115</v>
      </c>
      <c r="I755" s="431">
        <v>125</v>
      </c>
      <c r="J755" s="332">
        <f t="shared" si="797"/>
        <v>1</v>
      </c>
      <c r="K755" s="286">
        <f t="shared" si="798"/>
        <v>231</v>
      </c>
      <c r="L755" s="431">
        <f t="shared" si="799"/>
        <v>255</v>
      </c>
      <c r="M755" s="332">
        <f t="shared" si="800"/>
        <v>1</v>
      </c>
      <c r="N755" s="432">
        <f t="shared" si="801"/>
        <v>-1</v>
      </c>
      <c r="O755" s="451">
        <f t="shared" si="802"/>
        <v>-5</v>
      </c>
      <c r="P755" s="433">
        <f t="shared" si="803"/>
        <v>1</v>
      </c>
      <c r="Q755" s="460">
        <f>WEEKNUM(tblResultadosNBA[[#This Row],[Fecha]],2)</f>
        <v>6</v>
      </c>
      <c r="R755" s="460" t="str">
        <f>TEXT(tblResultadosNBA[[#This Row],[Fecha]],"mmm")</f>
        <v>feb</v>
      </c>
    </row>
    <row r="756" spans="1:18">
      <c r="A756" s="439">
        <v>46057</v>
      </c>
      <c r="B756" s="422" t="s">
        <v>735</v>
      </c>
      <c r="C756" s="341" t="str">
        <f>LEFT(B756,FIND("@",B756)-2)</f>
        <v>Denver Nuggets</v>
      </c>
      <c r="D756" s="341">
        <v>114</v>
      </c>
      <c r="E756" s="342">
        <v>127</v>
      </c>
      <c r="F756" s="333">
        <f>IF(E756&gt;D756, 1, 0)</f>
        <v>1</v>
      </c>
      <c r="G756" s="341" t="str">
        <f>MID(B756,FIND("@",B756)+2,LEN(B756)-FIND("@",B756)-1)</f>
        <v>New York Knicks</v>
      </c>
      <c r="H756" s="341">
        <v>112</v>
      </c>
      <c r="I756" s="342">
        <v>134</v>
      </c>
      <c r="J756" s="333">
        <f>IF(I756&gt;H756, 1, 0)</f>
        <v>1</v>
      </c>
      <c r="K756" s="341">
        <f>+D756+H756</f>
        <v>226</v>
      </c>
      <c r="L756" s="342">
        <f>E756+I756</f>
        <v>261</v>
      </c>
      <c r="M756" s="333">
        <f>IF(L756&gt;K756, 1, 0)</f>
        <v>1</v>
      </c>
      <c r="N756" s="343">
        <f>(+H756-D756)</f>
        <v>-2</v>
      </c>
      <c r="O756" s="449">
        <f>I756-E756</f>
        <v>7</v>
      </c>
      <c r="P756" s="289">
        <f>IF(OR(AND(N756&gt;0,O756&gt;0),AND(N756&lt;0,O756&lt;0)),1,0)</f>
        <v>0</v>
      </c>
      <c r="Q756" s="460">
        <f>WEEKNUM(tblResultadosNBA[[#This Row],[Fecha]],2)</f>
        <v>6</v>
      </c>
      <c r="R756" s="460" t="str">
        <f>TEXT(tblResultadosNBA[[#This Row],[Fecha]],"mmm")</f>
        <v>feb</v>
      </c>
    </row>
    <row r="757" spans="1:18">
      <c r="A757" s="439">
        <v>46057</v>
      </c>
      <c r="B757" s="302" t="s">
        <v>736</v>
      </c>
      <c r="C757" s="177" t="str">
        <f t="shared" ref="C757:C762" si="804">LEFT(B757,FIND("@",B757)-2)</f>
        <v>Minnesota Timberwolves</v>
      </c>
      <c r="D757" s="177">
        <v>117</v>
      </c>
      <c r="E757" s="336">
        <v>128</v>
      </c>
      <c r="F757" s="327">
        <f t="shared" ref="F757:F762" si="805">IF(E757&gt;D757, 1, 0)</f>
        <v>1</v>
      </c>
      <c r="G757" s="177" t="str">
        <f t="shared" ref="G757:G762" si="806">MID(B757,FIND("@",B757)+2,LEN(B757)-FIND("@",B757)-1)</f>
        <v>Toronto Raptors</v>
      </c>
      <c r="H757" s="177">
        <v>119</v>
      </c>
      <c r="I757" s="336">
        <v>126</v>
      </c>
      <c r="J757" s="327">
        <f t="shared" ref="J757:J762" si="807">IF(I757&gt;H757, 1, 0)</f>
        <v>1</v>
      </c>
      <c r="K757" s="177">
        <f t="shared" ref="K757:K762" si="808">+D757+H757</f>
        <v>236</v>
      </c>
      <c r="L757" s="336">
        <f t="shared" ref="L757:L762" si="809">E757+I757</f>
        <v>254</v>
      </c>
      <c r="M757" s="327">
        <f t="shared" ref="M757:M762" si="810">IF(L757&gt;K757, 1, 0)</f>
        <v>1</v>
      </c>
      <c r="N757" s="337">
        <f t="shared" ref="N757:N762" si="811">(+H757-D757)</f>
        <v>2</v>
      </c>
      <c r="O757" s="395">
        <f t="shared" ref="O757:O762" si="812">I757-E757</f>
        <v>-2</v>
      </c>
      <c r="P757" s="289">
        <f t="shared" ref="P757:P762" si="813">IF(OR(AND(N757&gt;0,O757&gt;0),AND(N757&lt;0,O757&lt;0)),1,0)</f>
        <v>0</v>
      </c>
      <c r="Q757" s="460">
        <f>WEEKNUM(tblResultadosNBA[[#This Row],[Fecha]],2)</f>
        <v>6</v>
      </c>
      <c r="R757" s="460" t="str">
        <f>TEXT(tblResultadosNBA[[#This Row],[Fecha]],"mmm")</f>
        <v>feb</v>
      </c>
    </row>
    <row r="758" spans="1:18">
      <c r="A758" s="439">
        <v>46057</v>
      </c>
      <c r="B758" s="302" t="s">
        <v>737</v>
      </c>
      <c r="C758" s="177" t="str">
        <f t="shared" si="804"/>
        <v>Boston Celtics</v>
      </c>
      <c r="D758" s="177">
        <v>111</v>
      </c>
      <c r="E758" s="336">
        <v>114</v>
      </c>
      <c r="F758" s="327">
        <f t="shared" si="805"/>
        <v>1</v>
      </c>
      <c r="G758" s="177" t="str">
        <f t="shared" si="806"/>
        <v>Houston Rockets</v>
      </c>
      <c r="H758" s="177">
        <v>110</v>
      </c>
      <c r="I758" s="336">
        <v>93</v>
      </c>
      <c r="J758" s="327">
        <f t="shared" si="807"/>
        <v>0</v>
      </c>
      <c r="K758" s="177">
        <f t="shared" si="808"/>
        <v>221</v>
      </c>
      <c r="L758" s="336">
        <f t="shared" si="809"/>
        <v>207</v>
      </c>
      <c r="M758" s="327">
        <f t="shared" si="810"/>
        <v>0</v>
      </c>
      <c r="N758" s="337">
        <f t="shared" si="811"/>
        <v>-1</v>
      </c>
      <c r="O758" s="395">
        <f t="shared" si="812"/>
        <v>-21</v>
      </c>
      <c r="P758" s="289">
        <f t="shared" si="813"/>
        <v>1</v>
      </c>
      <c r="Q758" s="460">
        <f>WEEKNUM(tblResultadosNBA[[#This Row],[Fecha]],2)</f>
        <v>6</v>
      </c>
      <c r="R758" s="460" t="str">
        <f>TEXT(tblResultadosNBA[[#This Row],[Fecha]],"mmm")</f>
        <v>feb</v>
      </c>
    </row>
    <row r="759" spans="1:18">
      <c r="A759" s="439">
        <v>46057</v>
      </c>
      <c r="B759" s="302" t="s">
        <v>738</v>
      </c>
      <c r="C759" s="177" t="str">
        <f t="shared" si="804"/>
        <v>New Orleans Pelicans</v>
      </c>
      <c r="D759" s="177">
        <v>108</v>
      </c>
      <c r="E759" s="336">
        <v>137</v>
      </c>
      <c r="F759" s="327">
        <f t="shared" si="805"/>
        <v>1</v>
      </c>
      <c r="G759" s="177" t="str">
        <f t="shared" si="806"/>
        <v>Milwaukee Bucks</v>
      </c>
      <c r="H759" s="177">
        <v>118</v>
      </c>
      <c r="I759" s="336">
        <v>141</v>
      </c>
      <c r="J759" s="327">
        <f t="shared" si="807"/>
        <v>1</v>
      </c>
      <c r="K759" s="177">
        <f t="shared" si="808"/>
        <v>226</v>
      </c>
      <c r="L759" s="336">
        <f t="shared" si="809"/>
        <v>278</v>
      </c>
      <c r="M759" s="327">
        <f t="shared" si="810"/>
        <v>1</v>
      </c>
      <c r="N759" s="337">
        <f t="shared" si="811"/>
        <v>10</v>
      </c>
      <c r="O759" s="395">
        <f t="shared" si="812"/>
        <v>4</v>
      </c>
      <c r="P759" s="289">
        <f t="shared" si="813"/>
        <v>1</v>
      </c>
      <c r="Q759" s="460">
        <f>WEEKNUM(tblResultadosNBA[[#This Row],[Fecha]],2)</f>
        <v>6</v>
      </c>
      <c r="R759" s="460" t="str">
        <f>TEXT(tblResultadosNBA[[#This Row],[Fecha]],"mmm")</f>
        <v>feb</v>
      </c>
    </row>
    <row r="760" spans="1:18">
      <c r="A760" s="439">
        <v>46057</v>
      </c>
      <c r="B760" s="302" t="s">
        <v>218</v>
      </c>
      <c r="C760" s="177" t="str">
        <f t="shared" si="804"/>
        <v>Oklahoma City Thunder</v>
      </c>
      <c r="D760" s="177">
        <v>115</v>
      </c>
      <c r="E760" s="336">
        <v>106</v>
      </c>
      <c r="F760" s="327">
        <f t="shared" si="805"/>
        <v>0</v>
      </c>
      <c r="G760" s="177" t="str">
        <f t="shared" si="806"/>
        <v>San Antonio Spurs</v>
      </c>
      <c r="H760" s="177">
        <v>113</v>
      </c>
      <c r="I760" s="336">
        <v>116</v>
      </c>
      <c r="J760" s="327">
        <f t="shared" si="807"/>
        <v>1</v>
      </c>
      <c r="K760" s="177">
        <f t="shared" si="808"/>
        <v>228</v>
      </c>
      <c r="L760" s="336">
        <f t="shared" si="809"/>
        <v>222</v>
      </c>
      <c r="M760" s="327">
        <f t="shared" si="810"/>
        <v>0</v>
      </c>
      <c r="N760" s="337">
        <f t="shared" si="811"/>
        <v>-2</v>
      </c>
      <c r="O760" s="395">
        <f t="shared" si="812"/>
        <v>10</v>
      </c>
      <c r="P760" s="289">
        <f t="shared" si="813"/>
        <v>0</v>
      </c>
      <c r="Q760" s="460">
        <f>WEEKNUM(tblResultadosNBA[[#This Row],[Fecha]],2)</f>
        <v>6</v>
      </c>
      <c r="R760" s="460" t="str">
        <f>TEXT(tblResultadosNBA[[#This Row],[Fecha]],"mmm")</f>
        <v>feb</v>
      </c>
    </row>
    <row r="761" spans="1:18">
      <c r="A761" s="439">
        <v>46057</v>
      </c>
      <c r="B761" s="302" t="s">
        <v>124</v>
      </c>
      <c r="C761" s="177" t="str">
        <f t="shared" si="804"/>
        <v>Memphis Grizzlies</v>
      </c>
      <c r="D761" s="177">
        <v>117</v>
      </c>
      <c r="E761" s="336">
        <v>129</v>
      </c>
      <c r="F761" s="327">
        <f t="shared" si="805"/>
        <v>1</v>
      </c>
      <c r="G761" s="177" t="str">
        <f t="shared" si="806"/>
        <v>Sacramento Kings</v>
      </c>
      <c r="H761" s="177">
        <v>113</v>
      </c>
      <c r="I761" s="336">
        <v>125</v>
      </c>
      <c r="J761" s="327">
        <f t="shared" si="807"/>
        <v>1</v>
      </c>
      <c r="K761" s="177">
        <f t="shared" si="808"/>
        <v>230</v>
      </c>
      <c r="L761" s="336">
        <f t="shared" si="809"/>
        <v>254</v>
      </c>
      <c r="M761" s="327">
        <f t="shared" si="810"/>
        <v>1</v>
      </c>
      <c r="N761" s="337">
        <f t="shared" si="811"/>
        <v>-4</v>
      </c>
      <c r="O761" s="395">
        <f t="shared" si="812"/>
        <v>-4</v>
      </c>
      <c r="P761" s="289">
        <f t="shared" si="813"/>
        <v>1</v>
      </c>
      <c r="Q761" s="460">
        <f>WEEKNUM(tblResultadosNBA[[#This Row],[Fecha]],2)</f>
        <v>6</v>
      </c>
      <c r="R761" s="460" t="str">
        <f>TEXT(tblResultadosNBA[[#This Row],[Fecha]],"mmm")</f>
        <v>feb</v>
      </c>
    </row>
    <row r="762" spans="1:18">
      <c r="A762" s="446">
        <v>46057</v>
      </c>
      <c r="B762" s="331" t="s">
        <v>739</v>
      </c>
      <c r="C762" s="286" t="str">
        <f t="shared" si="804"/>
        <v>Cleveland Cavaliers</v>
      </c>
      <c r="D762" s="286">
        <v>114</v>
      </c>
      <c r="E762" s="431">
        <v>124</v>
      </c>
      <c r="F762" s="332">
        <f t="shared" si="805"/>
        <v>1</v>
      </c>
      <c r="G762" s="286" t="str">
        <f t="shared" si="806"/>
        <v>LA Clippers</v>
      </c>
      <c r="H762" s="286">
        <v>118</v>
      </c>
      <c r="I762" s="431">
        <v>91</v>
      </c>
      <c r="J762" s="332">
        <f t="shared" si="807"/>
        <v>0</v>
      </c>
      <c r="K762" s="286">
        <f t="shared" si="808"/>
        <v>232</v>
      </c>
      <c r="L762" s="431">
        <f t="shared" si="809"/>
        <v>215</v>
      </c>
      <c r="M762" s="332">
        <f t="shared" si="810"/>
        <v>0</v>
      </c>
      <c r="N762" s="432">
        <f t="shared" si="811"/>
        <v>4</v>
      </c>
      <c r="O762" s="451">
        <f t="shared" si="812"/>
        <v>-33</v>
      </c>
      <c r="P762" s="433">
        <f t="shared" si="813"/>
        <v>0</v>
      </c>
      <c r="Q762" s="460">
        <f>WEEKNUM(tblResultadosNBA[[#This Row],[Fecha]],2)</f>
        <v>6</v>
      </c>
      <c r="R762" s="460" t="str">
        <f>TEXT(tblResultadosNBA[[#This Row],[Fecha]],"mmm")</f>
        <v>feb</v>
      </c>
    </row>
    <row r="763" spans="1:18">
      <c r="A763" s="439">
        <v>46058</v>
      </c>
      <c r="B763" s="422" t="s">
        <v>20</v>
      </c>
      <c r="C763" s="341" t="str">
        <f>LEFT(B763,FIND("@",B763)-2)</f>
        <v>Washington Wizards</v>
      </c>
      <c r="D763" s="341">
        <v>112</v>
      </c>
      <c r="E763" s="342">
        <v>126</v>
      </c>
      <c r="F763" s="333">
        <f>IF(E763&gt;D763, 1, 0)</f>
        <v>1</v>
      </c>
      <c r="G763" s="341" t="str">
        <f>MID(B763,FIND("@",B763)+2,LEN(B763)-FIND("@",B763)-1)</f>
        <v>Detroit Pistons</v>
      </c>
      <c r="H763" s="341">
        <v>121</v>
      </c>
      <c r="I763" s="342">
        <v>117</v>
      </c>
      <c r="J763" s="333">
        <f>IF(I763&gt;H763, 1, 0)</f>
        <v>0</v>
      </c>
      <c r="K763" s="341">
        <f>+D763+H763</f>
        <v>233</v>
      </c>
      <c r="L763" s="342">
        <f>E763+I763</f>
        <v>243</v>
      </c>
      <c r="M763" s="333">
        <f>IF(L763&gt;K763, 1, 0)</f>
        <v>1</v>
      </c>
      <c r="N763" s="343">
        <f>(+H763-D763)</f>
        <v>9</v>
      </c>
      <c r="O763" s="449">
        <f>I763-E763</f>
        <v>-9</v>
      </c>
      <c r="P763" s="289">
        <f>IF(OR(AND(N763&gt;0,O763&gt;0),AND(N763&lt;0,O763&lt;0)),1,0)</f>
        <v>0</v>
      </c>
      <c r="Q763" s="460">
        <f>WEEKNUM(tblResultadosNBA[[#This Row],[Fecha]],2)</f>
        <v>6</v>
      </c>
      <c r="R763" s="460" t="str">
        <f>TEXT(tblResultadosNBA[[#This Row],[Fecha]],"mmm")</f>
        <v>feb</v>
      </c>
    </row>
    <row r="764" spans="1:18">
      <c r="A764" s="439">
        <v>46058</v>
      </c>
      <c r="B764" s="302" t="s">
        <v>336</v>
      </c>
      <c r="C764" s="177" t="str">
        <f t="shared" ref="C764:C770" si="814">LEFT(B764,FIND("@",B764)-2)</f>
        <v>Brooklyn Nets</v>
      </c>
      <c r="D764" s="177">
        <v>108</v>
      </c>
      <c r="E764" s="336">
        <v>98</v>
      </c>
      <c r="F764" s="327">
        <f t="shared" ref="F764:F770" si="815">IF(E764&gt;D764, 1, 0)</f>
        <v>0</v>
      </c>
      <c r="G764" s="177" t="str">
        <f t="shared" ref="G764:G770" si="816">MID(B764,FIND("@",B764)+2,LEN(B764)-FIND("@",B764)-1)</f>
        <v>Orlando Magic</v>
      </c>
      <c r="H764" s="177">
        <v>107</v>
      </c>
      <c r="I764" s="336">
        <v>118</v>
      </c>
      <c r="J764" s="327">
        <f t="shared" ref="J764:J770" si="817">IF(I764&gt;H764, 1, 0)</f>
        <v>1</v>
      </c>
      <c r="K764" s="177">
        <f t="shared" ref="K764:K770" si="818">+D764+H764</f>
        <v>215</v>
      </c>
      <c r="L764" s="336">
        <f t="shared" ref="L764:L770" si="819">E764+I764</f>
        <v>216</v>
      </c>
      <c r="M764" s="327">
        <f t="shared" ref="M764:M770" si="820">IF(L764&gt;K764, 1, 0)</f>
        <v>1</v>
      </c>
      <c r="N764" s="337">
        <f t="shared" ref="N764:N770" si="821">(+H764-D764)</f>
        <v>-1</v>
      </c>
      <c r="O764" s="395">
        <f t="shared" ref="O764:O770" si="822">I764-E764</f>
        <v>20</v>
      </c>
      <c r="P764" s="289">
        <f t="shared" ref="P764:P770" si="823">IF(OR(AND(N764&gt;0,O764&gt;0),AND(N764&lt;0,O764&lt;0)),1,0)</f>
        <v>0</v>
      </c>
      <c r="Q764" s="460">
        <f>WEEKNUM(tblResultadosNBA[[#This Row],[Fecha]],2)</f>
        <v>6</v>
      </c>
      <c r="R764" s="460" t="str">
        <f>TEXT(tblResultadosNBA[[#This Row],[Fecha]],"mmm")</f>
        <v>feb</v>
      </c>
    </row>
    <row r="765" spans="1:18">
      <c r="A765" s="439">
        <v>46058</v>
      </c>
      <c r="B765" s="302" t="s">
        <v>337</v>
      </c>
      <c r="C765" s="177" t="str">
        <f t="shared" si="814"/>
        <v>Utah Jazz</v>
      </c>
      <c r="D765" s="177">
        <v>118</v>
      </c>
      <c r="E765" s="336">
        <v>119</v>
      </c>
      <c r="F765" s="327">
        <f t="shared" si="815"/>
        <v>1</v>
      </c>
      <c r="G765" s="177" t="str">
        <f t="shared" si="816"/>
        <v>Atlanta Hawks</v>
      </c>
      <c r="H765" s="177">
        <v>119</v>
      </c>
      <c r="I765" s="336">
        <v>121</v>
      </c>
      <c r="J765" s="327">
        <f t="shared" si="817"/>
        <v>1</v>
      </c>
      <c r="K765" s="177">
        <f t="shared" si="818"/>
        <v>237</v>
      </c>
      <c r="L765" s="336">
        <f t="shared" si="819"/>
        <v>240</v>
      </c>
      <c r="M765" s="327">
        <f t="shared" si="820"/>
        <v>1</v>
      </c>
      <c r="N765" s="337">
        <f t="shared" si="821"/>
        <v>1</v>
      </c>
      <c r="O765" s="395">
        <f t="shared" si="822"/>
        <v>2</v>
      </c>
      <c r="P765" s="289">
        <f t="shared" si="823"/>
        <v>1</v>
      </c>
      <c r="Q765" s="460">
        <f>WEEKNUM(tblResultadosNBA[[#This Row],[Fecha]],2)</f>
        <v>6</v>
      </c>
      <c r="R765" s="460" t="str">
        <f>TEXT(tblResultadosNBA[[#This Row],[Fecha]],"mmm")</f>
        <v>feb</v>
      </c>
    </row>
    <row r="766" spans="1:18">
      <c r="A766" s="439">
        <v>46058</v>
      </c>
      <c r="B766" s="302" t="s">
        <v>740</v>
      </c>
      <c r="C766" s="177" t="str">
        <f t="shared" si="814"/>
        <v>Chicago Bulls</v>
      </c>
      <c r="D766" s="177">
        <v>110</v>
      </c>
      <c r="E766" s="336">
        <v>107</v>
      </c>
      <c r="F766" s="327">
        <f t="shared" si="815"/>
        <v>0</v>
      </c>
      <c r="G766" s="177" t="str">
        <f t="shared" si="816"/>
        <v>Toronto Raptors</v>
      </c>
      <c r="H766" s="177">
        <v>118</v>
      </c>
      <c r="I766" s="336">
        <v>123</v>
      </c>
      <c r="J766" s="327">
        <f t="shared" si="817"/>
        <v>1</v>
      </c>
      <c r="K766" s="177">
        <f t="shared" si="818"/>
        <v>228</v>
      </c>
      <c r="L766" s="336">
        <f t="shared" si="819"/>
        <v>230</v>
      </c>
      <c r="M766" s="327">
        <f t="shared" si="820"/>
        <v>1</v>
      </c>
      <c r="N766" s="337">
        <f t="shared" si="821"/>
        <v>8</v>
      </c>
      <c r="O766" s="395">
        <f t="shared" si="822"/>
        <v>16</v>
      </c>
      <c r="P766" s="289">
        <f t="shared" si="823"/>
        <v>1</v>
      </c>
      <c r="Q766" s="460">
        <f>WEEKNUM(tblResultadosNBA[[#This Row],[Fecha]],2)</f>
        <v>6</v>
      </c>
      <c r="R766" s="460" t="str">
        <f>TEXT(tblResultadosNBA[[#This Row],[Fecha]],"mmm")</f>
        <v>feb</v>
      </c>
    </row>
    <row r="767" spans="1:18">
      <c r="A767" s="439">
        <v>46058</v>
      </c>
      <c r="B767" s="302" t="s">
        <v>741</v>
      </c>
      <c r="C767" s="177" t="str">
        <f t="shared" si="814"/>
        <v>Charlotte Hornets</v>
      </c>
      <c r="D767" s="177">
        <v>108</v>
      </c>
      <c r="E767" s="336">
        <v>109</v>
      </c>
      <c r="F767" s="327">
        <f t="shared" si="815"/>
        <v>1</v>
      </c>
      <c r="G767" s="177" t="str">
        <f t="shared" si="816"/>
        <v>Houston Rockets</v>
      </c>
      <c r="H767" s="177">
        <v>116</v>
      </c>
      <c r="I767" s="336">
        <v>99</v>
      </c>
      <c r="J767" s="327">
        <f t="shared" si="817"/>
        <v>0</v>
      </c>
      <c r="K767" s="177">
        <f t="shared" si="818"/>
        <v>224</v>
      </c>
      <c r="L767" s="336">
        <f t="shared" si="819"/>
        <v>208</v>
      </c>
      <c r="M767" s="327">
        <f t="shared" si="820"/>
        <v>0</v>
      </c>
      <c r="N767" s="337">
        <f t="shared" si="821"/>
        <v>8</v>
      </c>
      <c r="O767" s="395">
        <f t="shared" si="822"/>
        <v>-10</v>
      </c>
      <c r="P767" s="289">
        <f t="shared" si="823"/>
        <v>0</v>
      </c>
      <c r="Q767" s="460">
        <f>WEEKNUM(tblResultadosNBA[[#This Row],[Fecha]],2)</f>
        <v>6</v>
      </c>
      <c r="R767" s="460" t="str">
        <f>TEXT(tblResultadosNBA[[#This Row],[Fecha]],"mmm")</f>
        <v>feb</v>
      </c>
    </row>
    <row r="768" spans="1:18">
      <c r="A768" s="439">
        <v>46058</v>
      </c>
      <c r="B768" s="302" t="s">
        <v>338</v>
      </c>
      <c r="C768" s="177" t="str">
        <f t="shared" si="814"/>
        <v>San Antonio Spurs</v>
      </c>
      <c r="D768" s="177">
        <v>113</v>
      </c>
      <c r="E768" s="336">
        <v>135</v>
      </c>
      <c r="F768" s="327">
        <f t="shared" si="815"/>
        <v>1</v>
      </c>
      <c r="G768" s="177" t="str">
        <f t="shared" si="816"/>
        <v>Dallas Mavericks</v>
      </c>
      <c r="H768" s="177">
        <v>112</v>
      </c>
      <c r="I768" s="336">
        <v>123</v>
      </c>
      <c r="J768" s="327">
        <f t="shared" si="817"/>
        <v>1</v>
      </c>
      <c r="K768" s="177">
        <f t="shared" si="818"/>
        <v>225</v>
      </c>
      <c r="L768" s="336">
        <f t="shared" si="819"/>
        <v>258</v>
      </c>
      <c r="M768" s="327">
        <f t="shared" si="820"/>
        <v>1</v>
      </c>
      <c r="N768" s="337">
        <f t="shared" si="821"/>
        <v>-1</v>
      </c>
      <c r="O768" s="395">
        <f t="shared" si="822"/>
        <v>-12</v>
      </c>
      <c r="P768" s="289">
        <f t="shared" si="823"/>
        <v>1</v>
      </c>
      <c r="Q768" s="460">
        <f>WEEKNUM(tblResultadosNBA[[#This Row],[Fecha]],2)</f>
        <v>6</v>
      </c>
      <c r="R768" s="460" t="str">
        <f>TEXT(tblResultadosNBA[[#This Row],[Fecha]],"mmm")</f>
        <v>feb</v>
      </c>
    </row>
    <row r="769" spans="1:18">
      <c r="A769" s="439">
        <v>46058</v>
      </c>
      <c r="B769" s="302" t="s">
        <v>193</v>
      </c>
      <c r="C769" s="177" t="str">
        <f t="shared" si="814"/>
        <v>Golden State Warriors</v>
      </c>
      <c r="D769" s="177">
        <v>115</v>
      </c>
      <c r="E769" s="336">
        <v>101</v>
      </c>
      <c r="F769" s="327">
        <f t="shared" si="815"/>
        <v>0</v>
      </c>
      <c r="G769" s="177" t="str">
        <f t="shared" si="816"/>
        <v>Phoenix Suns</v>
      </c>
      <c r="H769" s="177">
        <v>115</v>
      </c>
      <c r="I769" s="336">
        <v>97</v>
      </c>
      <c r="J769" s="327">
        <f t="shared" si="817"/>
        <v>0</v>
      </c>
      <c r="K769" s="177">
        <f t="shared" si="818"/>
        <v>230</v>
      </c>
      <c r="L769" s="336">
        <f t="shared" si="819"/>
        <v>198</v>
      </c>
      <c r="M769" s="327">
        <f t="shared" si="820"/>
        <v>0</v>
      </c>
      <c r="N769" s="337">
        <f t="shared" si="821"/>
        <v>0</v>
      </c>
      <c r="O769" s="395">
        <f t="shared" si="822"/>
        <v>-4</v>
      </c>
      <c r="P769" s="289">
        <f t="shared" si="823"/>
        <v>0</v>
      </c>
      <c r="Q769" s="460">
        <f>WEEKNUM(tblResultadosNBA[[#This Row],[Fecha]],2)</f>
        <v>6</v>
      </c>
      <c r="R769" s="460" t="str">
        <f>TEXT(tblResultadosNBA[[#This Row],[Fecha]],"mmm")</f>
        <v>feb</v>
      </c>
    </row>
    <row r="770" spans="1:18">
      <c r="A770" s="446">
        <v>46058</v>
      </c>
      <c r="B770" s="331" t="s">
        <v>339</v>
      </c>
      <c r="C770" s="286" t="str">
        <f t="shared" si="814"/>
        <v>Philadelphia 76ers</v>
      </c>
      <c r="D770" s="286">
        <v>113</v>
      </c>
      <c r="E770" s="431">
        <v>115</v>
      </c>
      <c r="F770" s="332">
        <f t="shared" si="815"/>
        <v>1</v>
      </c>
      <c r="G770" s="286" t="str">
        <f t="shared" si="816"/>
        <v>Los Angeles Lakers</v>
      </c>
      <c r="H770" s="286">
        <v>116</v>
      </c>
      <c r="I770" s="431">
        <v>119</v>
      </c>
      <c r="J770" s="332">
        <f t="shared" si="817"/>
        <v>1</v>
      </c>
      <c r="K770" s="286">
        <f t="shared" si="818"/>
        <v>229</v>
      </c>
      <c r="L770" s="431">
        <f t="shared" si="819"/>
        <v>234</v>
      </c>
      <c r="M770" s="332">
        <f t="shared" si="820"/>
        <v>1</v>
      </c>
      <c r="N770" s="432">
        <f t="shared" si="821"/>
        <v>3</v>
      </c>
      <c r="O770" s="451">
        <f t="shared" si="822"/>
        <v>4</v>
      </c>
      <c r="P770" s="433">
        <f t="shared" si="823"/>
        <v>1</v>
      </c>
      <c r="Q770" s="460">
        <f>WEEKNUM(tblResultadosNBA[[#This Row],[Fecha]],2)</f>
        <v>6</v>
      </c>
      <c r="R770" s="460" t="str">
        <f>TEXT(tblResultadosNBA[[#This Row],[Fecha]],"mmm")</f>
        <v>feb</v>
      </c>
    </row>
    <row r="771" spans="1:18">
      <c r="A771" s="439">
        <v>46059</v>
      </c>
      <c r="B771" s="422" t="s">
        <v>195</v>
      </c>
      <c r="C771" s="341" t="str">
        <f>LEFT(B771,FIND("@",B771)-2)</f>
        <v>Miami Heat</v>
      </c>
      <c r="D771" s="341">
        <v>107</v>
      </c>
      <c r="E771" s="342">
        <v>96</v>
      </c>
      <c r="F771" s="333">
        <f>IF(E771&gt;D771, 1, 0)</f>
        <v>0</v>
      </c>
      <c r="G771" s="341" t="str">
        <f>MID(B771,FIND("@",B771)+2,LEN(B771)-FIND("@",B771)-1)</f>
        <v>Boston Celtics</v>
      </c>
      <c r="H771" s="341">
        <v>114</v>
      </c>
      <c r="I771" s="342">
        <v>98</v>
      </c>
      <c r="J771" s="333">
        <f>IF(I771&gt;H771, 1, 0)</f>
        <v>0</v>
      </c>
      <c r="K771" s="341">
        <f>+D771+H771</f>
        <v>221</v>
      </c>
      <c r="L771" s="342">
        <f>E771+I771</f>
        <v>194</v>
      </c>
      <c r="M771" s="333">
        <f>IF(L771&gt;K771, 1, 0)</f>
        <v>0</v>
      </c>
      <c r="N771" s="343">
        <f>(+H771-D771)</f>
        <v>7</v>
      </c>
      <c r="O771" s="449">
        <f>I771-E771</f>
        <v>2</v>
      </c>
      <c r="P771" s="289">
        <f>IF(OR(AND(N771&gt;0,O771&gt;0),AND(N771&lt;0,O771&lt;0)),1,0)</f>
        <v>1</v>
      </c>
      <c r="Q771" s="460">
        <f>WEEKNUM(tblResultadosNBA[[#This Row],[Fecha]],2)</f>
        <v>6</v>
      </c>
      <c r="R771" s="460" t="str">
        <f>TEXT(tblResultadosNBA[[#This Row],[Fecha]],"mmm")</f>
        <v>feb</v>
      </c>
    </row>
    <row r="772" spans="1:18">
      <c r="A772" s="439">
        <v>46059</v>
      </c>
      <c r="B772" s="302" t="s">
        <v>269</v>
      </c>
      <c r="C772" s="177" t="str">
        <f t="shared" ref="C772:C776" si="824">LEFT(B772,FIND("@",B772)-2)</f>
        <v>New York Knicks</v>
      </c>
      <c r="D772" s="177">
        <v>112</v>
      </c>
      <c r="E772" s="336">
        <v>80</v>
      </c>
      <c r="F772" s="327">
        <f t="shared" ref="F772:F776" si="825">IF(E772&gt;D772, 1, 0)</f>
        <v>0</v>
      </c>
      <c r="G772" s="177" t="str">
        <f t="shared" ref="G772:G776" si="826">MID(B772,FIND("@",B772)+2,LEN(B772)-FIND("@",B772)-1)</f>
        <v>Detroit Pistons</v>
      </c>
      <c r="H772" s="177">
        <v>113</v>
      </c>
      <c r="I772" s="336">
        <v>118</v>
      </c>
      <c r="J772" s="327">
        <f t="shared" ref="J772:J776" si="827">IF(I772&gt;H772, 1, 0)</f>
        <v>1</v>
      </c>
      <c r="K772" s="177">
        <f t="shared" ref="K772:K776" si="828">+D772+H772</f>
        <v>225</v>
      </c>
      <c r="L772" s="336">
        <f t="shared" ref="L772:L776" si="829">E772+I772</f>
        <v>198</v>
      </c>
      <c r="M772" s="327">
        <f t="shared" ref="M772:M776" si="830">IF(L772&gt;K772, 1, 0)</f>
        <v>0</v>
      </c>
      <c r="N772" s="337">
        <f t="shared" ref="N772:N776" si="831">(+H772-D772)</f>
        <v>1</v>
      </c>
      <c r="O772" s="395">
        <f t="shared" ref="O772:O776" si="832">I772-E772</f>
        <v>38</v>
      </c>
      <c r="P772" s="289">
        <f t="shared" ref="P772:P776" si="833">IF(OR(AND(N772&gt;0,O772&gt;0),AND(N772&lt;0,O772&lt;0)),1,0)</f>
        <v>1</v>
      </c>
      <c r="Q772" s="460">
        <f>WEEKNUM(tblResultadosNBA[[#This Row],[Fecha]],2)</f>
        <v>6</v>
      </c>
      <c r="R772" s="460" t="str">
        <f>TEXT(tblResultadosNBA[[#This Row],[Fecha]],"mmm")</f>
        <v>feb</v>
      </c>
    </row>
    <row r="773" spans="1:18">
      <c r="A773" s="439">
        <v>46059</v>
      </c>
      <c r="B773" s="302" t="s">
        <v>742</v>
      </c>
      <c r="C773" s="177" t="str">
        <f t="shared" si="824"/>
        <v>Indiana Pacers</v>
      </c>
      <c r="D773" s="177">
        <v>108</v>
      </c>
      <c r="E773" s="336">
        <v>99</v>
      </c>
      <c r="F773" s="327">
        <f t="shared" si="825"/>
        <v>0</v>
      </c>
      <c r="G773" s="177" t="str">
        <f t="shared" si="826"/>
        <v>Milwaukee Bucks</v>
      </c>
      <c r="H773" s="177">
        <v>119</v>
      </c>
      <c r="I773" s="336">
        <v>105</v>
      </c>
      <c r="J773" s="327">
        <f t="shared" si="827"/>
        <v>0</v>
      </c>
      <c r="K773" s="177">
        <f t="shared" si="828"/>
        <v>227</v>
      </c>
      <c r="L773" s="336">
        <f t="shared" si="829"/>
        <v>204</v>
      </c>
      <c r="M773" s="327">
        <f t="shared" si="830"/>
        <v>0</v>
      </c>
      <c r="N773" s="337">
        <f t="shared" si="831"/>
        <v>11</v>
      </c>
      <c r="O773" s="395">
        <f t="shared" si="832"/>
        <v>6</v>
      </c>
      <c r="P773" s="289">
        <f t="shared" si="833"/>
        <v>1</v>
      </c>
      <c r="Q773" s="460">
        <f>WEEKNUM(tblResultadosNBA[[#This Row],[Fecha]],2)</f>
        <v>6</v>
      </c>
      <c r="R773" s="460" t="str">
        <f>TEXT(tblResultadosNBA[[#This Row],[Fecha]],"mmm")</f>
        <v>feb</v>
      </c>
    </row>
    <row r="774" spans="1:18">
      <c r="A774" s="439">
        <v>46059</v>
      </c>
      <c r="B774" s="302" t="s">
        <v>340</v>
      </c>
      <c r="C774" s="177" t="str">
        <f t="shared" si="824"/>
        <v>New Orleans Pelicans</v>
      </c>
      <c r="D774" s="177">
        <v>113</v>
      </c>
      <c r="E774" s="336">
        <v>119</v>
      </c>
      <c r="F774" s="327">
        <f t="shared" si="825"/>
        <v>1</v>
      </c>
      <c r="G774" s="177" t="str">
        <f t="shared" si="826"/>
        <v>Minnesota Timberwolves</v>
      </c>
      <c r="H774" s="177">
        <v>120</v>
      </c>
      <c r="I774" s="336">
        <v>115</v>
      </c>
      <c r="J774" s="327">
        <f t="shared" si="827"/>
        <v>0</v>
      </c>
      <c r="K774" s="177">
        <f t="shared" si="828"/>
        <v>233</v>
      </c>
      <c r="L774" s="336">
        <f t="shared" si="829"/>
        <v>234</v>
      </c>
      <c r="M774" s="327">
        <f t="shared" si="830"/>
        <v>1</v>
      </c>
      <c r="N774" s="337">
        <f t="shared" si="831"/>
        <v>7</v>
      </c>
      <c r="O774" s="395">
        <f t="shared" si="832"/>
        <v>-4</v>
      </c>
      <c r="P774" s="289">
        <f t="shared" si="833"/>
        <v>0</v>
      </c>
      <c r="Q774" s="460">
        <f>WEEKNUM(tblResultadosNBA[[#This Row],[Fecha]],2)</f>
        <v>6</v>
      </c>
      <c r="R774" s="460" t="str">
        <f>TEXT(tblResultadosNBA[[#This Row],[Fecha]],"mmm")</f>
        <v>feb</v>
      </c>
    </row>
    <row r="775" spans="1:18">
      <c r="A775" s="439">
        <v>46059</v>
      </c>
      <c r="B775" s="302" t="s">
        <v>348</v>
      </c>
      <c r="C775" s="177" t="str">
        <f t="shared" si="824"/>
        <v>Memphis Grizzlies</v>
      </c>
      <c r="D775" s="177">
        <v>117</v>
      </c>
      <c r="E775" s="336">
        <v>115</v>
      </c>
      <c r="F775" s="327">
        <f t="shared" si="825"/>
        <v>0</v>
      </c>
      <c r="G775" s="177" t="str">
        <f t="shared" si="826"/>
        <v>Portland Trail Blazers</v>
      </c>
      <c r="H775" s="177">
        <v>117</v>
      </c>
      <c r="I775" s="336">
        <v>135</v>
      </c>
      <c r="J775" s="327">
        <f t="shared" si="827"/>
        <v>1</v>
      </c>
      <c r="K775" s="177">
        <f t="shared" si="828"/>
        <v>234</v>
      </c>
      <c r="L775" s="336">
        <f t="shared" si="829"/>
        <v>250</v>
      </c>
      <c r="M775" s="327">
        <f t="shared" si="830"/>
        <v>1</v>
      </c>
      <c r="N775" s="337">
        <f t="shared" si="831"/>
        <v>0</v>
      </c>
      <c r="O775" s="395">
        <f t="shared" si="832"/>
        <v>20</v>
      </c>
      <c r="P775" s="289">
        <f t="shared" si="833"/>
        <v>0</v>
      </c>
      <c r="Q775" s="460">
        <f>WEEKNUM(tblResultadosNBA[[#This Row],[Fecha]],2)</f>
        <v>6</v>
      </c>
      <c r="R775" s="460" t="str">
        <f>TEXT(tblResultadosNBA[[#This Row],[Fecha]],"mmm")</f>
        <v>feb</v>
      </c>
    </row>
    <row r="776" spans="1:18">
      <c r="A776" s="446">
        <v>46059</v>
      </c>
      <c r="B776" s="331" t="s">
        <v>341</v>
      </c>
      <c r="C776" s="286" t="str">
        <f t="shared" si="824"/>
        <v>LA Clippers</v>
      </c>
      <c r="D776" s="286">
        <v>117</v>
      </c>
      <c r="E776" s="431">
        <v>114</v>
      </c>
      <c r="F776" s="332">
        <f t="shared" si="825"/>
        <v>0</v>
      </c>
      <c r="G776" s="286" t="str">
        <f t="shared" si="826"/>
        <v>Sacramento Kings</v>
      </c>
      <c r="H776" s="286">
        <v>115</v>
      </c>
      <c r="I776" s="431">
        <v>111</v>
      </c>
      <c r="J776" s="332">
        <f t="shared" si="827"/>
        <v>0</v>
      </c>
      <c r="K776" s="286">
        <f t="shared" si="828"/>
        <v>232</v>
      </c>
      <c r="L776" s="431">
        <f t="shared" si="829"/>
        <v>225</v>
      </c>
      <c r="M776" s="332">
        <f t="shared" si="830"/>
        <v>0</v>
      </c>
      <c r="N776" s="432">
        <f t="shared" si="831"/>
        <v>-2</v>
      </c>
      <c r="O776" s="451">
        <f t="shared" si="832"/>
        <v>-3</v>
      </c>
      <c r="P776" s="433">
        <f t="shared" si="833"/>
        <v>1</v>
      </c>
      <c r="Q776" s="460">
        <f>WEEKNUM(tblResultadosNBA[[#This Row],[Fecha]],2)</f>
        <v>6</v>
      </c>
      <c r="R776" s="460" t="str">
        <f>TEXT(tblResultadosNBA[[#This Row],[Fecha]],"mmm")</f>
        <v>feb</v>
      </c>
    </row>
    <row r="777" spans="1:18">
      <c r="A777" s="439">
        <v>46060</v>
      </c>
      <c r="B777" s="422" t="s">
        <v>342</v>
      </c>
      <c r="C777" s="341" t="str">
        <f>LEFT(B777,FIND("@",B777)-2)</f>
        <v>Washington Wizards</v>
      </c>
      <c r="D777" s="341">
        <v>111</v>
      </c>
      <c r="E777" s="342">
        <v>113</v>
      </c>
      <c r="F777" s="333">
        <f>IF(E777&gt;D777, 1, 0)</f>
        <v>1</v>
      </c>
      <c r="G777" s="341" t="str">
        <f>MID(B777,FIND("@",B777)+2,LEN(B777)-FIND("@",B777)-1)</f>
        <v>Brooklyn Nets</v>
      </c>
      <c r="H777" s="341">
        <v>119</v>
      </c>
      <c r="I777" s="342">
        <v>127</v>
      </c>
      <c r="J777" s="333">
        <f>IF(I777&gt;H777, 1, 0)</f>
        <v>1</v>
      </c>
      <c r="K777" s="341">
        <f>+D777+H777</f>
        <v>230</v>
      </c>
      <c r="L777" s="342">
        <f>E777+I777</f>
        <v>240</v>
      </c>
      <c r="M777" s="333">
        <f>IF(L777&gt;K777, 1, 0)</f>
        <v>1</v>
      </c>
      <c r="N777" s="343">
        <f>(+H777-D777)</f>
        <v>8</v>
      </c>
      <c r="O777" s="449">
        <f>I777-E777</f>
        <v>14</v>
      </c>
      <c r="P777" s="289">
        <f>IF(OR(AND(N777&gt;0,O777&gt;0),AND(N777&lt;0,O777&lt;0)),1,0)</f>
        <v>1</v>
      </c>
      <c r="Q777" s="460">
        <f>WEEKNUM(tblResultadosNBA[[#This Row],[Fecha]],2)</f>
        <v>6</v>
      </c>
      <c r="R777" s="460" t="str">
        <f>TEXT(tblResultadosNBA[[#This Row],[Fecha]],"mmm")</f>
        <v>feb</v>
      </c>
    </row>
    <row r="778" spans="1:18">
      <c r="A778" s="439">
        <v>46060</v>
      </c>
      <c r="B778" s="302" t="s">
        <v>343</v>
      </c>
      <c r="C778" s="177" t="str">
        <f t="shared" ref="C778:C786" si="834">LEFT(B778,FIND("@",B778)-2)</f>
        <v>Houston Rockets</v>
      </c>
      <c r="D778" s="177">
        <v>109</v>
      </c>
      <c r="E778" s="336">
        <v>112</v>
      </c>
      <c r="F778" s="327">
        <f t="shared" ref="F778:F786" si="835">IF(E778&gt;D778, 1, 0)</f>
        <v>1</v>
      </c>
      <c r="G778" s="177" t="str">
        <f t="shared" ref="G778:G786" si="836">MID(B778,FIND("@",B778)+2,LEN(B778)-FIND("@",B778)-1)</f>
        <v>Oklahoma City Thunder</v>
      </c>
      <c r="H778" s="177">
        <v>117</v>
      </c>
      <c r="I778" s="336">
        <v>106</v>
      </c>
      <c r="J778" s="327">
        <f t="shared" ref="J778:J786" si="837">IF(I778&gt;H778, 1, 0)</f>
        <v>0</v>
      </c>
      <c r="K778" s="177">
        <f t="shared" ref="K778:K786" si="838">+D778+H778</f>
        <v>226</v>
      </c>
      <c r="L778" s="336">
        <f t="shared" ref="L778:L786" si="839">E778+I778</f>
        <v>218</v>
      </c>
      <c r="M778" s="327">
        <f t="shared" ref="M778:M786" si="840">IF(L778&gt;K778, 1, 0)</f>
        <v>0</v>
      </c>
      <c r="N778" s="337">
        <f t="shared" ref="N778:N786" si="841">(+H778-D778)</f>
        <v>8</v>
      </c>
      <c r="O778" s="395">
        <f t="shared" ref="O778:O786" si="842">I778-E778</f>
        <v>-6</v>
      </c>
      <c r="P778" s="289">
        <f t="shared" ref="P778:P786" si="843">IF(OR(AND(N778&gt;0,O778&gt;0),AND(N778&lt;0,O778&lt;0)),1,0)</f>
        <v>0</v>
      </c>
      <c r="Q778" s="460">
        <f>WEEKNUM(tblResultadosNBA[[#This Row],[Fecha]],2)</f>
        <v>6</v>
      </c>
      <c r="R778" s="460" t="str">
        <f>TEXT(tblResultadosNBA[[#This Row],[Fecha]],"mmm")</f>
        <v>feb</v>
      </c>
    </row>
    <row r="779" spans="1:18">
      <c r="A779" s="439">
        <v>46060</v>
      </c>
      <c r="B779" s="302" t="s">
        <v>344</v>
      </c>
      <c r="C779" s="177" t="str">
        <f t="shared" si="834"/>
        <v>Dallas Mavericks</v>
      </c>
      <c r="D779" s="177">
        <v>114</v>
      </c>
      <c r="E779" s="336">
        <v>125</v>
      </c>
      <c r="F779" s="327">
        <f t="shared" si="835"/>
        <v>1</v>
      </c>
      <c r="G779" s="177" t="str">
        <f t="shared" si="836"/>
        <v>San Antonio Spurs</v>
      </c>
      <c r="H779" s="177">
        <v>118</v>
      </c>
      <c r="I779" s="336">
        <v>138</v>
      </c>
      <c r="J779" s="327">
        <f t="shared" si="837"/>
        <v>1</v>
      </c>
      <c r="K779" s="177">
        <f t="shared" si="838"/>
        <v>232</v>
      </c>
      <c r="L779" s="336">
        <f t="shared" si="839"/>
        <v>263</v>
      </c>
      <c r="M779" s="327">
        <f t="shared" si="840"/>
        <v>1</v>
      </c>
      <c r="N779" s="337">
        <f t="shared" si="841"/>
        <v>4</v>
      </c>
      <c r="O779" s="395">
        <f t="shared" si="842"/>
        <v>13</v>
      </c>
      <c r="P779" s="289">
        <f t="shared" si="843"/>
        <v>1</v>
      </c>
      <c r="Q779" s="460">
        <f>WEEKNUM(tblResultadosNBA[[#This Row],[Fecha]],2)</f>
        <v>6</v>
      </c>
      <c r="R779" s="460" t="str">
        <f>TEXT(tblResultadosNBA[[#This Row],[Fecha]],"mmm")</f>
        <v>feb</v>
      </c>
    </row>
    <row r="780" spans="1:18">
      <c r="A780" s="439">
        <v>46060</v>
      </c>
      <c r="B780" s="302" t="s">
        <v>345</v>
      </c>
      <c r="C780" s="177" t="str">
        <f t="shared" si="834"/>
        <v>Utah Jazz</v>
      </c>
      <c r="D780" s="177">
        <v>115</v>
      </c>
      <c r="E780" s="336">
        <v>117</v>
      </c>
      <c r="F780" s="327">
        <f t="shared" si="835"/>
        <v>1</v>
      </c>
      <c r="G780" s="177" t="str">
        <f t="shared" si="836"/>
        <v>Orlando Magic</v>
      </c>
      <c r="H780" s="177">
        <v>120</v>
      </c>
      <c r="I780" s="336">
        <v>120</v>
      </c>
      <c r="J780" s="327">
        <f t="shared" si="837"/>
        <v>0</v>
      </c>
      <c r="K780" s="177">
        <f t="shared" si="838"/>
        <v>235</v>
      </c>
      <c r="L780" s="336">
        <f t="shared" si="839"/>
        <v>237</v>
      </c>
      <c r="M780" s="327">
        <f t="shared" si="840"/>
        <v>1</v>
      </c>
      <c r="N780" s="337">
        <f t="shared" si="841"/>
        <v>5</v>
      </c>
      <c r="O780" s="395">
        <f t="shared" si="842"/>
        <v>3</v>
      </c>
      <c r="P780" s="289">
        <f t="shared" si="843"/>
        <v>1</v>
      </c>
      <c r="Q780" s="460">
        <f>WEEKNUM(tblResultadosNBA[[#This Row],[Fecha]],2)</f>
        <v>6</v>
      </c>
      <c r="R780" s="460" t="str">
        <f>TEXT(tblResultadosNBA[[#This Row],[Fecha]],"mmm")</f>
        <v>feb</v>
      </c>
    </row>
    <row r="781" spans="1:18">
      <c r="A781" s="439">
        <v>46060</v>
      </c>
      <c r="B781" s="302" t="s">
        <v>93</v>
      </c>
      <c r="C781" s="177" t="str">
        <f t="shared" si="834"/>
        <v>Charlotte Hornets</v>
      </c>
      <c r="D781" s="177">
        <v>115</v>
      </c>
      <c r="E781" s="336">
        <v>126</v>
      </c>
      <c r="F781" s="327">
        <f t="shared" si="835"/>
        <v>1</v>
      </c>
      <c r="G781" s="177" t="str">
        <f t="shared" si="836"/>
        <v>Atlanta Hawks</v>
      </c>
      <c r="H781" s="177">
        <v>117</v>
      </c>
      <c r="I781" s="336">
        <v>119</v>
      </c>
      <c r="J781" s="327">
        <f t="shared" si="837"/>
        <v>1</v>
      </c>
      <c r="K781" s="177">
        <f t="shared" si="838"/>
        <v>232</v>
      </c>
      <c r="L781" s="336">
        <f t="shared" si="839"/>
        <v>245</v>
      </c>
      <c r="M781" s="327">
        <f t="shared" si="840"/>
        <v>1</v>
      </c>
      <c r="N781" s="337">
        <f t="shared" si="841"/>
        <v>2</v>
      </c>
      <c r="O781" s="395">
        <f t="shared" si="842"/>
        <v>-7</v>
      </c>
      <c r="P781" s="289">
        <f t="shared" si="843"/>
        <v>0</v>
      </c>
      <c r="Q781" s="460">
        <f>WEEKNUM(tblResultadosNBA[[#This Row],[Fecha]],2)</f>
        <v>6</v>
      </c>
      <c r="R781" s="460" t="str">
        <f>TEXT(tblResultadosNBA[[#This Row],[Fecha]],"mmm")</f>
        <v>feb</v>
      </c>
    </row>
    <row r="782" spans="1:18">
      <c r="A782" s="439">
        <v>46060</v>
      </c>
      <c r="B782" s="302" t="s">
        <v>346</v>
      </c>
      <c r="C782" s="177" t="str">
        <f t="shared" si="834"/>
        <v>Denver Nuggets</v>
      </c>
      <c r="D782" s="177">
        <v>118</v>
      </c>
      <c r="E782" s="336">
        <v>136</v>
      </c>
      <c r="F782" s="327">
        <f t="shared" si="835"/>
        <v>1</v>
      </c>
      <c r="G782" s="177" t="str">
        <f t="shared" si="836"/>
        <v>Chicago Bulls</v>
      </c>
      <c r="H782" s="177">
        <v>117</v>
      </c>
      <c r="I782" s="336">
        <v>120</v>
      </c>
      <c r="J782" s="327">
        <f t="shared" si="837"/>
        <v>1</v>
      </c>
      <c r="K782" s="177">
        <f t="shared" si="838"/>
        <v>235</v>
      </c>
      <c r="L782" s="336">
        <f t="shared" si="839"/>
        <v>256</v>
      </c>
      <c r="M782" s="327">
        <f t="shared" si="840"/>
        <v>1</v>
      </c>
      <c r="N782" s="337">
        <f t="shared" si="841"/>
        <v>-1</v>
      </c>
      <c r="O782" s="395">
        <f t="shared" si="842"/>
        <v>-16</v>
      </c>
      <c r="P782" s="289">
        <f t="shared" si="843"/>
        <v>1</v>
      </c>
      <c r="Q782" s="460">
        <f>WEEKNUM(tblResultadosNBA[[#This Row],[Fecha]],2)</f>
        <v>6</v>
      </c>
      <c r="R782" s="460" t="str">
        <f>TEXT(tblResultadosNBA[[#This Row],[Fecha]],"mmm")</f>
        <v>feb</v>
      </c>
    </row>
    <row r="783" spans="1:18">
      <c r="A783" s="439">
        <v>46060</v>
      </c>
      <c r="B783" s="302" t="s">
        <v>416</v>
      </c>
      <c r="C783" s="177" t="str">
        <f t="shared" si="834"/>
        <v>Golden State Warriors</v>
      </c>
      <c r="D783" s="177">
        <v>115</v>
      </c>
      <c r="E783" s="336">
        <v>99</v>
      </c>
      <c r="F783" s="327">
        <f t="shared" si="835"/>
        <v>0</v>
      </c>
      <c r="G783" s="177" t="str">
        <f t="shared" si="836"/>
        <v>Los Angeles Lakers</v>
      </c>
      <c r="H783" s="177">
        <v>116</v>
      </c>
      <c r="I783" s="336">
        <v>105</v>
      </c>
      <c r="J783" s="327">
        <f t="shared" si="837"/>
        <v>0</v>
      </c>
      <c r="K783" s="177">
        <f t="shared" si="838"/>
        <v>231</v>
      </c>
      <c r="L783" s="336">
        <f t="shared" si="839"/>
        <v>204</v>
      </c>
      <c r="M783" s="327">
        <f t="shared" si="840"/>
        <v>0</v>
      </c>
      <c r="N783" s="337">
        <f t="shared" si="841"/>
        <v>1</v>
      </c>
      <c r="O783" s="395">
        <f t="shared" si="842"/>
        <v>6</v>
      </c>
      <c r="P783" s="289">
        <f t="shared" si="843"/>
        <v>1</v>
      </c>
      <c r="Q783" s="460">
        <f>WEEKNUM(tblResultadosNBA[[#This Row],[Fecha]],2)</f>
        <v>6</v>
      </c>
      <c r="R783" s="460" t="str">
        <f>TEXT(tblResultadosNBA[[#This Row],[Fecha]],"mmm")</f>
        <v>feb</v>
      </c>
    </row>
    <row r="784" spans="1:18">
      <c r="A784" s="439">
        <v>46060</v>
      </c>
      <c r="B784" s="302" t="s">
        <v>347</v>
      </c>
      <c r="C784" s="177" t="str">
        <f t="shared" si="834"/>
        <v>Philadelphia 76ers</v>
      </c>
      <c r="D784" s="177">
        <v>111</v>
      </c>
      <c r="E784" s="336">
        <v>109</v>
      </c>
      <c r="F784" s="327">
        <f t="shared" si="835"/>
        <v>0</v>
      </c>
      <c r="G784" s="177" t="str">
        <f t="shared" si="836"/>
        <v>Phoenix Suns</v>
      </c>
      <c r="H784" s="177">
        <v>112</v>
      </c>
      <c r="I784" s="336">
        <v>103</v>
      </c>
      <c r="J784" s="327">
        <f t="shared" si="837"/>
        <v>0</v>
      </c>
      <c r="K784" s="177">
        <f t="shared" si="838"/>
        <v>223</v>
      </c>
      <c r="L784" s="336">
        <f t="shared" si="839"/>
        <v>212</v>
      </c>
      <c r="M784" s="327">
        <f t="shared" si="840"/>
        <v>0</v>
      </c>
      <c r="N784" s="337">
        <f t="shared" si="841"/>
        <v>1</v>
      </c>
      <c r="O784" s="395">
        <f t="shared" si="842"/>
        <v>-6</v>
      </c>
      <c r="P784" s="289">
        <f t="shared" si="843"/>
        <v>0</v>
      </c>
      <c r="Q784" s="460">
        <f>WEEKNUM(tblResultadosNBA[[#This Row],[Fecha]],2)</f>
        <v>6</v>
      </c>
      <c r="R784" s="460" t="str">
        <f>TEXT(tblResultadosNBA[[#This Row],[Fecha]],"mmm")</f>
        <v>feb</v>
      </c>
    </row>
    <row r="785" spans="1:18">
      <c r="A785" s="439">
        <v>46060</v>
      </c>
      <c r="B785" s="302" t="s">
        <v>348</v>
      </c>
      <c r="C785" s="177" t="str">
        <f t="shared" si="834"/>
        <v>Memphis Grizzlies</v>
      </c>
      <c r="D785" s="177">
        <v>116</v>
      </c>
      <c r="E785" s="336">
        <v>115</v>
      </c>
      <c r="F785" s="327">
        <f t="shared" si="835"/>
        <v>0</v>
      </c>
      <c r="G785" s="177" t="str">
        <f t="shared" si="836"/>
        <v>Portland Trail Blazers</v>
      </c>
      <c r="H785" s="177">
        <v>117</v>
      </c>
      <c r="I785" s="336">
        <v>122</v>
      </c>
      <c r="J785" s="327">
        <f t="shared" si="837"/>
        <v>1</v>
      </c>
      <c r="K785" s="177">
        <f t="shared" si="838"/>
        <v>233</v>
      </c>
      <c r="L785" s="336">
        <f t="shared" si="839"/>
        <v>237</v>
      </c>
      <c r="M785" s="327">
        <f t="shared" si="840"/>
        <v>1</v>
      </c>
      <c r="N785" s="337">
        <f t="shared" si="841"/>
        <v>1</v>
      </c>
      <c r="O785" s="395">
        <f t="shared" si="842"/>
        <v>7</v>
      </c>
      <c r="P785" s="289">
        <f t="shared" si="843"/>
        <v>1</v>
      </c>
      <c r="Q785" s="460">
        <f>WEEKNUM(tblResultadosNBA[[#This Row],[Fecha]],2)</f>
        <v>6</v>
      </c>
      <c r="R785" s="460" t="str">
        <f>TEXT(tblResultadosNBA[[#This Row],[Fecha]],"mmm")</f>
        <v>feb</v>
      </c>
    </row>
    <row r="786" spans="1:18">
      <c r="A786" s="446">
        <v>46060</v>
      </c>
      <c r="B786" s="331" t="s">
        <v>349</v>
      </c>
      <c r="C786" s="286" t="str">
        <f t="shared" si="834"/>
        <v>Cleveland Cavaliers</v>
      </c>
      <c r="D786" s="286">
        <v>118</v>
      </c>
      <c r="E786" s="431">
        <v>132</v>
      </c>
      <c r="F786" s="332">
        <f t="shared" si="835"/>
        <v>1</v>
      </c>
      <c r="G786" s="286" t="str">
        <f t="shared" si="836"/>
        <v>Sacramento Kings</v>
      </c>
      <c r="H786" s="286">
        <v>112</v>
      </c>
      <c r="I786" s="431">
        <v>126</v>
      </c>
      <c r="J786" s="332">
        <f t="shared" si="837"/>
        <v>1</v>
      </c>
      <c r="K786" s="286">
        <f t="shared" si="838"/>
        <v>230</v>
      </c>
      <c r="L786" s="431">
        <f t="shared" si="839"/>
        <v>258</v>
      </c>
      <c r="M786" s="332">
        <f t="shared" si="840"/>
        <v>1</v>
      </c>
      <c r="N786" s="432">
        <f t="shared" si="841"/>
        <v>-6</v>
      </c>
      <c r="O786" s="451">
        <f t="shared" si="842"/>
        <v>-6</v>
      </c>
      <c r="P786" s="433">
        <f t="shared" si="843"/>
        <v>1</v>
      </c>
      <c r="Q786" s="460">
        <f>WEEKNUM(tblResultadosNBA[[#This Row],[Fecha]],2)</f>
        <v>6</v>
      </c>
      <c r="R786" s="460" t="str">
        <f>TEXT(tblResultadosNBA[[#This Row],[Fecha]],"mmm")</f>
        <v>feb</v>
      </c>
    </row>
    <row r="787" spans="1:18">
      <c r="A787" s="439">
        <v>46061</v>
      </c>
      <c r="B787" s="422" t="s">
        <v>134</v>
      </c>
      <c r="C787" s="341" t="str">
        <f>LEFT(B787,FIND("@",B787)-2)</f>
        <v>New York Knicks</v>
      </c>
      <c r="D787" s="341">
        <v>104</v>
      </c>
      <c r="E787" s="342">
        <v>111</v>
      </c>
      <c r="F787" s="333">
        <f>IF(E787&gt;D787, 1, 0)</f>
        <v>1</v>
      </c>
      <c r="G787" s="341" t="str">
        <f>MID(B787,FIND("@",B787)+2,LEN(B787)-FIND("@",B787)-1)</f>
        <v>Boston Celtics</v>
      </c>
      <c r="H787" s="341">
        <v>113</v>
      </c>
      <c r="I787" s="342">
        <v>89</v>
      </c>
      <c r="J787" s="333">
        <f>IF(I787&gt;H787, 1, 0)</f>
        <v>0</v>
      </c>
      <c r="K787" s="341">
        <f>+D787+H787</f>
        <v>217</v>
      </c>
      <c r="L787" s="342">
        <f>E787+I787</f>
        <v>200</v>
      </c>
      <c r="M787" s="333">
        <f>IF(L787&gt;K787, 1, 0)</f>
        <v>0</v>
      </c>
      <c r="N787" s="343">
        <f>(+H787-D787)</f>
        <v>9</v>
      </c>
      <c r="O787" s="449">
        <f>I787-E787</f>
        <v>-22</v>
      </c>
      <c r="P787" s="289">
        <f>IF(OR(AND(N787&gt;0,O787&gt;0),AND(N787&lt;0,O787&lt;0)),1,0)</f>
        <v>0</v>
      </c>
      <c r="Q787" s="460">
        <f>WEEKNUM(tblResultadosNBA[[#This Row],[Fecha]],2)</f>
        <v>6</v>
      </c>
      <c r="R787" s="460" t="str">
        <f>TEXT(tblResultadosNBA[[#This Row],[Fecha]],"mmm")</f>
        <v>feb</v>
      </c>
    </row>
    <row r="788" spans="1:18">
      <c r="A788" s="439">
        <v>46061</v>
      </c>
      <c r="B788" s="302" t="s">
        <v>350</v>
      </c>
      <c r="C788" s="177" t="str">
        <f t="shared" ref="C788:C790" si="844">LEFT(B788,FIND("@",B788)-2)</f>
        <v>Miami Heat</v>
      </c>
      <c r="D788" s="177">
        <v>118</v>
      </c>
      <c r="E788" s="336">
        <v>132</v>
      </c>
      <c r="F788" s="327">
        <f t="shared" ref="F788:F790" si="845">IF(E788&gt;D788, 1, 0)</f>
        <v>1</v>
      </c>
      <c r="G788" s="177" t="str">
        <f t="shared" ref="G788:G790" si="846">MID(B788,FIND("@",B788)+2,LEN(B788)-FIND("@",B788)-1)</f>
        <v>Washington Wizards</v>
      </c>
      <c r="H788" s="177">
        <v>113</v>
      </c>
      <c r="I788" s="336">
        <v>101</v>
      </c>
      <c r="J788" s="327">
        <f t="shared" ref="J788:J790" si="847">IF(I788&gt;H788, 1, 0)</f>
        <v>0</v>
      </c>
      <c r="K788" s="177">
        <f t="shared" ref="K788:K790" si="848">+D788+H788</f>
        <v>231</v>
      </c>
      <c r="L788" s="336">
        <f t="shared" ref="L788:L790" si="849">E788+I788</f>
        <v>233</v>
      </c>
      <c r="M788" s="327">
        <f t="shared" ref="M788:M790" si="850">IF(L788&gt;K788, 1, 0)</f>
        <v>1</v>
      </c>
      <c r="N788" s="337">
        <f t="shared" ref="N788:N790" si="851">(+H788-D788)</f>
        <v>-5</v>
      </c>
      <c r="O788" s="395">
        <f t="shared" ref="O788:O790" si="852">I788-E788</f>
        <v>-31</v>
      </c>
      <c r="P788" s="289">
        <f t="shared" ref="P788:P790" si="853">IF(OR(AND(N788&gt;0,O788&gt;0),AND(N788&lt;0,O788&lt;0)),1,0)</f>
        <v>1</v>
      </c>
      <c r="Q788" s="460">
        <f>WEEKNUM(tblResultadosNBA[[#This Row],[Fecha]],2)</f>
        <v>6</v>
      </c>
      <c r="R788" s="460" t="str">
        <f>TEXT(tblResultadosNBA[[#This Row],[Fecha]],"mmm")</f>
        <v>feb</v>
      </c>
    </row>
    <row r="789" spans="1:18">
      <c r="A789" s="439">
        <v>46061</v>
      </c>
      <c r="B789" s="302" t="s">
        <v>106</v>
      </c>
      <c r="C789" s="177" t="str">
        <f t="shared" si="844"/>
        <v>Indiana Pacers</v>
      </c>
      <c r="D789" s="177">
        <v>110</v>
      </c>
      <c r="E789" s="336">
        <v>104</v>
      </c>
      <c r="F789" s="327">
        <f t="shared" si="845"/>
        <v>0</v>
      </c>
      <c r="G789" s="177" t="str">
        <f t="shared" si="846"/>
        <v>Toronto Raptors</v>
      </c>
      <c r="H789" s="177">
        <v>118</v>
      </c>
      <c r="I789" s="336">
        <v>122</v>
      </c>
      <c r="J789" s="327">
        <f t="shared" si="847"/>
        <v>1</v>
      </c>
      <c r="K789" s="177">
        <f t="shared" si="848"/>
        <v>228</v>
      </c>
      <c r="L789" s="336">
        <f t="shared" si="849"/>
        <v>226</v>
      </c>
      <c r="M789" s="327">
        <f t="shared" si="850"/>
        <v>0</v>
      </c>
      <c r="N789" s="337">
        <f t="shared" si="851"/>
        <v>8</v>
      </c>
      <c r="O789" s="395">
        <f t="shared" si="852"/>
        <v>18</v>
      </c>
      <c r="P789" s="289">
        <f t="shared" si="853"/>
        <v>1</v>
      </c>
      <c r="Q789" s="460">
        <f>WEEKNUM(tblResultadosNBA[[#This Row],[Fecha]],2)</f>
        <v>6</v>
      </c>
      <c r="R789" s="460" t="str">
        <f>TEXT(tblResultadosNBA[[#This Row],[Fecha]],"mmm")</f>
        <v>feb</v>
      </c>
    </row>
    <row r="790" spans="1:18">
      <c r="A790" s="446">
        <v>46061</v>
      </c>
      <c r="B790" s="331" t="s">
        <v>158</v>
      </c>
      <c r="C790" s="286" t="str">
        <f t="shared" si="844"/>
        <v>LA Clippers</v>
      </c>
      <c r="D790" s="286">
        <v>114</v>
      </c>
      <c r="E790" s="431">
        <v>115</v>
      </c>
      <c r="F790" s="332">
        <f t="shared" si="845"/>
        <v>1</v>
      </c>
      <c r="G790" s="286" t="str">
        <f t="shared" si="846"/>
        <v>Minnesota Timberwolves</v>
      </c>
      <c r="H790" s="286">
        <v>118</v>
      </c>
      <c r="I790" s="431">
        <v>96</v>
      </c>
      <c r="J790" s="332">
        <f t="shared" si="847"/>
        <v>0</v>
      </c>
      <c r="K790" s="286">
        <f t="shared" si="848"/>
        <v>232</v>
      </c>
      <c r="L790" s="431">
        <f t="shared" si="849"/>
        <v>211</v>
      </c>
      <c r="M790" s="332">
        <f t="shared" si="850"/>
        <v>0</v>
      </c>
      <c r="N790" s="432">
        <f t="shared" si="851"/>
        <v>4</v>
      </c>
      <c r="O790" s="451">
        <f t="shared" si="852"/>
        <v>-19</v>
      </c>
      <c r="P790" s="433">
        <f t="shared" si="853"/>
        <v>0</v>
      </c>
      <c r="Q790" s="460">
        <f>WEEKNUM(tblResultadosNBA[[#This Row],[Fecha]],2)</f>
        <v>6</v>
      </c>
      <c r="R790" s="460" t="str">
        <f>TEXT(tblResultadosNBA[[#This Row],[Fecha]],"mmm")</f>
        <v>feb</v>
      </c>
    </row>
    <row r="791" spans="1:18">
      <c r="A791" s="439">
        <v>46062</v>
      </c>
      <c r="B791" s="422" t="s">
        <v>743</v>
      </c>
      <c r="C791" s="341" t="str">
        <f>LEFT(B791,FIND("@",B791)-2)</f>
        <v>Detroit Pistons</v>
      </c>
      <c r="D791" s="341">
        <v>115</v>
      </c>
      <c r="E791" s="342">
        <v>110</v>
      </c>
      <c r="F791" s="333">
        <f>IF(E791&gt;D791, 1, 0)</f>
        <v>0</v>
      </c>
      <c r="G791" s="341" t="str">
        <f>MID(B791,FIND("@",B791)+2,LEN(B791)-FIND("@",B791)-1)</f>
        <v>Charlotte Hornets</v>
      </c>
      <c r="H791" s="341">
        <v>111</v>
      </c>
      <c r="I791" s="342">
        <v>104</v>
      </c>
      <c r="J791" s="333">
        <f>IF(I791&gt;H791, 1, 0)</f>
        <v>0</v>
      </c>
      <c r="K791" s="341">
        <f>+D791+H791</f>
        <v>226</v>
      </c>
      <c r="L791" s="342">
        <f>E791+I791</f>
        <v>214</v>
      </c>
      <c r="M791" s="333">
        <f>IF(L791&gt;K791, 1, 0)</f>
        <v>0</v>
      </c>
      <c r="N791" s="343">
        <f>(+H791-D791)</f>
        <v>-4</v>
      </c>
      <c r="O791" s="449">
        <f>I791-E791</f>
        <v>-6</v>
      </c>
      <c r="P791" s="289">
        <f>IF(OR(AND(N791&gt;0,O791&gt;0),AND(N791&lt;0,O791&lt;0)),1,0)</f>
        <v>1</v>
      </c>
      <c r="Q791" s="460">
        <f>WEEKNUM(tblResultadosNBA[[#This Row],[Fecha]],2)</f>
        <v>7</v>
      </c>
      <c r="R791" s="460" t="str">
        <f>TEXT(tblResultadosNBA[[#This Row],[Fecha]],"mmm")</f>
        <v>feb</v>
      </c>
    </row>
    <row r="792" spans="1:18">
      <c r="A792" s="439">
        <v>46062</v>
      </c>
      <c r="B792" s="302" t="s">
        <v>280</v>
      </c>
      <c r="C792" s="177" t="str">
        <f t="shared" ref="C792:C800" si="854">LEFT(B792,FIND("@",B792)-2)</f>
        <v>Chicago Bulls</v>
      </c>
      <c r="D792" s="177">
        <v>110</v>
      </c>
      <c r="E792" s="336">
        <v>115</v>
      </c>
      <c r="F792" s="327">
        <f t="shared" ref="F792:F800" si="855">IF(E792&gt;D792, 1, 0)</f>
        <v>1</v>
      </c>
      <c r="G792" s="177" t="str">
        <f t="shared" ref="G792:G800" si="856">MID(B792,FIND("@",B792)+2,LEN(B792)-FIND("@",B792)-1)</f>
        <v>Brooklyn Nets</v>
      </c>
      <c r="H792" s="177">
        <v>114</v>
      </c>
      <c r="I792" s="336">
        <v>123</v>
      </c>
      <c r="J792" s="327">
        <f t="shared" ref="J792:J800" si="857">IF(I792&gt;H792, 1, 0)</f>
        <v>1</v>
      </c>
      <c r="K792" s="177">
        <f t="shared" ref="K792:K800" si="858">+D792+H792</f>
        <v>224</v>
      </c>
      <c r="L792" s="336">
        <f t="shared" ref="L792:L800" si="859">E792+I792</f>
        <v>238</v>
      </c>
      <c r="M792" s="327">
        <f t="shared" ref="M792:M800" si="860">IF(L792&gt;K792, 1, 0)</f>
        <v>1</v>
      </c>
      <c r="N792" s="337">
        <f t="shared" ref="N792:N800" si="861">(+H792-D792)</f>
        <v>4</v>
      </c>
      <c r="O792" s="395">
        <f t="shared" ref="O792:O800" si="862">I792-E792</f>
        <v>8</v>
      </c>
      <c r="P792" s="289">
        <f t="shared" ref="P792:P800" si="863">IF(OR(AND(N792&gt;0,O792&gt;0),AND(N792&lt;0,O792&lt;0)),1,0)</f>
        <v>1</v>
      </c>
      <c r="Q792" s="460">
        <f>WEEKNUM(tblResultadosNBA[[#This Row],[Fecha]],2)</f>
        <v>7</v>
      </c>
      <c r="R792" s="460" t="str">
        <f>TEXT(tblResultadosNBA[[#This Row],[Fecha]],"mmm")</f>
        <v>feb</v>
      </c>
    </row>
    <row r="793" spans="1:18">
      <c r="A793" s="439">
        <v>46062</v>
      </c>
      <c r="B793" s="302" t="s">
        <v>351</v>
      </c>
      <c r="C793" s="177" t="str">
        <f t="shared" si="854"/>
        <v>Utah Jazz</v>
      </c>
      <c r="D793" s="177">
        <v>115</v>
      </c>
      <c r="E793" s="336">
        <v>115</v>
      </c>
      <c r="F793" s="327">
        <f t="shared" si="855"/>
        <v>0</v>
      </c>
      <c r="G793" s="177" t="str">
        <f t="shared" si="856"/>
        <v>Miami Heat</v>
      </c>
      <c r="H793" s="177">
        <v>119</v>
      </c>
      <c r="I793" s="336">
        <v>111</v>
      </c>
      <c r="J793" s="327">
        <f t="shared" si="857"/>
        <v>0</v>
      </c>
      <c r="K793" s="177">
        <f t="shared" si="858"/>
        <v>234</v>
      </c>
      <c r="L793" s="336">
        <f t="shared" si="859"/>
        <v>226</v>
      </c>
      <c r="M793" s="327">
        <f t="shared" si="860"/>
        <v>0</v>
      </c>
      <c r="N793" s="337">
        <f t="shared" si="861"/>
        <v>4</v>
      </c>
      <c r="O793" s="395">
        <f t="shared" si="862"/>
        <v>-4</v>
      </c>
      <c r="P793" s="289">
        <f t="shared" si="863"/>
        <v>0</v>
      </c>
      <c r="Q793" s="460">
        <f>WEEKNUM(tblResultadosNBA[[#This Row],[Fecha]],2)</f>
        <v>7</v>
      </c>
      <c r="R793" s="460" t="str">
        <f>TEXT(tblResultadosNBA[[#This Row],[Fecha]],"mmm")</f>
        <v>feb</v>
      </c>
    </row>
    <row r="794" spans="1:18">
      <c r="A794" s="439">
        <v>46062</v>
      </c>
      <c r="B794" s="302" t="s">
        <v>352</v>
      </c>
      <c r="C794" s="177" t="str">
        <f t="shared" si="854"/>
        <v>Milwaukee Bucks</v>
      </c>
      <c r="D794" s="177">
        <v>113</v>
      </c>
      <c r="E794" s="336">
        <v>99</v>
      </c>
      <c r="F794" s="327">
        <f t="shared" si="855"/>
        <v>0</v>
      </c>
      <c r="G794" s="177" t="str">
        <f t="shared" si="856"/>
        <v>Orlando Magic</v>
      </c>
      <c r="H794" s="177">
        <v>116</v>
      </c>
      <c r="I794" s="336">
        <v>118</v>
      </c>
      <c r="J794" s="327">
        <f t="shared" si="857"/>
        <v>1</v>
      </c>
      <c r="K794" s="177">
        <f t="shared" si="858"/>
        <v>229</v>
      </c>
      <c r="L794" s="336">
        <f t="shared" si="859"/>
        <v>217</v>
      </c>
      <c r="M794" s="327">
        <f t="shared" si="860"/>
        <v>0</v>
      </c>
      <c r="N794" s="337">
        <f t="shared" si="861"/>
        <v>3</v>
      </c>
      <c r="O794" s="395">
        <f t="shared" si="862"/>
        <v>19</v>
      </c>
      <c r="P794" s="289">
        <f t="shared" si="863"/>
        <v>1</v>
      </c>
      <c r="Q794" s="460">
        <f>WEEKNUM(tblResultadosNBA[[#This Row],[Fecha]],2)</f>
        <v>7</v>
      </c>
      <c r="R794" s="460" t="str">
        <f>TEXT(tblResultadosNBA[[#This Row],[Fecha]],"mmm")</f>
        <v>feb</v>
      </c>
    </row>
    <row r="795" spans="1:18">
      <c r="A795" s="439">
        <v>46062</v>
      </c>
      <c r="B795" s="302" t="s">
        <v>353</v>
      </c>
      <c r="C795" s="177" t="str">
        <f t="shared" si="854"/>
        <v>Atlanta Hawks</v>
      </c>
      <c r="D795" s="177">
        <v>116</v>
      </c>
      <c r="E795" s="336">
        <v>106</v>
      </c>
      <c r="F795" s="327">
        <f t="shared" si="855"/>
        <v>0</v>
      </c>
      <c r="G795" s="177" t="str">
        <f t="shared" si="856"/>
        <v>Minnesota Timberwolves</v>
      </c>
      <c r="H795" s="177">
        <v>122</v>
      </c>
      <c r="I795" s="336">
        <v>138</v>
      </c>
      <c r="J795" s="327">
        <f t="shared" si="857"/>
        <v>1</v>
      </c>
      <c r="K795" s="177">
        <f t="shared" si="858"/>
        <v>238</v>
      </c>
      <c r="L795" s="336">
        <f t="shared" si="859"/>
        <v>244</v>
      </c>
      <c r="M795" s="327">
        <f t="shared" si="860"/>
        <v>1</v>
      </c>
      <c r="N795" s="337">
        <f t="shared" si="861"/>
        <v>6</v>
      </c>
      <c r="O795" s="395">
        <f t="shared" si="862"/>
        <v>32</v>
      </c>
      <c r="P795" s="289">
        <f t="shared" si="863"/>
        <v>1</v>
      </c>
      <c r="Q795" s="460">
        <f>WEEKNUM(tblResultadosNBA[[#This Row],[Fecha]],2)</f>
        <v>7</v>
      </c>
      <c r="R795" s="460" t="str">
        <f>TEXT(tblResultadosNBA[[#This Row],[Fecha]],"mmm")</f>
        <v>feb</v>
      </c>
    </row>
    <row r="796" spans="1:18">
      <c r="A796" s="439">
        <v>46062</v>
      </c>
      <c r="B796" s="302" t="s">
        <v>354</v>
      </c>
      <c r="C796" s="177" t="str">
        <f t="shared" si="854"/>
        <v>Sacramento Kings</v>
      </c>
      <c r="D796" s="177">
        <v>113</v>
      </c>
      <c r="E796" s="336">
        <v>94</v>
      </c>
      <c r="F796" s="327">
        <f t="shared" si="855"/>
        <v>0</v>
      </c>
      <c r="G796" s="177" t="str">
        <f t="shared" si="856"/>
        <v>New Orleans Pelicans</v>
      </c>
      <c r="H796" s="177">
        <v>120</v>
      </c>
      <c r="I796" s="336">
        <v>120</v>
      </c>
      <c r="J796" s="327">
        <f t="shared" si="857"/>
        <v>0</v>
      </c>
      <c r="K796" s="177">
        <f t="shared" si="858"/>
        <v>233</v>
      </c>
      <c r="L796" s="336">
        <f t="shared" si="859"/>
        <v>214</v>
      </c>
      <c r="M796" s="327">
        <f t="shared" si="860"/>
        <v>0</v>
      </c>
      <c r="N796" s="337">
        <f t="shared" si="861"/>
        <v>7</v>
      </c>
      <c r="O796" s="395">
        <f t="shared" si="862"/>
        <v>26</v>
      </c>
      <c r="P796" s="289">
        <f t="shared" si="863"/>
        <v>1</v>
      </c>
      <c r="Q796" s="460">
        <f>WEEKNUM(tblResultadosNBA[[#This Row],[Fecha]],2)</f>
        <v>7</v>
      </c>
      <c r="R796" s="460" t="str">
        <f>TEXT(tblResultadosNBA[[#This Row],[Fecha]],"mmm")</f>
        <v>feb</v>
      </c>
    </row>
    <row r="797" spans="1:18">
      <c r="A797" s="439">
        <v>46062</v>
      </c>
      <c r="B797" s="302" t="s">
        <v>355</v>
      </c>
      <c r="C797" s="177" t="str">
        <f t="shared" si="854"/>
        <v>Cleveland Cavaliers</v>
      </c>
      <c r="D797" s="177">
        <v>112</v>
      </c>
      <c r="E797" s="336">
        <v>119</v>
      </c>
      <c r="F797" s="327">
        <f t="shared" si="855"/>
        <v>1</v>
      </c>
      <c r="G797" s="177" t="str">
        <f t="shared" si="856"/>
        <v>Denver Nuggets</v>
      </c>
      <c r="H797" s="177">
        <v>116</v>
      </c>
      <c r="I797" s="336">
        <v>117</v>
      </c>
      <c r="J797" s="327">
        <f t="shared" si="857"/>
        <v>1</v>
      </c>
      <c r="K797" s="177">
        <f t="shared" si="858"/>
        <v>228</v>
      </c>
      <c r="L797" s="336">
        <f t="shared" si="859"/>
        <v>236</v>
      </c>
      <c r="M797" s="327">
        <f t="shared" si="860"/>
        <v>1</v>
      </c>
      <c r="N797" s="337">
        <f t="shared" si="861"/>
        <v>4</v>
      </c>
      <c r="O797" s="395">
        <f t="shared" si="862"/>
        <v>-2</v>
      </c>
      <c r="P797" s="289">
        <f t="shared" si="863"/>
        <v>0</v>
      </c>
      <c r="Q797" s="460">
        <f>WEEKNUM(tblResultadosNBA[[#This Row],[Fecha]],2)</f>
        <v>7</v>
      </c>
      <c r="R797" s="460" t="str">
        <f>TEXT(tblResultadosNBA[[#This Row],[Fecha]],"mmm")</f>
        <v>feb</v>
      </c>
    </row>
    <row r="798" spans="1:18">
      <c r="A798" s="439">
        <v>46062</v>
      </c>
      <c r="B798" s="302" t="s">
        <v>356</v>
      </c>
      <c r="C798" s="177" t="str">
        <f t="shared" si="854"/>
        <v>Memphis Grizzlies</v>
      </c>
      <c r="D798" s="177">
        <v>113</v>
      </c>
      <c r="E798" s="336">
        <v>113</v>
      </c>
      <c r="F798" s="327">
        <f t="shared" si="855"/>
        <v>0</v>
      </c>
      <c r="G798" s="177" t="str">
        <f t="shared" si="856"/>
        <v>Golden State Warriors</v>
      </c>
      <c r="H798" s="177">
        <v>119</v>
      </c>
      <c r="I798" s="336">
        <v>114</v>
      </c>
      <c r="J798" s="327">
        <f t="shared" si="857"/>
        <v>0</v>
      </c>
      <c r="K798" s="177">
        <f t="shared" si="858"/>
        <v>232</v>
      </c>
      <c r="L798" s="336">
        <f t="shared" si="859"/>
        <v>227</v>
      </c>
      <c r="M798" s="327">
        <f t="shared" si="860"/>
        <v>0</v>
      </c>
      <c r="N798" s="337">
        <f t="shared" si="861"/>
        <v>6</v>
      </c>
      <c r="O798" s="395">
        <f t="shared" si="862"/>
        <v>1</v>
      </c>
      <c r="P798" s="289">
        <f t="shared" si="863"/>
        <v>1</v>
      </c>
      <c r="Q798" s="460">
        <f>WEEKNUM(tblResultadosNBA[[#This Row],[Fecha]],2)</f>
        <v>7</v>
      </c>
      <c r="R798" s="460" t="str">
        <f>TEXT(tblResultadosNBA[[#This Row],[Fecha]],"mmm")</f>
        <v>feb</v>
      </c>
    </row>
    <row r="799" spans="1:18">
      <c r="A799" s="439">
        <v>46062</v>
      </c>
      <c r="B799" s="302" t="s">
        <v>357</v>
      </c>
      <c r="C799" s="177" t="str">
        <f t="shared" si="854"/>
        <v>Oklahoma City Thunder</v>
      </c>
      <c r="D799" s="177">
        <v>117</v>
      </c>
      <c r="E799" s="336">
        <v>119</v>
      </c>
      <c r="F799" s="327">
        <f t="shared" si="855"/>
        <v>1</v>
      </c>
      <c r="G799" s="177" t="str">
        <f t="shared" si="856"/>
        <v>Los Angeles Lakers</v>
      </c>
      <c r="H799" s="177">
        <v>116</v>
      </c>
      <c r="I799" s="336">
        <v>110</v>
      </c>
      <c r="J799" s="327">
        <f t="shared" si="857"/>
        <v>0</v>
      </c>
      <c r="K799" s="177">
        <f t="shared" si="858"/>
        <v>233</v>
      </c>
      <c r="L799" s="336">
        <f t="shared" si="859"/>
        <v>229</v>
      </c>
      <c r="M799" s="327">
        <f t="shared" si="860"/>
        <v>0</v>
      </c>
      <c r="N799" s="337">
        <f t="shared" si="861"/>
        <v>-1</v>
      </c>
      <c r="O799" s="395">
        <f t="shared" si="862"/>
        <v>-9</v>
      </c>
      <c r="P799" s="289">
        <f t="shared" si="863"/>
        <v>1</v>
      </c>
      <c r="Q799" s="460">
        <f>WEEKNUM(tblResultadosNBA[[#This Row],[Fecha]],2)</f>
        <v>7</v>
      </c>
      <c r="R799" s="460" t="str">
        <f>TEXT(tblResultadosNBA[[#This Row],[Fecha]],"mmm")</f>
        <v>feb</v>
      </c>
    </row>
    <row r="800" spans="1:18">
      <c r="A800" s="446">
        <v>46062</v>
      </c>
      <c r="B800" s="331" t="s">
        <v>744</v>
      </c>
      <c r="C800" s="286" t="str">
        <f t="shared" si="854"/>
        <v>Philadelphia 76ers</v>
      </c>
      <c r="D800" s="286">
        <v>117</v>
      </c>
      <c r="E800" s="431">
        <v>118</v>
      </c>
      <c r="F800" s="332">
        <f t="shared" si="855"/>
        <v>1</v>
      </c>
      <c r="G800" s="286" t="str">
        <f t="shared" si="856"/>
        <v>Portland Trail Blazers</v>
      </c>
      <c r="H800" s="286">
        <v>116</v>
      </c>
      <c r="I800" s="431">
        <v>135</v>
      </c>
      <c r="J800" s="332">
        <f t="shared" si="857"/>
        <v>1</v>
      </c>
      <c r="K800" s="286">
        <f t="shared" si="858"/>
        <v>233</v>
      </c>
      <c r="L800" s="431">
        <f t="shared" si="859"/>
        <v>253</v>
      </c>
      <c r="M800" s="332">
        <f t="shared" si="860"/>
        <v>1</v>
      </c>
      <c r="N800" s="432">
        <f t="shared" si="861"/>
        <v>-1</v>
      </c>
      <c r="O800" s="451">
        <f t="shared" si="862"/>
        <v>17</v>
      </c>
      <c r="P800" s="433">
        <f t="shared" si="863"/>
        <v>0</v>
      </c>
      <c r="Q800" s="460">
        <f>WEEKNUM(tblResultadosNBA[[#This Row],[Fecha]],2)</f>
        <v>7</v>
      </c>
      <c r="R800" s="460" t="str">
        <f>TEXT(tblResultadosNBA[[#This Row],[Fecha]],"mmm")</f>
        <v>feb</v>
      </c>
    </row>
    <row r="801" spans="1:18">
      <c r="A801" s="439">
        <v>46063</v>
      </c>
      <c r="B801" s="422" t="s">
        <v>745</v>
      </c>
      <c r="C801" s="341" t="str">
        <f>LEFT(B801,FIND("@",B801)-2)</f>
        <v>Indiana Pacers</v>
      </c>
      <c r="D801" s="341">
        <v>109</v>
      </c>
      <c r="E801" s="342">
        <v>137</v>
      </c>
      <c r="F801" s="333">
        <f>IF(E801&gt;D801, 1, 0)</f>
        <v>1</v>
      </c>
      <c r="G801" s="341" t="str">
        <f>MID(B801,FIND("@",B801)+2,LEN(B801)-FIND("@",B801)-1)</f>
        <v>New York Knicks</v>
      </c>
      <c r="H801" s="341">
        <v>117</v>
      </c>
      <c r="I801" s="342">
        <v>134</v>
      </c>
      <c r="J801" s="333">
        <f>IF(I801&gt;H801, 1, 0)</f>
        <v>1</v>
      </c>
      <c r="K801" s="341">
        <f>+D801+H801</f>
        <v>226</v>
      </c>
      <c r="L801" s="342">
        <f>E801+I801</f>
        <v>271</v>
      </c>
      <c r="M801" s="333">
        <f>IF(L801&gt;K801, 1, 0)</f>
        <v>1</v>
      </c>
      <c r="N801" s="343">
        <f>(+H801-D801)</f>
        <v>8</v>
      </c>
      <c r="O801" s="449">
        <f>I801-E801</f>
        <v>-3</v>
      </c>
      <c r="P801" s="289">
        <f>IF(OR(AND(N801&gt;0,O801&gt;0),AND(N801&lt;0,O801&lt;0)),1,0)</f>
        <v>0</v>
      </c>
      <c r="Q801" s="460">
        <f>WEEKNUM(tblResultadosNBA[[#This Row],[Fecha]],2)</f>
        <v>7</v>
      </c>
      <c r="R801" s="460" t="str">
        <f>TEXT(tblResultadosNBA[[#This Row],[Fecha]],"mmm")</f>
        <v>feb</v>
      </c>
    </row>
    <row r="802" spans="1:18">
      <c r="A802" s="439">
        <v>46063</v>
      </c>
      <c r="B802" s="302" t="s">
        <v>170</v>
      </c>
      <c r="C802" s="177" t="str">
        <f t="shared" ref="C802:C804" si="864">LEFT(B802,FIND("@",B802)-2)</f>
        <v>LA Clippers</v>
      </c>
      <c r="D802" s="177">
        <v>111</v>
      </c>
      <c r="E802" s="336">
        <v>95</v>
      </c>
      <c r="F802" s="327">
        <f t="shared" ref="F802:F804" si="865">IF(E802&gt;D802, 1, 0)</f>
        <v>0</v>
      </c>
      <c r="G802" s="177" t="str">
        <f t="shared" ref="G802:G804" si="866">MID(B802,FIND("@",B802)+2,LEN(B802)-FIND("@",B802)-1)</f>
        <v>Houston Rockets</v>
      </c>
      <c r="H802" s="177">
        <v>115</v>
      </c>
      <c r="I802" s="336">
        <v>102</v>
      </c>
      <c r="J802" s="327">
        <f t="shared" ref="J802:J804" si="867">IF(I802&gt;H802, 1, 0)</f>
        <v>0</v>
      </c>
      <c r="K802" s="177">
        <f t="shared" ref="K802:K804" si="868">+D802+H802</f>
        <v>226</v>
      </c>
      <c r="L802" s="336">
        <f t="shared" ref="L802:L804" si="869">E802+I802</f>
        <v>197</v>
      </c>
      <c r="M802" s="327">
        <f t="shared" ref="M802:M804" si="870">IF(L802&gt;K802, 1, 0)</f>
        <v>0</v>
      </c>
      <c r="N802" s="337">
        <f t="shared" ref="N802:N804" si="871">(+H802-D802)</f>
        <v>4</v>
      </c>
      <c r="O802" s="395">
        <f t="shared" ref="O802:O804" si="872">I802-E802</f>
        <v>7</v>
      </c>
      <c r="P802" s="289">
        <f t="shared" ref="P802:P804" si="873">IF(OR(AND(N802&gt;0,O802&gt;0),AND(N802&lt;0,O802&lt;0)),1,0)</f>
        <v>1</v>
      </c>
      <c r="Q802" s="460">
        <f>WEEKNUM(tblResultadosNBA[[#This Row],[Fecha]],2)</f>
        <v>7</v>
      </c>
      <c r="R802" s="460" t="str">
        <f>TEXT(tblResultadosNBA[[#This Row],[Fecha]],"mmm")</f>
        <v>feb</v>
      </c>
    </row>
    <row r="803" spans="1:18">
      <c r="A803" s="439">
        <v>46063</v>
      </c>
      <c r="B803" s="302" t="s">
        <v>358</v>
      </c>
      <c r="C803" s="177" t="str">
        <f t="shared" si="864"/>
        <v>Dallas Mavericks</v>
      </c>
      <c r="D803" s="177">
        <v>109</v>
      </c>
      <c r="E803" s="336">
        <v>111</v>
      </c>
      <c r="F803" s="327">
        <f t="shared" si="865"/>
        <v>1</v>
      </c>
      <c r="G803" s="177" t="str">
        <f t="shared" si="866"/>
        <v>Phoenix Suns</v>
      </c>
      <c r="H803" s="177">
        <v>115</v>
      </c>
      <c r="I803" s="336">
        <v>120</v>
      </c>
      <c r="J803" s="327">
        <f t="shared" si="867"/>
        <v>1</v>
      </c>
      <c r="K803" s="177">
        <f t="shared" si="868"/>
        <v>224</v>
      </c>
      <c r="L803" s="336">
        <f t="shared" si="869"/>
        <v>231</v>
      </c>
      <c r="M803" s="327">
        <f t="shared" si="870"/>
        <v>1</v>
      </c>
      <c r="N803" s="337">
        <f t="shared" si="871"/>
        <v>6</v>
      </c>
      <c r="O803" s="395">
        <f t="shared" si="872"/>
        <v>9</v>
      </c>
      <c r="P803" s="289">
        <f t="shared" si="873"/>
        <v>1</v>
      </c>
      <c r="Q803" s="460">
        <f>WEEKNUM(tblResultadosNBA[[#This Row],[Fecha]],2)</f>
        <v>7</v>
      </c>
      <c r="R803" s="460" t="str">
        <f>TEXT(tblResultadosNBA[[#This Row],[Fecha]],"mmm")</f>
        <v>feb</v>
      </c>
    </row>
    <row r="804" spans="1:18">
      <c r="A804" s="446">
        <v>46063</v>
      </c>
      <c r="B804" s="331" t="s">
        <v>510</v>
      </c>
      <c r="C804" s="286" t="str">
        <f t="shared" si="864"/>
        <v>San Antonio Spurs</v>
      </c>
      <c r="D804" s="286">
        <v>116</v>
      </c>
      <c r="E804" s="431">
        <v>136</v>
      </c>
      <c r="F804" s="332">
        <f t="shared" si="865"/>
        <v>1</v>
      </c>
      <c r="G804" s="286" t="str">
        <f t="shared" si="866"/>
        <v>Los Angeles Lakers</v>
      </c>
      <c r="H804" s="286">
        <v>118</v>
      </c>
      <c r="I804" s="431">
        <v>108</v>
      </c>
      <c r="J804" s="332">
        <f t="shared" si="867"/>
        <v>0</v>
      </c>
      <c r="K804" s="286">
        <f t="shared" si="868"/>
        <v>234</v>
      </c>
      <c r="L804" s="431">
        <f t="shared" si="869"/>
        <v>244</v>
      </c>
      <c r="M804" s="332">
        <f t="shared" si="870"/>
        <v>1</v>
      </c>
      <c r="N804" s="432">
        <f t="shared" si="871"/>
        <v>2</v>
      </c>
      <c r="O804" s="451">
        <f t="shared" si="872"/>
        <v>-28</v>
      </c>
      <c r="P804" s="433">
        <f t="shared" si="873"/>
        <v>0</v>
      </c>
      <c r="Q804" s="460">
        <f>WEEKNUM(tblResultadosNBA[[#This Row],[Fecha]],2)</f>
        <v>7</v>
      </c>
      <c r="R804" s="460" t="str">
        <f>TEXT(tblResultadosNBA[[#This Row],[Fecha]],"mmm")</f>
        <v>feb</v>
      </c>
    </row>
    <row r="805" spans="1:18">
      <c r="A805" s="439">
        <v>46064</v>
      </c>
      <c r="B805" s="422" t="s">
        <v>186</v>
      </c>
      <c r="C805" s="341" t="str">
        <f>LEFT(B805,FIND("@",B805)-2)</f>
        <v>Atlanta Hawks</v>
      </c>
      <c r="D805" s="341">
        <v>118</v>
      </c>
      <c r="E805" s="342">
        <v>107</v>
      </c>
      <c r="F805" s="333">
        <f>IF(E805&gt;D805, 1, 0)</f>
        <v>0</v>
      </c>
      <c r="G805" s="341" t="str">
        <f>MID(B805,FIND("@",B805)+2,LEN(B805)-FIND("@",B805)-1)</f>
        <v>Charlotte Hornets</v>
      </c>
      <c r="H805" s="341">
        <v>118</v>
      </c>
      <c r="I805" s="342">
        <v>110</v>
      </c>
      <c r="J805" s="333">
        <f>IF(I805&gt;H805, 1, 0)</f>
        <v>0</v>
      </c>
      <c r="K805" s="341">
        <f>+D805+H805</f>
        <v>236</v>
      </c>
      <c r="L805" s="342">
        <f>E805+I805</f>
        <v>217</v>
      </c>
      <c r="M805" s="333">
        <f>IF(L805&gt;K805, 1, 0)</f>
        <v>0</v>
      </c>
      <c r="N805" s="343">
        <f>(+H805-D805)</f>
        <v>0</v>
      </c>
      <c r="O805" s="449">
        <f>I805-E805</f>
        <v>3</v>
      </c>
      <c r="P805" s="289">
        <f>IF(OR(AND(N805&gt;0,O805&gt;0),AND(N805&lt;0,O805&lt;0)),1,0)</f>
        <v>0</v>
      </c>
      <c r="Q805" s="460">
        <f>WEEKNUM(tblResultadosNBA[[#This Row],[Fecha]],2)</f>
        <v>7</v>
      </c>
      <c r="R805" s="460" t="str">
        <f>TEXT(tblResultadosNBA[[#This Row],[Fecha]],"mmm")</f>
        <v>feb</v>
      </c>
    </row>
    <row r="806" spans="1:18">
      <c r="A806" s="419">
        <v>46064</v>
      </c>
      <c r="B806" s="302" t="s">
        <v>359</v>
      </c>
      <c r="C806" s="177" t="str">
        <f t="shared" ref="C806:C818" si="874">LEFT(B806,FIND("@",B806)-2)</f>
        <v>Washington Wizards</v>
      </c>
      <c r="D806" s="177">
        <v>111</v>
      </c>
      <c r="E806" s="336">
        <v>113</v>
      </c>
      <c r="F806" s="327">
        <f t="shared" ref="F806:F818" si="875">IF(E806&gt;D806, 1, 0)</f>
        <v>1</v>
      </c>
      <c r="G806" s="177" t="str">
        <f t="shared" ref="G806:G818" si="876">MID(B806,FIND("@",B806)+2,LEN(B806)-FIND("@",B806)-1)</f>
        <v>Cleveland Cavaliers</v>
      </c>
      <c r="H806" s="177">
        <v>121</v>
      </c>
      <c r="I806" s="336">
        <v>138</v>
      </c>
      <c r="J806" s="327">
        <f t="shared" ref="J806:J818" si="877">IF(I806&gt;H806, 1, 0)</f>
        <v>1</v>
      </c>
      <c r="K806" s="177">
        <f t="shared" ref="K806:K818" si="878">+D806+H806</f>
        <v>232</v>
      </c>
      <c r="L806" s="336">
        <f t="shared" ref="L806:L818" si="879">E806+I806</f>
        <v>251</v>
      </c>
      <c r="M806" s="327">
        <f t="shared" ref="M806:M818" si="880">IF(L806&gt;K806, 1, 0)</f>
        <v>1</v>
      </c>
      <c r="N806" s="337">
        <f t="shared" ref="N806:N818" si="881">(+H806-D806)</f>
        <v>10</v>
      </c>
      <c r="O806" s="395">
        <f t="shared" ref="O806:O818" si="882">I806-E806</f>
        <v>25</v>
      </c>
      <c r="P806" s="289">
        <f t="shared" ref="P806:P818" si="883">IF(OR(AND(N806&gt;0,O806&gt;0),AND(N806&lt;0,O806&lt;0)),1,0)</f>
        <v>1</v>
      </c>
      <c r="Q806" s="460">
        <f>WEEKNUM(tblResultadosNBA[[#This Row],[Fecha]],2)</f>
        <v>7</v>
      </c>
      <c r="R806" s="460" t="str">
        <f>TEXT(tblResultadosNBA[[#This Row],[Fecha]],"mmm")</f>
        <v>feb</v>
      </c>
    </row>
    <row r="807" spans="1:18">
      <c r="A807" s="419">
        <v>46064</v>
      </c>
      <c r="B807" s="302" t="s">
        <v>352</v>
      </c>
      <c r="C807" s="177" t="str">
        <f t="shared" si="874"/>
        <v>Milwaukee Bucks</v>
      </c>
      <c r="D807" s="177">
        <v>112</v>
      </c>
      <c r="E807" s="336">
        <v>116</v>
      </c>
      <c r="F807" s="327">
        <f t="shared" si="875"/>
        <v>1</v>
      </c>
      <c r="G807" s="177" t="str">
        <f t="shared" si="876"/>
        <v>Orlando Magic</v>
      </c>
      <c r="H807" s="177">
        <v>113</v>
      </c>
      <c r="I807" s="336">
        <v>108</v>
      </c>
      <c r="J807" s="327">
        <f t="shared" si="877"/>
        <v>0</v>
      </c>
      <c r="K807" s="177">
        <f t="shared" si="878"/>
        <v>225</v>
      </c>
      <c r="L807" s="336">
        <f t="shared" si="879"/>
        <v>224</v>
      </c>
      <c r="M807" s="327">
        <f t="shared" si="880"/>
        <v>0</v>
      </c>
      <c r="N807" s="337">
        <f t="shared" si="881"/>
        <v>1</v>
      </c>
      <c r="O807" s="395">
        <f t="shared" si="882"/>
        <v>-8</v>
      </c>
      <c r="P807" s="289">
        <f t="shared" si="883"/>
        <v>0</v>
      </c>
      <c r="Q807" s="460">
        <f>WEEKNUM(tblResultadosNBA[[#This Row],[Fecha]],2)</f>
        <v>7</v>
      </c>
      <c r="R807" s="460" t="str">
        <f>TEXT(tblResultadosNBA[[#This Row],[Fecha]],"mmm")</f>
        <v>feb</v>
      </c>
    </row>
    <row r="808" spans="1:18">
      <c r="A808" s="419">
        <v>46064</v>
      </c>
      <c r="B808" s="302" t="s">
        <v>360</v>
      </c>
      <c r="C808" s="177" t="str">
        <f t="shared" si="874"/>
        <v>Chicago Bulls</v>
      </c>
      <c r="D808" s="177">
        <v>105</v>
      </c>
      <c r="E808" s="336">
        <v>104</v>
      </c>
      <c r="F808" s="327">
        <f t="shared" si="875"/>
        <v>0</v>
      </c>
      <c r="G808" s="177" t="str">
        <f t="shared" si="876"/>
        <v>Boston Celtics</v>
      </c>
      <c r="H808" s="177">
        <v>116</v>
      </c>
      <c r="I808" s="336">
        <v>124</v>
      </c>
      <c r="J808" s="327">
        <f t="shared" si="877"/>
        <v>1</v>
      </c>
      <c r="K808" s="177">
        <f t="shared" si="878"/>
        <v>221</v>
      </c>
      <c r="L808" s="336">
        <f t="shared" si="879"/>
        <v>228</v>
      </c>
      <c r="M808" s="327">
        <f t="shared" si="880"/>
        <v>1</v>
      </c>
      <c r="N808" s="337">
        <f t="shared" si="881"/>
        <v>11</v>
      </c>
      <c r="O808" s="395">
        <f t="shared" si="882"/>
        <v>20</v>
      </c>
      <c r="P808" s="289">
        <f t="shared" si="883"/>
        <v>1</v>
      </c>
      <c r="Q808" s="460">
        <f>WEEKNUM(tblResultadosNBA[[#This Row],[Fecha]],2)</f>
        <v>7</v>
      </c>
      <c r="R808" s="460" t="str">
        <f>TEXT(tblResultadosNBA[[#This Row],[Fecha]],"mmm")</f>
        <v>feb</v>
      </c>
    </row>
    <row r="809" spans="1:18">
      <c r="A809" s="419">
        <v>46064</v>
      </c>
      <c r="B809" s="302" t="s">
        <v>361</v>
      </c>
      <c r="C809" s="177" t="str">
        <f t="shared" si="874"/>
        <v>Indiana Pacers</v>
      </c>
      <c r="D809" s="177">
        <v>113</v>
      </c>
      <c r="E809" s="336">
        <v>115</v>
      </c>
      <c r="F809" s="327">
        <f t="shared" si="875"/>
        <v>1</v>
      </c>
      <c r="G809" s="177" t="str">
        <f t="shared" si="876"/>
        <v>Brooklyn Nets</v>
      </c>
      <c r="H809" s="177">
        <v>117</v>
      </c>
      <c r="I809" s="336">
        <v>110</v>
      </c>
      <c r="J809" s="327">
        <f t="shared" si="877"/>
        <v>0</v>
      </c>
      <c r="K809" s="177">
        <f t="shared" si="878"/>
        <v>230</v>
      </c>
      <c r="L809" s="336">
        <f t="shared" si="879"/>
        <v>225</v>
      </c>
      <c r="M809" s="327">
        <f t="shared" si="880"/>
        <v>0</v>
      </c>
      <c r="N809" s="337">
        <f t="shared" si="881"/>
        <v>4</v>
      </c>
      <c r="O809" s="395">
        <f t="shared" si="882"/>
        <v>-5</v>
      </c>
      <c r="P809" s="289">
        <f t="shared" si="883"/>
        <v>0</v>
      </c>
      <c r="Q809" s="460">
        <f>WEEKNUM(tblResultadosNBA[[#This Row],[Fecha]],2)</f>
        <v>7</v>
      </c>
      <c r="R809" s="460" t="str">
        <f>TEXT(tblResultadosNBA[[#This Row],[Fecha]],"mmm")</f>
        <v>feb</v>
      </c>
    </row>
    <row r="810" spans="1:18">
      <c r="A810" s="419">
        <v>46064</v>
      </c>
      <c r="B810" s="302" t="s">
        <v>291</v>
      </c>
      <c r="C810" s="177" t="str">
        <f t="shared" si="874"/>
        <v>New York Knicks</v>
      </c>
      <c r="D810" s="177">
        <v>111</v>
      </c>
      <c r="E810" s="336">
        <v>138</v>
      </c>
      <c r="F810" s="327">
        <f t="shared" si="875"/>
        <v>1</v>
      </c>
      <c r="G810" s="177" t="str">
        <f t="shared" si="876"/>
        <v>Philadelphia 76ers</v>
      </c>
      <c r="H810" s="177">
        <v>111</v>
      </c>
      <c r="I810" s="336">
        <v>89</v>
      </c>
      <c r="J810" s="327">
        <f t="shared" si="877"/>
        <v>0</v>
      </c>
      <c r="K810" s="177">
        <f t="shared" si="878"/>
        <v>222</v>
      </c>
      <c r="L810" s="336">
        <f t="shared" si="879"/>
        <v>227</v>
      </c>
      <c r="M810" s="327">
        <f t="shared" si="880"/>
        <v>1</v>
      </c>
      <c r="N810" s="337">
        <f t="shared" si="881"/>
        <v>0</v>
      </c>
      <c r="O810" s="395">
        <f t="shared" si="882"/>
        <v>-49</v>
      </c>
      <c r="P810" s="289">
        <f t="shared" si="883"/>
        <v>0</v>
      </c>
      <c r="Q810" s="460">
        <f>WEEKNUM(tblResultadosNBA[[#This Row],[Fecha]],2)</f>
        <v>7</v>
      </c>
      <c r="R810" s="460" t="str">
        <f>TEXT(tblResultadosNBA[[#This Row],[Fecha]],"mmm")</f>
        <v>feb</v>
      </c>
    </row>
    <row r="811" spans="1:18">
      <c r="A811" s="419">
        <v>46064</v>
      </c>
      <c r="B811" s="302" t="s">
        <v>746</v>
      </c>
      <c r="C811" s="177" t="str">
        <f t="shared" si="874"/>
        <v>Detroit Pistons</v>
      </c>
      <c r="D811" s="177">
        <v>112</v>
      </c>
      <c r="E811" s="336">
        <v>113</v>
      </c>
      <c r="F811" s="327">
        <f t="shared" si="875"/>
        <v>1</v>
      </c>
      <c r="G811" s="177" t="str">
        <f t="shared" si="876"/>
        <v>Toronto Raptors</v>
      </c>
      <c r="H811" s="177">
        <v>114</v>
      </c>
      <c r="I811" s="336">
        <v>95</v>
      </c>
      <c r="J811" s="327">
        <f t="shared" si="877"/>
        <v>0</v>
      </c>
      <c r="K811" s="177">
        <f t="shared" si="878"/>
        <v>226</v>
      </c>
      <c r="L811" s="336">
        <f t="shared" si="879"/>
        <v>208</v>
      </c>
      <c r="M811" s="327">
        <f t="shared" si="880"/>
        <v>0</v>
      </c>
      <c r="N811" s="337">
        <f t="shared" si="881"/>
        <v>2</v>
      </c>
      <c r="O811" s="395">
        <f t="shared" si="882"/>
        <v>-18</v>
      </c>
      <c r="P811" s="289">
        <f t="shared" si="883"/>
        <v>0</v>
      </c>
      <c r="Q811" s="460">
        <f>WEEKNUM(tblResultadosNBA[[#This Row],[Fecha]],2)</f>
        <v>7</v>
      </c>
      <c r="R811" s="460" t="str">
        <f>TEXT(tblResultadosNBA[[#This Row],[Fecha]],"mmm")</f>
        <v>feb</v>
      </c>
    </row>
    <row r="812" spans="1:18">
      <c r="A812" s="419">
        <v>46064</v>
      </c>
      <c r="B812" s="302" t="s">
        <v>170</v>
      </c>
      <c r="C812" s="177" t="str">
        <f t="shared" si="874"/>
        <v>LA Clippers</v>
      </c>
      <c r="D812" s="177">
        <v>107</v>
      </c>
      <c r="E812" s="336">
        <v>105</v>
      </c>
      <c r="F812" s="327">
        <f t="shared" si="875"/>
        <v>0</v>
      </c>
      <c r="G812" s="177" t="str">
        <f t="shared" si="876"/>
        <v>Houston Rockets</v>
      </c>
      <c r="H812" s="177">
        <v>112</v>
      </c>
      <c r="I812" s="336">
        <v>102</v>
      </c>
      <c r="J812" s="327">
        <f t="shared" si="877"/>
        <v>0</v>
      </c>
      <c r="K812" s="177">
        <f t="shared" si="878"/>
        <v>219</v>
      </c>
      <c r="L812" s="336">
        <f t="shared" si="879"/>
        <v>207</v>
      </c>
      <c r="M812" s="327">
        <f t="shared" si="880"/>
        <v>0</v>
      </c>
      <c r="N812" s="337">
        <f t="shared" si="881"/>
        <v>5</v>
      </c>
      <c r="O812" s="395">
        <f t="shared" si="882"/>
        <v>-3</v>
      </c>
      <c r="P812" s="289">
        <f t="shared" si="883"/>
        <v>0</v>
      </c>
      <c r="Q812" s="460">
        <f>WEEKNUM(tblResultadosNBA[[#This Row],[Fecha]],2)</f>
        <v>7</v>
      </c>
      <c r="R812" s="460" t="str">
        <f>TEXT(tblResultadosNBA[[#This Row],[Fecha]],"mmm")</f>
        <v>feb</v>
      </c>
    </row>
    <row r="813" spans="1:18">
      <c r="A813" s="419">
        <v>46064</v>
      </c>
      <c r="B813" s="302" t="s">
        <v>362</v>
      </c>
      <c r="C813" s="177" t="str">
        <f t="shared" si="874"/>
        <v>Portland Trail Blazers</v>
      </c>
      <c r="D813" s="177">
        <v>111</v>
      </c>
      <c r="E813" s="336">
        <v>109</v>
      </c>
      <c r="F813" s="327">
        <f t="shared" si="875"/>
        <v>0</v>
      </c>
      <c r="G813" s="177" t="str">
        <f t="shared" si="876"/>
        <v>Minnesota Timberwolves</v>
      </c>
      <c r="H813" s="177">
        <v>120</v>
      </c>
      <c r="I813" s="336">
        <v>133</v>
      </c>
      <c r="J813" s="327">
        <f t="shared" si="877"/>
        <v>1</v>
      </c>
      <c r="K813" s="177">
        <f t="shared" si="878"/>
        <v>231</v>
      </c>
      <c r="L813" s="336">
        <f t="shared" si="879"/>
        <v>242</v>
      </c>
      <c r="M813" s="327">
        <f t="shared" si="880"/>
        <v>1</v>
      </c>
      <c r="N813" s="337">
        <f t="shared" si="881"/>
        <v>9</v>
      </c>
      <c r="O813" s="395">
        <f t="shared" si="882"/>
        <v>24</v>
      </c>
      <c r="P813" s="289">
        <f t="shared" si="883"/>
        <v>1</v>
      </c>
      <c r="Q813" s="460">
        <f>WEEKNUM(tblResultadosNBA[[#This Row],[Fecha]],2)</f>
        <v>7</v>
      </c>
      <c r="R813" s="460" t="str">
        <f>TEXT(tblResultadosNBA[[#This Row],[Fecha]],"mmm")</f>
        <v>feb</v>
      </c>
    </row>
    <row r="814" spans="1:18">
      <c r="A814" s="419">
        <v>46064</v>
      </c>
      <c r="B814" s="302" t="s">
        <v>363</v>
      </c>
      <c r="C814" s="177" t="str">
        <f>LEFT(B814,FIND("@",B814)-2)</f>
        <v>Miami Heat</v>
      </c>
      <c r="D814" s="177">
        <v>114</v>
      </c>
      <c r="E814" s="336">
        <v>123</v>
      </c>
      <c r="F814" s="327">
        <f>IF(E814&gt;D814, 1, 0)</f>
        <v>1</v>
      </c>
      <c r="G814" s="177" t="str">
        <f>MID(B814,FIND("@",B814)+2,LEN(B814)-FIND("@",B814)-1)</f>
        <v>New Orleans Pelicans</v>
      </c>
      <c r="H814" s="177">
        <v>115</v>
      </c>
      <c r="I814" s="336">
        <v>111</v>
      </c>
      <c r="J814" s="327">
        <f>IF(I814&gt;H814, 1, 0)</f>
        <v>0</v>
      </c>
      <c r="K814" s="177">
        <f>+D814+H814</f>
        <v>229</v>
      </c>
      <c r="L814" s="336">
        <f>E814+I814</f>
        <v>234</v>
      </c>
      <c r="M814" s="327">
        <f>IF(L814&gt;K814, 1, 0)</f>
        <v>1</v>
      </c>
      <c r="N814" s="337">
        <f>(+H814-D814)</f>
        <v>1</v>
      </c>
      <c r="O814" s="395">
        <f>I814-E814</f>
        <v>-12</v>
      </c>
      <c r="P814" s="289">
        <f>IF(OR(AND(N814&gt;0,O814&gt;0),AND(N814&lt;0,O814&lt;0)),1,0)</f>
        <v>0</v>
      </c>
      <c r="Q814" s="460">
        <f>WEEKNUM(tblResultadosNBA[[#This Row],[Fecha]],2)</f>
        <v>7</v>
      </c>
      <c r="R814" s="460" t="str">
        <f>TEXT(tblResultadosNBA[[#This Row],[Fecha]],"mmm")</f>
        <v>feb</v>
      </c>
    </row>
    <row r="815" spans="1:18">
      <c r="A815" s="419">
        <v>46064</v>
      </c>
      <c r="B815" s="302" t="s">
        <v>621</v>
      </c>
      <c r="C815" s="177" t="str">
        <f t="shared" si="874"/>
        <v>Oklahoma City Thunder</v>
      </c>
      <c r="D815" s="177">
        <v>113</v>
      </c>
      <c r="E815" s="336">
        <v>136</v>
      </c>
      <c r="F815" s="327">
        <f t="shared" si="875"/>
        <v>1</v>
      </c>
      <c r="G815" s="177" t="str">
        <f t="shared" si="876"/>
        <v>Phoenix Suns</v>
      </c>
      <c r="H815" s="177">
        <v>110</v>
      </c>
      <c r="I815" s="336">
        <v>109</v>
      </c>
      <c r="J815" s="327">
        <f t="shared" si="877"/>
        <v>0</v>
      </c>
      <c r="K815" s="177">
        <f t="shared" si="878"/>
        <v>223</v>
      </c>
      <c r="L815" s="336">
        <f t="shared" si="879"/>
        <v>245</v>
      </c>
      <c r="M815" s="327">
        <f t="shared" si="880"/>
        <v>1</v>
      </c>
      <c r="N815" s="337">
        <f t="shared" si="881"/>
        <v>-3</v>
      </c>
      <c r="O815" s="395">
        <f t="shared" si="882"/>
        <v>-27</v>
      </c>
      <c r="P815" s="289">
        <f t="shared" si="883"/>
        <v>1</v>
      </c>
      <c r="Q815" s="460">
        <f>WEEKNUM(tblResultadosNBA[[#This Row],[Fecha]],2)</f>
        <v>7</v>
      </c>
      <c r="R815" s="460" t="str">
        <f>TEXT(tblResultadosNBA[[#This Row],[Fecha]],"mmm")</f>
        <v>feb</v>
      </c>
    </row>
    <row r="816" spans="1:18">
      <c r="A816" s="419">
        <v>46064</v>
      </c>
      <c r="B816" s="302" t="s">
        <v>364</v>
      </c>
      <c r="C816" s="177" t="str">
        <f t="shared" si="874"/>
        <v>Sacramento Kings</v>
      </c>
      <c r="D816" s="177">
        <v>114</v>
      </c>
      <c r="E816" s="336">
        <v>93</v>
      </c>
      <c r="F816" s="327">
        <f t="shared" si="875"/>
        <v>0</v>
      </c>
      <c r="G816" s="177" t="str">
        <f t="shared" si="876"/>
        <v>Utah Jazz</v>
      </c>
      <c r="H816" s="177">
        <v>116</v>
      </c>
      <c r="I816" s="336">
        <v>121</v>
      </c>
      <c r="J816" s="327">
        <f t="shared" si="877"/>
        <v>1</v>
      </c>
      <c r="K816" s="177">
        <f t="shared" si="878"/>
        <v>230</v>
      </c>
      <c r="L816" s="336">
        <f t="shared" si="879"/>
        <v>214</v>
      </c>
      <c r="M816" s="327">
        <f t="shared" si="880"/>
        <v>0</v>
      </c>
      <c r="N816" s="337">
        <f t="shared" si="881"/>
        <v>2</v>
      </c>
      <c r="O816" s="395">
        <f t="shared" si="882"/>
        <v>28</v>
      </c>
      <c r="P816" s="289">
        <f t="shared" si="883"/>
        <v>1</v>
      </c>
      <c r="Q816" s="460">
        <f>WEEKNUM(tblResultadosNBA[[#This Row],[Fecha]],2)</f>
        <v>7</v>
      </c>
      <c r="R816" s="460" t="str">
        <f>TEXT(tblResultadosNBA[[#This Row],[Fecha]],"mmm")</f>
        <v>feb</v>
      </c>
    </row>
    <row r="817" spans="1:18">
      <c r="A817" s="419">
        <v>46064</v>
      </c>
      <c r="B817" s="302" t="s">
        <v>365</v>
      </c>
      <c r="C817" s="177" t="str">
        <f t="shared" si="874"/>
        <v>Memphis Grizzlies</v>
      </c>
      <c r="D817" s="177">
        <v>110</v>
      </c>
      <c r="E817" s="336">
        <v>116</v>
      </c>
      <c r="F817" s="327">
        <f t="shared" si="875"/>
        <v>1</v>
      </c>
      <c r="G817" s="177" t="str">
        <f t="shared" si="876"/>
        <v>Denver Nuggets</v>
      </c>
      <c r="H817" s="177">
        <v>117</v>
      </c>
      <c r="I817" s="336">
        <v>122</v>
      </c>
      <c r="J817" s="327">
        <f t="shared" si="877"/>
        <v>1</v>
      </c>
      <c r="K817" s="177">
        <f t="shared" si="878"/>
        <v>227</v>
      </c>
      <c r="L817" s="336">
        <f t="shared" si="879"/>
        <v>238</v>
      </c>
      <c r="M817" s="327">
        <f t="shared" si="880"/>
        <v>1</v>
      </c>
      <c r="N817" s="337">
        <f t="shared" si="881"/>
        <v>7</v>
      </c>
      <c r="O817" s="395">
        <f t="shared" si="882"/>
        <v>6</v>
      </c>
      <c r="P817" s="289">
        <f t="shared" si="883"/>
        <v>1</v>
      </c>
      <c r="Q817" s="460">
        <f>WEEKNUM(tblResultadosNBA[[#This Row],[Fecha]],2)</f>
        <v>7</v>
      </c>
      <c r="R817" s="460" t="str">
        <f>TEXT(tblResultadosNBA[[#This Row],[Fecha]],"mmm")</f>
        <v>feb</v>
      </c>
    </row>
    <row r="818" spans="1:18">
      <c r="A818" s="419">
        <v>46064</v>
      </c>
      <c r="B818" s="302" t="s">
        <v>366</v>
      </c>
      <c r="C818" s="177" t="str">
        <f t="shared" si="874"/>
        <v>San Antonio Spurs</v>
      </c>
      <c r="D818" s="177">
        <v>113</v>
      </c>
      <c r="E818" s="336">
        <v>126</v>
      </c>
      <c r="F818" s="327">
        <f t="shared" si="875"/>
        <v>1</v>
      </c>
      <c r="G818" s="177" t="str">
        <f t="shared" si="876"/>
        <v>Golden State Warriors</v>
      </c>
      <c r="H818" s="177">
        <v>120</v>
      </c>
      <c r="I818" s="336">
        <v>113</v>
      </c>
      <c r="J818" s="327">
        <f t="shared" si="877"/>
        <v>0</v>
      </c>
      <c r="K818" s="177">
        <f t="shared" si="878"/>
        <v>233</v>
      </c>
      <c r="L818" s="336">
        <f t="shared" si="879"/>
        <v>239</v>
      </c>
      <c r="M818" s="327">
        <f t="shared" si="880"/>
        <v>1</v>
      </c>
      <c r="N818" s="337">
        <f t="shared" si="881"/>
        <v>7</v>
      </c>
      <c r="O818" s="395">
        <f t="shared" si="882"/>
        <v>-13</v>
      </c>
      <c r="P818" s="289">
        <f t="shared" si="883"/>
        <v>0</v>
      </c>
      <c r="Q818" s="460">
        <f>WEEKNUM(tblResultadosNBA[[#This Row],[Fecha]],2)</f>
        <v>7</v>
      </c>
      <c r="R818" s="460" t="str">
        <f>TEXT(tblResultadosNBA[[#This Row],[Fecha]],"mmm")</f>
        <v>feb</v>
      </c>
    </row>
    <row r="819" spans="1:18">
      <c r="A819" s="455"/>
      <c r="E819" s="357">
        <f>COUNT(E2:E818)</f>
        <v>817</v>
      </c>
      <c r="F819" s="535">
        <f>SUM(F2:F818)</f>
        <v>398</v>
      </c>
      <c r="I819" s="357">
        <f>COUNT(I2:I818)</f>
        <v>817</v>
      </c>
      <c r="J819" s="535">
        <f>SUM(J2:J818)</f>
        <v>363</v>
      </c>
      <c r="L819" s="357">
        <f>COUNT(I2:I818)</f>
        <v>817</v>
      </c>
      <c r="M819" s="535">
        <f>SUM(M2:M818)</f>
        <v>373</v>
      </c>
      <c r="P819" s="535">
        <f>SUM(P2:P818)</f>
        <v>427</v>
      </c>
    </row>
    <row r="820" spans="1:18">
      <c r="A820" s="455"/>
      <c r="E820" s="607">
        <f>F819/E819</f>
        <v>0.48714810281517745</v>
      </c>
      <c r="F820" s="608"/>
      <c r="G820" s="622">
        <f>(J819+F819)/(E819+I819)</f>
        <v>0.46572827417380663</v>
      </c>
      <c r="H820" s="623"/>
      <c r="I820" s="621">
        <f>J819/I819</f>
        <v>0.44430844553243576</v>
      </c>
      <c r="J820" s="620"/>
      <c r="L820" s="619">
        <f>M819/L819</f>
        <v>0.45654834761321911</v>
      </c>
      <c r="M820" s="620"/>
      <c r="P820" s="532">
        <f>P819/I819</f>
        <v>0.52264381884944922</v>
      </c>
    </row>
    <row r="821" spans="1:18">
      <c r="A821" s="455"/>
      <c r="E821" s="615">
        <f>1/E820</f>
        <v>2.0527638190954773</v>
      </c>
      <c r="F821" s="616"/>
      <c r="I821" s="617">
        <f>1/I820</f>
        <v>2.2506887052341598</v>
      </c>
      <c r="J821" s="618"/>
      <c r="L821" s="617">
        <f>1/L820</f>
        <v>2.1903485254691688</v>
      </c>
      <c r="M821" s="618"/>
      <c r="P821" s="533">
        <f>1/P820</f>
        <v>1.9133489461358313</v>
      </c>
      <c r="Q821" s="365"/>
    </row>
    <row r="822" spans="1:18">
      <c r="A822" s="455"/>
      <c r="E822" s="607">
        <f>1-E820</f>
        <v>0.5128518971848226</v>
      </c>
      <c r="F822" s="608"/>
      <c r="I822" s="613">
        <f>1-I820</f>
        <v>0.55569155446756424</v>
      </c>
      <c r="J822" s="614"/>
      <c r="L822" s="613">
        <f>1-L820</f>
        <v>0.54345165238678095</v>
      </c>
      <c r="M822" s="614"/>
      <c r="P822" s="365"/>
      <c r="Q822" s="365"/>
    </row>
    <row r="823" spans="1:18">
      <c r="A823" s="455"/>
      <c r="E823" s="609">
        <f>1/(1-E820)</f>
        <v>1.9498806682577563</v>
      </c>
      <c r="F823" s="610"/>
      <c r="I823" s="611">
        <f>1/(1-I820)</f>
        <v>1.7995594713656389</v>
      </c>
      <c r="J823" s="612"/>
      <c r="L823" s="611">
        <f>1/(1-L820)</f>
        <v>1.8400900900900901</v>
      </c>
      <c r="M823" s="612"/>
      <c r="P823" s="365"/>
      <c r="Q823" s="365"/>
    </row>
    <row r="824" spans="1:18">
      <c r="A824" s="455"/>
      <c r="Q824" s="365">
        <v>25</v>
      </c>
    </row>
    <row r="825" spans="1:18">
      <c r="A825" s="455"/>
      <c r="D825" s="58">
        <f>AVERAGE(D2:D823)</f>
        <v>114.63035495716035</v>
      </c>
      <c r="E825" s="58">
        <f>AVERAGE(E2:E823)</f>
        <v>115.05231465266101</v>
      </c>
      <c r="F825" s="365"/>
      <c r="G825" s="58"/>
      <c r="H825" s="58">
        <f>AVERAGE(H2:H823)</f>
        <v>117.93512851897185</v>
      </c>
      <c r="I825" s="58">
        <f>AVERAGE(I2:I822)</f>
        <v>116.73355747710747</v>
      </c>
      <c r="J825" s="365"/>
      <c r="K825" s="58">
        <f>AVERAGE(K2:K822)</f>
        <v>232.56548347613219</v>
      </c>
      <c r="L825" s="58">
        <f>AVERAGE(L2:L822)</f>
        <v>230.92471418821617</v>
      </c>
      <c r="M825" s="365"/>
      <c r="P825" s="365"/>
      <c r="Q825" s="365"/>
    </row>
    <row r="826" spans="1:18">
      <c r="A826" s="455"/>
      <c r="E826" s="365"/>
      <c r="F826" s="365"/>
      <c r="I826" s="365"/>
      <c r="J826" s="365"/>
      <c r="L826" s="365"/>
      <c r="M826" s="365"/>
      <c r="P826" s="365"/>
      <c r="Q826" s="365"/>
    </row>
    <row r="827" spans="1:18">
      <c r="A827" s="455"/>
    </row>
    <row r="828" spans="1:18">
      <c r="A828" s="455"/>
    </row>
    <row r="829" spans="1:18">
      <c r="A829" s="455"/>
    </row>
    <row r="830" spans="1:18">
      <c r="A830" s="455"/>
    </row>
    <row r="831" spans="1:18">
      <c r="A831" s="455"/>
    </row>
    <row r="832" spans="1:18">
      <c r="A832" s="455"/>
    </row>
    <row r="833" spans="1:1">
      <c r="A833" s="455"/>
    </row>
    <row r="834" spans="1:1">
      <c r="A834" s="455"/>
    </row>
    <row r="835" spans="1:1">
      <c r="A835" s="455"/>
    </row>
    <row r="836" spans="1:1">
      <c r="A836" s="455"/>
    </row>
    <row r="837" spans="1:1">
      <c r="A837" s="455"/>
    </row>
    <row r="838" spans="1:1">
      <c r="A838" s="455"/>
    </row>
    <row r="839" spans="1:1">
      <c r="A839" s="455"/>
    </row>
    <row r="840" spans="1:1">
      <c r="A840" s="455"/>
    </row>
    <row r="841" spans="1:1">
      <c r="A841" s="455"/>
    </row>
    <row r="842" spans="1:1">
      <c r="A842" s="455"/>
    </row>
    <row r="843" spans="1:1">
      <c r="A843" s="455"/>
    </row>
    <row r="844" spans="1:1">
      <c r="A844" s="455"/>
    </row>
    <row r="845" spans="1:1">
      <c r="A845" s="455"/>
    </row>
    <row r="846" spans="1:1">
      <c r="A846" s="455"/>
    </row>
    <row r="847" spans="1:1">
      <c r="A847" s="455"/>
    </row>
    <row r="848" spans="1:1">
      <c r="A848" s="455"/>
    </row>
    <row r="849" spans="1:1">
      <c r="A849" s="455"/>
    </row>
    <row r="850" spans="1:1">
      <c r="A850" s="455"/>
    </row>
    <row r="851" spans="1:1">
      <c r="A851" s="455"/>
    </row>
    <row r="852" spans="1:1">
      <c r="A852" s="455"/>
    </row>
    <row r="853" spans="1:1">
      <c r="A853" s="455"/>
    </row>
    <row r="854" spans="1:1">
      <c r="A854" s="455"/>
    </row>
    <row r="855" spans="1:1">
      <c r="A855" s="455"/>
    </row>
    <row r="856" spans="1:1">
      <c r="A856" s="455"/>
    </row>
    <row r="857" spans="1:1">
      <c r="A857" s="455"/>
    </row>
    <row r="858" spans="1:1">
      <c r="A858" s="455"/>
    </row>
    <row r="859" spans="1:1">
      <c r="A859" s="455"/>
    </row>
    <row r="860" spans="1:1">
      <c r="A860" s="455"/>
    </row>
    <row r="861" spans="1:1">
      <c r="A861" s="455"/>
    </row>
    <row r="862" spans="1:1">
      <c r="A862" s="455"/>
    </row>
    <row r="863" spans="1:1">
      <c r="A863" s="455"/>
    </row>
    <row r="864" spans="1:1">
      <c r="A864" s="455"/>
    </row>
    <row r="865" spans="1:1">
      <c r="A865" s="455"/>
    </row>
    <row r="866" spans="1:1">
      <c r="A866" s="455"/>
    </row>
    <row r="867" spans="1:1">
      <c r="A867" s="455"/>
    </row>
    <row r="868" spans="1:1">
      <c r="A868" s="455"/>
    </row>
    <row r="869" spans="1:1">
      <c r="A869" s="455"/>
    </row>
    <row r="870" spans="1:1">
      <c r="A870" s="455"/>
    </row>
    <row r="871" spans="1:1">
      <c r="A871" s="455"/>
    </row>
    <row r="872" spans="1:1">
      <c r="A872" s="455"/>
    </row>
    <row r="873" spans="1:1">
      <c r="A873" s="455"/>
    </row>
    <row r="874" spans="1:1">
      <c r="A874" s="455"/>
    </row>
    <row r="875" spans="1:1">
      <c r="A875" s="455"/>
    </row>
    <row r="876" spans="1:1">
      <c r="A876" s="455"/>
    </row>
    <row r="877" spans="1:1">
      <c r="A877" s="455"/>
    </row>
    <row r="878" spans="1:1">
      <c r="A878" s="455"/>
    </row>
    <row r="879" spans="1:1">
      <c r="A879" s="455"/>
    </row>
    <row r="880" spans="1:1">
      <c r="A880" s="455"/>
    </row>
    <row r="881" spans="1:1">
      <c r="A881" s="455"/>
    </row>
    <row r="882" spans="1:1">
      <c r="A882" s="455"/>
    </row>
    <row r="883" spans="1:1">
      <c r="A883" s="455"/>
    </row>
    <row r="884" spans="1:1">
      <c r="A884" s="455"/>
    </row>
    <row r="885" spans="1:1">
      <c r="A885" s="455"/>
    </row>
    <row r="886" spans="1:1">
      <c r="A886" s="455"/>
    </row>
    <row r="887" spans="1:1">
      <c r="A887" s="455"/>
    </row>
    <row r="888" spans="1:1">
      <c r="A888" s="455"/>
    </row>
    <row r="889" spans="1:1">
      <c r="A889" s="455"/>
    </row>
    <row r="890" spans="1:1">
      <c r="A890" s="455"/>
    </row>
    <row r="891" spans="1:1">
      <c r="A891" s="455"/>
    </row>
    <row r="892" spans="1:1">
      <c r="A892" s="455"/>
    </row>
    <row r="893" spans="1:1">
      <c r="A893" s="455"/>
    </row>
    <row r="894" spans="1:1">
      <c r="A894" s="455"/>
    </row>
    <row r="895" spans="1:1">
      <c r="A895" s="455"/>
    </row>
    <row r="896" spans="1:1">
      <c r="A896" s="455"/>
    </row>
    <row r="897" spans="1:1">
      <c r="A897" s="455"/>
    </row>
    <row r="898" spans="1:1">
      <c r="A898" s="455"/>
    </row>
    <row r="899" spans="1:1">
      <c r="A899" s="455"/>
    </row>
    <row r="900" spans="1:1">
      <c r="A900" s="455"/>
    </row>
    <row r="901" spans="1:1">
      <c r="A901" s="455"/>
    </row>
    <row r="902" spans="1:1">
      <c r="A902" s="455"/>
    </row>
    <row r="903" spans="1:1">
      <c r="A903" s="455"/>
    </row>
    <row r="904" spans="1:1">
      <c r="A904" s="455"/>
    </row>
    <row r="905" spans="1:1">
      <c r="A905" s="455"/>
    </row>
    <row r="906" spans="1:1">
      <c r="A906" s="455"/>
    </row>
    <row r="907" spans="1:1">
      <c r="A907" s="455"/>
    </row>
    <row r="908" spans="1:1">
      <c r="A908" s="455"/>
    </row>
    <row r="909" spans="1:1">
      <c r="A909" s="455"/>
    </row>
    <row r="910" spans="1:1">
      <c r="A910" s="455"/>
    </row>
    <row r="911" spans="1:1">
      <c r="A911" s="455"/>
    </row>
    <row r="912" spans="1:1">
      <c r="A912" s="455"/>
    </row>
    <row r="913" spans="1:1">
      <c r="A913" s="455"/>
    </row>
    <row r="914" spans="1:1">
      <c r="A914" s="455"/>
    </row>
    <row r="915" spans="1:1">
      <c r="A915" s="455"/>
    </row>
    <row r="916" spans="1:1">
      <c r="A916" s="455"/>
    </row>
    <row r="917" spans="1:1">
      <c r="A917" s="455"/>
    </row>
    <row r="918" spans="1:1">
      <c r="A918" s="455"/>
    </row>
    <row r="919" spans="1:1">
      <c r="A919" s="455"/>
    </row>
    <row r="920" spans="1:1">
      <c r="A920" s="455"/>
    </row>
    <row r="921" spans="1:1">
      <c r="A921" s="455"/>
    </row>
    <row r="922" spans="1:1">
      <c r="A922" s="455"/>
    </row>
    <row r="923" spans="1:1">
      <c r="A923" s="455"/>
    </row>
    <row r="924" spans="1:1">
      <c r="A924" s="455"/>
    </row>
    <row r="925" spans="1:1">
      <c r="A925" s="455"/>
    </row>
    <row r="926" spans="1:1">
      <c r="A926" s="455"/>
    </row>
    <row r="927" spans="1:1">
      <c r="A927" s="455"/>
    </row>
    <row r="928" spans="1:1">
      <c r="A928" s="455"/>
    </row>
    <row r="929" spans="1:1">
      <c r="A929" s="455"/>
    </row>
    <row r="930" spans="1:1">
      <c r="A930" s="455"/>
    </row>
    <row r="931" spans="1:1">
      <c r="A931" s="455"/>
    </row>
    <row r="932" spans="1:1">
      <c r="A932" s="455"/>
    </row>
    <row r="933" spans="1:1">
      <c r="A933" s="455"/>
    </row>
    <row r="934" spans="1:1">
      <c r="A934" s="455"/>
    </row>
    <row r="935" spans="1:1">
      <c r="A935" s="455"/>
    </row>
    <row r="936" spans="1:1">
      <c r="A936" s="455"/>
    </row>
    <row r="937" spans="1:1">
      <c r="A937" s="455"/>
    </row>
    <row r="938" spans="1:1">
      <c r="A938" s="455"/>
    </row>
    <row r="939" spans="1:1">
      <c r="A939" s="455"/>
    </row>
    <row r="940" spans="1:1">
      <c r="A940" s="455"/>
    </row>
    <row r="941" spans="1:1">
      <c r="A941" s="455"/>
    </row>
    <row r="942" spans="1:1">
      <c r="A942" s="455"/>
    </row>
    <row r="943" spans="1:1">
      <c r="A943" s="455"/>
    </row>
    <row r="944" spans="1:1">
      <c r="A944" s="455"/>
    </row>
    <row r="945" spans="1:1">
      <c r="A945" s="455"/>
    </row>
    <row r="946" spans="1:1">
      <c r="A946" s="455"/>
    </row>
    <row r="947" spans="1:1">
      <c r="A947" s="455"/>
    </row>
    <row r="948" spans="1:1">
      <c r="A948" s="455"/>
    </row>
    <row r="949" spans="1:1">
      <c r="A949" s="455"/>
    </row>
    <row r="950" spans="1:1">
      <c r="A950" s="455"/>
    </row>
    <row r="951" spans="1:1">
      <c r="A951" s="455"/>
    </row>
    <row r="952" spans="1:1">
      <c r="A952" s="455"/>
    </row>
    <row r="953" spans="1:1">
      <c r="A953" s="455"/>
    </row>
    <row r="954" spans="1:1">
      <c r="A954" s="455"/>
    </row>
    <row r="955" spans="1:1">
      <c r="A955" s="455"/>
    </row>
    <row r="956" spans="1:1">
      <c r="A956" s="455"/>
    </row>
    <row r="957" spans="1:1">
      <c r="A957" s="455"/>
    </row>
    <row r="958" spans="1:1">
      <c r="A958" s="455"/>
    </row>
    <row r="959" spans="1:1">
      <c r="A959" s="455"/>
    </row>
    <row r="960" spans="1:1">
      <c r="A960" s="455"/>
    </row>
    <row r="961" spans="1:1">
      <c r="A961" s="455"/>
    </row>
    <row r="962" spans="1:1">
      <c r="A962" s="455"/>
    </row>
    <row r="963" spans="1:1">
      <c r="A963" s="455"/>
    </row>
    <row r="964" spans="1:1">
      <c r="A964" s="455"/>
    </row>
    <row r="965" spans="1:1">
      <c r="A965" s="455"/>
    </row>
    <row r="966" spans="1:1">
      <c r="A966" s="455"/>
    </row>
    <row r="967" spans="1:1">
      <c r="A967" s="455"/>
    </row>
    <row r="968" spans="1:1">
      <c r="A968" s="455"/>
    </row>
    <row r="969" spans="1:1">
      <c r="A969" s="455"/>
    </row>
    <row r="970" spans="1:1">
      <c r="A970" s="455"/>
    </row>
    <row r="971" spans="1:1">
      <c r="A971" s="455"/>
    </row>
    <row r="972" spans="1:1">
      <c r="A972" s="455"/>
    </row>
    <row r="973" spans="1:1">
      <c r="A973" s="455"/>
    </row>
    <row r="974" spans="1:1">
      <c r="A974" s="455"/>
    </row>
    <row r="975" spans="1:1">
      <c r="A975" s="455"/>
    </row>
    <row r="976" spans="1:1">
      <c r="A976" s="455"/>
    </row>
    <row r="977" spans="1:1">
      <c r="A977" s="455"/>
    </row>
    <row r="978" spans="1:1">
      <c r="A978" s="455"/>
    </row>
    <row r="979" spans="1:1">
      <c r="A979" s="455"/>
    </row>
    <row r="980" spans="1:1">
      <c r="A980" s="455"/>
    </row>
    <row r="981" spans="1:1">
      <c r="A981" s="455"/>
    </row>
    <row r="982" spans="1:1">
      <c r="A982" s="455"/>
    </row>
    <row r="983" spans="1:1">
      <c r="A983" s="455"/>
    </row>
    <row r="984" spans="1:1">
      <c r="A984" s="455"/>
    </row>
    <row r="985" spans="1:1">
      <c r="A985" s="455"/>
    </row>
    <row r="986" spans="1:1">
      <c r="A986" s="455"/>
    </row>
    <row r="987" spans="1:1">
      <c r="A987" s="455"/>
    </row>
    <row r="988" spans="1:1">
      <c r="A988" s="455"/>
    </row>
    <row r="989" spans="1:1">
      <c r="A989" s="455"/>
    </row>
    <row r="990" spans="1:1">
      <c r="A990" s="455"/>
    </row>
    <row r="991" spans="1:1">
      <c r="A991" s="455"/>
    </row>
    <row r="992" spans="1:1">
      <c r="A992" s="455"/>
    </row>
    <row r="993" spans="1:1">
      <c r="A993" s="455"/>
    </row>
    <row r="994" spans="1:1">
      <c r="A994" s="455"/>
    </row>
    <row r="995" spans="1:1">
      <c r="A995" s="455"/>
    </row>
    <row r="996" spans="1:1">
      <c r="A996" s="455"/>
    </row>
    <row r="997" spans="1:1">
      <c r="A997" s="455"/>
    </row>
    <row r="998" spans="1:1">
      <c r="A998" s="455"/>
    </row>
    <row r="999" spans="1:1">
      <c r="A999" s="455"/>
    </row>
    <row r="1000" spans="1:1">
      <c r="A1000" s="455"/>
    </row>
    <row r="1001" spans="1:1">
      <c r="A1001" s="455"/>
    </row>
    <row r="1002" spans="1:1">
      <c r="A1002" s="455"/>
    </row>
    <row r="1003" spans="1:1">
      <c r="A1003" s="455"/>
    </row>
    <row r="1004" spans="1:1">
      <c r="A1004" s="455"/>
    </row>
    <row r="1005" spans="1:1">
      <c r="A1005" s="455"/>
    </row>
    <row r="1006" spans="1:1">
      <c r="A1006" s="455"/>
    </row>
    <row r="1007" spans="1:1">
      <c r="A1007" s="455"/>
    </row>
    <row r="1008" spans="1:1">
      <c r="A1008" s="455"/>
    </row>
    <row r="1009" spans="1:1">
      <c r="A1009" s="455"/>
    </row>
    <row r="1010" spans="1:1">
      <c r="A1010" s="455"/>
    </row>
    <row r="1011" spans="1:1">
      <c r="A1011" s="455"/>
    </row>
    <row r="1012" spans="1:1">
      <c r="A1012" s="455"/>
    </row>
    <row r="1013" spans="1:1">
      <c r="A1013" s="455"/>
    </row>
    <row r="1014" spans="1:1">
      <c r="A1014" s="455"/>
    </row>
    <row r="1015" spans="1:1">
      <c r="A1015" s="455"/>
    </row>
    <row r="1016" spans="1:1">
      <c r="A1016" s="455"/>
    </row>
    <row r="1017" spans="1:1">
      <c r="A1017" s="455"/>
    </row>
    <row r="1018" spans="1:1">
      <c r="A1018" s="455"/>
    </row>
    <row r="1019" spans="1:1">
      <c r="A1019" s="455"/>
    </row>
    <row r="1020" spans="1:1">
      <c r="A1020" s="455"/>
    </row>
    <row r="1021" spans="1:1">
      <c r="A1021" s="455"/>
    </row>
    <row r="1022" spans="1:1">
      <c r="A1022" s="455"/>
    </row>
    <row r="1023" spans="1:1">
      <c r="A1023" s="455"/>
    </row>
    <row r="1024" spans="1:1">
      <c r="A1024" s="455"/>
    </row>
    <row r="1025" spans="1:1">
      <c r="A1025" s="455"/>
    </row>
    <row r="1026" spans="1:1">
      <c r="A1026" s="455"/>
    </row>
    <row r="1027" spans="1:1">
      <c r="A1027" s="455"/>
    </row>
    <row r="1028" spans="1:1">
      <c r="A1028" s="455"/>
    </row>
    <row r="1029" spans="1:1">
      <c r="A1029" s="455"/>
    </row>
    <row r="1030" spans="1:1">
      <c r="A1030" s="455"/>
    </row>
    <row r="1031" spans="1:1">
      <c r="A1031" s="455"/>
    </row>
    <row r="1032" spans="1:1">
      <c r="A1032" s="455"/>
    </row>
    <row r="1033" spans="1:1">
      <c r="A1033" s="455"/>
    </row>
    <row r="1034" spans="1:1">
      <c r="A1034" s="455"/>
    </row>
    <row r="1035" spans="1:1">
      <c r="A1035" s="455"/>
    </row>
    <row r="1036" spans="1:1">
      <c r="A1036" s="455"/>
    </row>
    <row r="1037" spans="1:1">
      <c r="A1037" s="455"/>
    </row>
    <row r="1038" spans="1:1">
      <c r="A1038" s="455"/>
    </row>
    <row r="1039" spans="1:1">
      <c r="A1039" s="455"/>
    </row>
    <row r="1040" spans="1:1">
      <c r="A1040" s="455"/>
    </row>
    <row r="1041" spans="1:1">
      <c r="A1041" s="455"/>
    </row>
    <row r="1042" spans="1:1">
      <c r="A1042" s="455"/>
    </row>
    <row r="1043" spans="1:1">
      <c r="A1043" s="455"/>
    </row>
    <row r="1044" spans="1:1">
      <c r="A1044" s="455"/>
    </row>
    <row r="1045" spans="1:1">
      <c r="A1045" s="455"/>
    </row>
    <row r="1046" spans="1:1">
      <c r="A1046" s="455"/>
    </row>
    <row r="1047" spans="1:1">
      <c r="A1047" s="455"/>
    </row>
    <row r="1048" spans="1:1">
      <c r="A1048" s="455"/>
    </row>
    <row r="1049" spans="1:1">
      <c r="A1049" s="455"/>
    </row>
    <row r="1050" spans="1:1">
      <c r="A1050" s="455"/>
    </row>
    <row r="1051" spans="1:1">
      <c r="A1051" s="455"/>
    </row>
    <row r="1052" spans="1:1">
      <c r="A1052" s="455"/>
    </row>
    <row r="1053" spans="1:1">
      <c r="A1053" s="455"/>
    </row>
    <row r="1054" spans="1:1">
      <c r="A1054" s="455"/>
    </row>
    <row r="1055" spans="1:1">
      <c r="A1055" s="455"/>
    </row>
    <row r="1056" spans="1:1">
      <c r="A1056" s="455"/>
    </row>
    <row r="1057" spans="1:1">
      <c r="A1057" s="455"/>
    </row>
    <row r="1058" spans="1:1">
      <c r="A1058" s="455"/>
    </row>
    <row r="1059" spans="1:1">
      <c r="A1059" s="455"/>
    </row>
    <row r="1060" spans="1:1">
      <c r="A1060" s="455"/>
    </row>
    <row r="1061" spans="1:1">
      <c r="A1061" s="455"/>
    </row>
    <row r="1062" spans="1:1">
      <c r="A1062" s="455"/>
    </row>
    <row r="1063" spans="1:1">
      <c r="A1063" s="455"/>
    </row>
    <row r="1064" spans="1:1">
      <c r="A1064" s="455"/>
    </row>
    <row r="1065" spans="1:1">
      <c r="A1065" s="455"/>
    </row>
    <row r="1066" spans="1:1">
      <c r="A1066" s="455"/>
    </row>
    <row r="1067" spans="1:1">
      <c r="A1067" s="455"/>
    </row>
    <row r="1068" spans="1:1">
      <c r="A1068" s="455"/>
    </row>
    <row r="1069" spans="1:1">
      <c r="A1069" s="455"/>
    </row>
    <row r="1070" spans="1:1">
      <c r="A1070" s="455"/>
    </row>
    <row r="1071" spans="1:1">
      <c r="A1071" s="455"/>
    </row>
    <row r="1072" spans="1:1">
      <c r="A1072" s="455"/>
    </row>
    <row r="1073" spans="1:1">
      <c r="A1073" s="455"/>
    </row>
    <row r="1074" spans="1:1">
      <c r="A1074" s="455"/>
    </row>
    <row r="1075" spans="1:1">
      <c r="A1075" s="455"/>
    </row>
    <row r="1076" spans="1:1">
      <c r="A1076" s="455"/>
    </row>
    <row r="1077" spans="1:1">
      <c r="A1077" s="455"/>
    </row>
    <row r="1078" spans="1:1">
      <c r="A1078" s="455"/>
    </row>
    <row r="1079" spans="1:1">
      <c r="A1079" s="455"/>
    </row>
    <row r="1080" spans="1:1">
      <c r="A1080" s="455"/>
    </row>
    <row r="1081" spans="1:1">
      <c r="A1081" s="455"/>
    </row>
    <row r="1082" spans="1:1">
      <c r="A1082" s="455"/>
    </row>
    <row r="1083" spans="1:1">
      <c r="A1083" s="455"/>
    </row>
    <row r="1084" spans="1:1">
      <c r="A1084" s="455"/>
    </row>
    <row r="1085" spans="1:1">
      <c r="A1085" s="455"/>
    </row>
    <row r="1086" spans="1:1">
      <c r="A1086" s="455"/>
    </row>
    <row r="1087" spans="1:1">
      <c r="A1087" s="455"/>
    </row>
    <row r="1088" spans="1:1">
      <c r="A1088" s="455"/>
    </row>
    <row r="1089" spans="1:1">
      <c r="A1089" s="455"/>
    </row>
    <row r="1090" spans="1:1">
      <c r="A1090" s="455"/>
    </row>
    <row r="1091" spans="1:1">
      <c r="A1091" s="455"/>
    </row>
    <row r="1092" spans="1:1">
      <c r="A1092" s="455"/>
    </row>
    <row r="1093" spans="1:1">
      <c r="A1093" s="455"/>
    </row>
    <row r="1094" spans="1:1">
      <c r="A1094" s="455"/>
    </row>
    <row r="1095" spans="1:1">
      <c r="A1095" s="455"/>
    </row>
    <row r="1096" spans="1:1">
      <c r="A1096" s="455"/>
    </row>
    <row r="1097" spans="1:1">
      <c r="A1097" s="455"/>
    </row>
    <row r="1098" spans="1:1">
      <c r="A1098" s="455"/>
    </row>
    <row r="1099" spans="1:1">
      <c r="A1099" s="455"/>
    </row>
    <row r="1100" spans="1:1">
      <c r="A1100" s="455"/>
    </row>
    <row r="1101" spans="1:1">
      <c r="A1101" s="455"/>
    </row>
    <row r="1102" spans="1:1">
      <c r="A1102" s="455"/>
    </row>
    <row r="1103" spans="1:1">
      <c r="A1103" s="455"/>
    </row>
    <row r="1104" spans="1:1">
      <c r="A1104" s="455"/>
    </row>
    <row r="1105" spans="1:1">
      <c r="A1105" s="455"/>
    </row>
    <row r="1106" spans="1:1">
      <c r="A1106" s="455"/>
    </row>
    <row r="1107" spans="1:1">
      <c r="A1107" s="455"/>
    </row>
    <row r="1108" spans="1:1">
      <c r="A1108" s="455"/>
    </row>
    <row r="1109" spans="1:1">
      <c r="A1109" s="455"/>
    </row>
    <row r="1110" spans="1:1">
      <c r="A1110" s="455"/>
    </row>
    <row r="1111" spans="1:1">
      <c r="A1111" s="455"/>
    </row>
    <row r="1112" spans="1:1">
      <c r="A1112" s="455"/>
    </row>
    <row r="1113" spans="1:1">
      <c r="A1113" s="455"/>
    </row>
    <row r="1114" spans="1:1">
      <c r="A1114" s="455"/>
    </row>
    <row r="1115" spans="1:1">
      <c r="A1115" s="455"/>
    </row>
    <row r="1116" spans="1:1">
      <c r="A1116" s="455"/>
    </row>
    <row r="1117" spans="1:1">
      <c r="A1117" s="455"/>
    </row>
    <row r="1118" spans="1:1">
      <c r="A1118" s="455"/>
    </row>
    <row r="1119" spans="1:1">
      <c r="A1119" s="455"/>
    </row>
    <row r="1120" spans="1:1">
      <c r="A1120" s="455"/>
    </row>
    <row r="1121" spans="1:1">
      <c r="A1121" s="455"/>
    </row>
    <row r="1122" spans="1:1">
      <c r="A1122" s="455"/>
    </row>
    <row r="1123" spans="1:1">
      <c r="A1123" s="455"/>
    </row>
    <row r="1124" spans="1:1">
      <c r="A1124" s="455"/>
    </row>
    <row r="1125" spans="1:1">
      <c r="A1125" s="455"/>
    </row>
    <row r="1126" spans="1:1">
      <c r="A1126" s="455"/>
    </row>
    <row r="1127" spans="1:1">
      <c r="A1127" s="455"/>
    </row>
    <row r="1128" spans="1:1">
      <c r="A1128" s="455"/>
    </row>
    <row r="1129" spans="1:1">
      <c r="A1129" s="455"/>
    </row>
    <row r="1130" spans="1:1">
      <c r="A1130" s="455"/>
    </row>
    <row r="1131" spans="1:1">
      <c r="A1131" s="455"/>
    </row>
    <row r="1132" spans="1:1">
      <c r="A1132" s="455"/>
    </row>
    <row r="1133" spans="1:1">
      <c r="A1133" s="455"/>
    </row>
    <row r="1134" spans="1:1">
      <c r="A1134" s="455"/>
    </row>
    <row r="1135" spans="1:1">
      <c r="A1135" s="455"/>
    </row>
    <row r="1136" spans="1:1">
      <c r="A1136" s="455"/>
    </row>
    <row r="1137" spans="1:1">
      <c r="A1137" s="455"/>
    </row>
    <row r="1138" spans="1:1">
      <c r="A1138" s="455"/>
    </row>
    <row r="1139" spans="1:1">
      <c r="A1139" s="455"/>
    </row>
    <row r="1140" spans="1:1">
      <c r="A1140" s="455"/>
    </row>
    <row r="1141" spans="1:1">
      <c r="A1141" s="455"/>
    </row>
    <row r="1142" spans="1:1">
      <c r="A1142" s="455"/>
    </row>
    <row r="1143" spans="1:1">
      <c r="A1143" s="455"/>
    </row>
    <row r="1144" spans="1:1">
      <c r="A1144" s="455"/>
    </row>
    <row r="1145" spans="1:1">
      <c r="A1145" s="455"/>
    </row>
    <row r="1146" spans="1:1">
      <c r="A1146" s="455"/>
    </row>
    <row r="1147" spans="1:1">
      <c r="A1147" s="455"/>
    </row>
    <row r="1148" spans="1:1">
      <c r="A1148" s="455"/>
    </row>
    <row r="1149" spans="1:1">
      <c r="A1149" s="455"/>
    </row>
    <row r="1150" spans="1:1">
      <c r="A1150" s="455"/>
    </row>
    <row r="1151" spans="1:1">
      <c r="A1151" s="455"/>
    </row>
    <row r="1152" spans="1:1">
      <c r="A1152" s="455"/>
    </row>
    <row r="1153" spans="1:1">
      <c r="A1153" s="455"/>
    </row>
    <row r="1154" spans="1:1">
      <c r="A1154" s="455"/>
    </row>
    <row r="1155" spans="1:1">
      <c r="A1155" s="455"/>
    </row>
    <row r="1156" spans="1:1">
      <c r="A1156" s="455"/>
    </row>
    <row r="1157" spans="1:1">
      <c r="A1157" s="455"/>
    </row>
    <row r="1158" spans="1:1">
      <c r="A1158" s="455"/>
    </row>
    <row r="1159" spans="1:1">
      <c r="A1159" s="455"/>
    </row>
    <row r="1160" spans="1:1">
      <c r="A1160" s="455"/>
    </row>
    <row r="1161" spans="1:1">
      <c r="A1161" s="455"/>
    </row>
    <row r="1162" spans="1:1">
      <c r="A1162" s="455"/>
    </row>
    <row r="1163" spans="1:1">
      <c r="A1163" s="455"/>
    </row>
    <row r="1164" spans="1:1">
      <c r="A1164" s="455"/>
    </row>
    <row r="1165" spans="1:1">
      <c r="A1165" s="455"/>
    </row>
    <row r="1166" spans="1:1">
      <c r="A1166" s="455"/>
    </row>
    <row r="1167" spans="1:1">
      <c r="A1167" s="455"/>
    </row>
    <row r="1168" spans="1:1">
      <c r="A1168" s="455"/>
    </row>
    <row r="1169" spans="1:1">
      <c r="A1169" s="455"/>
    </row>
    <row r="1170" spans="1:1">
      <c r="A1170" s="455"/>
    </row>
    <row r="1171" spans="1:1">
      <c r="A1171" s="455"/>
    </row>
    <row r="1172" spans="1:1">
      <c r="A1172" s="455"/>
    </row>
    <row r="1173" spans="1:1">
      <c r="A1173" s="455"/>
    </row>
    <row r="1174" spans="1:1">
      <c r="A1174" s="455"/>
    </row>
    <row r="1175" spans="1:1">
      <c r="A1175" s="455"/>
    </row>
    <row r="1176" spans="1:1">
      <c r="A1176" s="455"/>
    </row>
    <row r="1177" spans="1:1">
      <c r="A1177" s="455"/>
    </row>
    <row r="1178" spans="1:1">
      <c r="A1178" s="455"/>
    </row>
    <row r="1179" spans="1:1">
      <c r="A1179" s="455"/>
    </row>
    <row r="1180" spans="1:1">
      <c r="A1180" s="455"/>
    </row>
    <row r="1181" spans="1:1">
      <c r="A1181" s="455"/>
    </row>
    <row r="1182" spans="1:1">
      <c r="A1182" s="455"/>
    </row>
    <row r="1183" spans="1:1">
      <c r="A1183" s="455"/>
    </row>
    <row r="1184" spans="1:1">
      <c r="A1184" s="455"/>
    </row>
    <row r="1185" spans="1:1">
      <c r="A1185" s="455"/>
    </row>
    <row r="1186" spans="1:1">
      <c r="A1186" s="455"/>
    </row>
    <row r="1187" spans="1:1">
      <c r="A1187" s="455"/>
    </row>
    <row r="1188" spans="1:1">
      <c r="A1188" s="455"/>
    </row>
    <row r="1189" spans="1:1">
      <c r="A1189" s="455"/>
    </row>
    <row r="1190" spans="1:1">
      <c r="A1190" s="455"/>
    </row>
    <row r="1191" spans="1:1">
      <c r="A1191" s="455"/>
    </row>
    <row r="1192" spans="1:1">
      <c r="A1192" s="455"/>
    </row>
    <row r="1193" spans="1:1">
      <c r="A1193" s="455"/>
    </row>
    <row r="1194" spans="1:1">
      <c r="A1194" s="455"/>
    </row>
    <row r="1195" spans="1:1">
      <c r="A1195" s="455"/>
    </row>
    <row r="1196" spans="1:1">
      <c r="A1196" s="455"/>
    </row>
    <row r="1197" spans="1:1">
      <c r="A1197" s="455"/>
    </row>
    <row r="1198" spans="1:1">
      <c r="A1198" s="455"/>
    </row>
    <row r="1199" spans="1:1">
      <c r="A1199" s="455"/>
    </row>
    <row r="1200" spans="1:1">
      <c r="A1200" s="455"/>
    </row>
    <row r="1201" spans="1:1">
      <c r="A1201" s="455"/>
    </row>
    <row r="1202" spans="1:1">
      <c r="A1202" s="455"/>
    </row>
    <row r="1203" spans="1:1">
      <c r="A1203" s="455"/>
    </row>
    <row r="1204" spans="1:1">
      <c r="A1204" s="455"/>
    </row>
    <row r="1205" spans="1:1">
      <c r="A1205" s="455"/>
    </row>
    <row r="1206" spans="1:1">
      <c r="A1206" s="455"/>
    </row>
    <row r="1207" spans="1:1">
      <c r="A1207" s="455"/>
    </row>
    <row r="1208" spans="1:1">
      <c r="A1208" s="455"/>
    </row>
    <row r="1209" spans="1:1">
      <c r="A1209" s="455"/>
    </row>
    <row r="1210" spans="1:1">
      <c r="A1210" s="455"/>
    </row>
    <row r="1211" spans="1:1">
      <c r="A1211" s="455"/>
    </row>
    <row r="1212" spans="1:1">
      <c r="A1212" s="455"/>
    </row>
    <row r="1213" spans="1:1">
      <c r="A1213" s="455"/>
    </row>
    <row r="1214" spans="1:1">
      <c r="A1214" s="455"/>
    </row>
    <row r="1215" spans="1:1">
      <c r="A1215" s="455"/>
    </row>
    <row r="1216" spans="1:1">
      <c r="A1216" s="455"/>
    </row>
    <row r="1217" spans="1:1">
      <c r="A1217" s="455"/>
    </row>
    <row r="1218" spans="1:1">
      <c r="A1218" s="455"/>
    </row>
    <row r="1219" spans="1:1">
      <c r="A1219" s="455"/>
    </row>
    <row r="1220" spans="1:1">
      <c r="A1220" s="455"/>
    </row>
    <row r="1221" spans="1:1">
      <c r="A1221" s="455"/>
    </row>
    <row r="1222" spans="1:1">
      <c r="A1222" s="455"/>
    </row>
    <row r="1223" spans="1:1">
      <c r="A1223" s="455"/>
    </row>
    <row r="1224" spans="1:1">
      <c r="A1224" s="455"/>
    </row>
    <row r="1225" spans="1:1">
      <c r="A1225" s="455"/>
    </row>
    <row r="1226" spans="1:1">
      <c r="A1226" s="455"/>
    </row>
    <row r="1227" spans="1:1">
      <c r="A1227" s="455"/>
    </row>
    <row r="1228" spans="1:1">
      <c r="A1228" s="455"/>
    </row>
    <row r="1229" spans="1:1">
      <c r="A1229" s="455"/>
    </row>
    <row r="1230" spans="1:1">
      <c r="A1230" s="455"/>
    </row>
    <row r="1231" spans="1:1">
      <c r="A1231" s="455"/>
    </row>
    <row r="1232" spans="1:1">
      <c r="A1232" s="455"/>
    </row>
    <row r="1233" spans="1:1">
      <c r="A1233" s="455"/>
    </row>
    <row r="1234" spans="1:1">
      <c r="A1234" s="455"/>
    </row>
    <row r="1235" spans="1:1">
      <c r="A1235" s="455"/>
    </row>
    <row r="1236" spans="1:1">
      <c r="A1236" s="455"/>
    </row>
    <row r="1237" spans="1:1">
      <c r="A1237" s="455"/>
    </row>
    <row r="1238" spans="1:1">
      <c r="A1238" s="455"/>
    </row>
    <row r="1239" spans="1:1">
      <c r="A1239" s="455"/>
    </row>
    <row r="1240" spans="1:1">
      <c r="A1240" s="455"/>
    </row>
    <row r="1241" spans="1:1">
      <c r="A1241" s="455"/>
    </row>
    <row r="1242" spans="1:1">
      <c r="A1242" s="455"/>
    </row>
    <row r="1243" spans="1:1">
      <c r="A1243" s="455"/>
    </row>
    <row r="1244" spans="1:1">
      <c r="A1244" s="455"/>
    </row>
    <row r="1245" spans="1:1">
      <c r="A1245" s="455"/>
    </row>
    <row r="1246" spans="1:1">
      <c r="A1246" s="455"/>
    </row>
    <row r="1247" spans="1:1">
      <c r="A1247" s="455"/>
    </row>
    <row r="1248" spans="1:1">
      <c r="A1248" s="455"/>
    </row>
    <row r="1249" spans="1:1">
      <c r="A1249" s="455"/>
    </row>
    <row r="1250" spans="1:1">
      <c r="A1250" s="455"/>
    </row>
    <row r="1251" spans="1:1">
      <c r="A1251" s="455"/>
    </row>
    <row r="1252" spans="1:1">
      <c r="A1252" s="455"/>
    </row>
    <row r="1253" spans="1:1">
      <c r="A1253" s="455"/>
    </row>
    <row r="1254" spans="1:1">
      <c r="A1254" s="455"/>
    </row>
    <row r="1255" spans="1:1">
      <c r="A1255" s="455"/>
    </row>
    <row r="1256" spans="1:1">
      <c r="A1256" s="455"/>
    </row>
    <row r="1257" spans="1:1">
      <c r="A1257" s="455"/>
    </row>
    <row r="1258" spans="1:1">
      <c r="A1258" s="455"/>
    </row>
    <row r="1259" spans="1:1">
      <c r="A1259" s="455"/>
    </row>
    <row r="1260" spans="1:1">
      <c r="A1260" s="455"/>
    </row>
    <row r="1261" spans="1:1">
      <c r="A1261" s="455"/>
    </row>
    <row r="1262" spans="1:1">
      <c r="A1262" s="455"/>
    </row>
    <row r="1263" spans="1:1">
      <c r="A1263" s="455"/>
    </row>
    <row r="1264" spans="1:1">
      <c r="A1264" s="455"/>
    </row>
    <row r="1265" spans="1:1">
      <c r="A1265" s="455"/>
    </row>
    <row r="1266" spans="1:1">
      <c r="A1266" s="455"/>
    </row>
    <row r="1267" spans="1:1">
      <c r="A1267" s="455"/>
    </row>
    <row r="1268" spans="1:1">
      <c r="A1268" s="455"/>
    </row>
    <row r="1269" spans="1:1">
      <c r="A1269" s="455"/>
    </row>
    <row r="1270" spans="1:1">
      <c r="A1270" s="455"/>
    </row>
    <row r="1271" spans="1:1">
      <c r="A1271" s="455"/>
    </row>
    <row r="1272" spans="1:1">
      <c r="A1272" s="455"/>
    </row>
    <row r="1273" spans="1:1">
      <c r="A1273" s="455"/>
    </row>
    <row r="1274" spans="1:1">
      <c r="A1274" s="455"/>
    </row>
    <row r="1275" spans="1:1">
      <c r="A1275" s="455"/>
    </row>
    <row r="1276" spans="1:1">
      <c r="A1276" s="455"/>
    </row>
    <row r="1277" spans="1:1">
      <c r="A1277" s="455"/>
    </row>
    <row r="1278" spans="1:1">
      <c r="A1278" s="455"/>
    </row>
    <row r="1279" spans="1:1">
      <c r="A1279" s="455"/>
    </row>
    <row r="1280" spans="1:1">
      <c r="A1280" s="455"/>
    </row>
    <row r="1281" spans="1:1">
      <c r="A1281" s="455"/>
    </row>
    <row r="1282" spans="1:1">
      <c r="A1282" s="455"/>
    </row>
    <row r="1283" spans="1:1">
      <c r="A1283" s="455"/>
    </row>
    <row r="1284" spans="1:1">
      <c r="A1284" s="455"/>
    </row>
    <row r="1285" spans="1:1">
      <c r="A1285" s="455"/>
    </row>
    <row r="1286" spans="1:1">
      <c r="A1286" s="455"/>
    </row>
    <row r="1287" spans="1:1">
      <c r="A1287" s="455"/>
    </row>
    <row r="1288" spans="1:1">
      <c r="A1288" s="455"/>
    </row>
    <row r="1289" spans="1:1">
      <c r="A1289" s="455"/>
    </row>
    <row r="1290" spans="1:1">
      <c r="A1290" s="455"/>
    </row>
    <row r="1291" spans="1:1">
      <c r="A1291" s="455"/>
    </row>
    <row r="1292" spans="1:1">
      <c r="A1292" s="455"/>
    </row>
    <row r="1293" spans="1:1">
      <c r="A1293" s="455"/>
    </row>
    <row r="1294" spans="1:1">
      <c r="A1294" s="455"/>
    </row>
    <row r="1295" spans="1:1">
      <c r="A1295" s="455"/>
    </row>
    <row r="1296" spans="1:1">
      <c r="A1296" s="455"/>
    </row>
    <row r="1297" spans="1:1">
      <c r="A1297" s="455"/>
    </row>
    <row r="1298" spans="1:1">
      <c r="A1298" s="455"/>
    </row>
    <row r="1299" spans="1:1">
      <c r="A1299" s="455"/>
    </row>
    <row r="1300" spans="1:1">
      <c r="A1300" s="455"/>
    </row>
    <row r="1301" spans="1:1">
      <c r="A1301" s="455"/>
    </row>
    <row r="1302" spans="1:1">
      <c r="A1302" s="455"/>
    </row>
    <row r="1303" spans="1:1">
      <c r="A1303" s="455"/>
    </row>
    <row r="1304" spans="1:1">
      <c r="A1304" s="455"/>
    </row>
    <row r="1305" spans="1:1">
      <c r="A1305" s="455"/>
    </row>
    <row r="1306" spans="1:1">
      <c r="A1306" s="455"/>
    </row>
    <row r="1307" spans="1:1">
      <c r="A1307" s="455"/>
    </row>
    <row r="1308" spans="1:1">
      <c r="A1308" s="455"/>
    </row>
    <row r="1309" spans="1:1">
      <c r="A1309" s="455"/>
    </row>
    <row r="1310" spans="1:1">
      <c r="A1310" s="455"/>
    </row>
    <row r="1311" spans="1:1">
      <c r="A1311" s="455"/>
    </row>
    <row r="1312" spans="1:1">
      <c r="A1312" s="455"/>
    </row>
    <row r="1313" spans="1:1">
      <c r="A1313" s="455"/>
    </row>
    <row r="1314" spans="1:1">
      <c r="A1314" s="455"/>
    </row>
    <row r="1315" spans="1:1">
      <c r="A1315" s="455"/>
    </row>
    <row r="1316" spans="1:1">
      <c r="A1316" s="455"/>
    </row>
    <row r="1317" spans="1:1">
      <c r="A1317" s="455"/>
    </row>
    <row r="1318" spans="1:1">
      <c r="A1318" s="455"/>
    </row>
    <row r="1319" spans="1:1">
      <c r="A1319" s="455"/>
    </row>
    <row r="1320" spans="1:1">
      <c r="A1320" s="455"/>
    </row>
    <row r="1321" spans="1:1">
      <c r="A1321" s="455"/>
    </row>
    <row r="1322" spans="1:1">
      <c r="A1322" s="455"/>
    </row>
    <row r="1323" spans="1:1">
      <c r="A1323" s="455"/>
    </row>
    <row r="1324" spans="1:1">
      <c r="A1324" s="455"/>
    </row>
    <row r="1325" spans="1:1">
      <c r="A1325" s="455"/>
    </row>
    <row r="1326" spans="1:1">
      <c r="A1326" s="455"/>
    </row>
    <row r="1327" spans="1:1">
      <c r="A1327" s="455"/>
    </row>
    <row r="1328" spans="1:1">
      <c r="A1328" s="455"/>
    </row>
    <row r="1329" spans="1:1">
      <c r="A1329" s="455"/>
    </row>
    <row r="1330" spans="1:1">
      <c r="A1330" s="455"/>
    </row>
    <row r="1331" spans="1:1">
      <c r="A1331" s="455"/>
    </row>
    <row r="1332" spans="1:1">
      <c r="A1332" s="455"/>
    </row>
    <row r="1333" spans="1:1">
      <c r="A1333" s="455"/>
    </row>
    <row r="1334" spans="1:1">
      <c r="A1334" s="455"/>
    </row>
    <row r="1335" spans="1:1">
      <c r="A1335" s="455"/>
    </row>
    <row r="1336" spans="1:1">
      <c r="A1336" s="455"/>
    </row>
    <row r="1337" spans="1:1">
      <c r="A1337" s="455"/>
    </row>
    <row r="1338" spans="1:1">
      <c r="A1338" s="455"/>
    </row>
    <row r="1339" spans="1:1">
      <c r="A1339" s="455"/>
    </row>
    <row r="1340" spans="1:1">
      <c r="A1340" s="455"/>
    </row>
    <row r="1341" spans="1:1">
      <c r="A1341" s="455"/>
    </row>
    <row r="1342" spans="1:1">
      <c r="A1342" s="455"/>
    </row>
    <row r="1343" spans="1:1">
      <c r="A1343" s="455"/>
    </row>
    <row r="1344" spans="1:1">
      <c r="A1344" s="455"/>
    </row>
    <row r="1345" spans="1:1">
      <c r="A1345" s="455"/>
    </row>
    <row r="1346" spans="1:1">
      <c r="A1346" s="455"/>
    </row>
    <row r="1347" spans="1:1">
      <c r="A1347" s="455"/>
    </row>
    <row r="1348" spans="1:1">
      <c r="A1348" s="455"/>
    </row>
    <row r="1349" spans="1:1">
      <c r="A1349" s="455"/>
    </row>
    <row r="1350" spans="1:1">
      <c r="A1350" s="455"/>
    </row>
    <row r="1351" spans="1:1">
      <c r="A1351" s="455"/>
    </row>
    <row r="1352" spans="1:1">
      <c r="A1352" s="455"/>
    </row>
    <row r="1353" spans="1:1">
      <c r="A1353" s="455"/>
    </row>
    <row r="1354" spans="1:1">
      <c r="A1354" s="455"/>
    </row>
    <row r="1355" spans="1:1">
      <c r="A1355" s="455"/>
    </row>
    <row r="1356" spans="1:1">
      <c r="A1356" s="455"/>
    </row>
    <row r="1357" spans="1:1">
      <c r="A1357" s="455"/>
    </row>
    <row r="1358" spans="1:1">
      <c r="A1358" s="455"/>
    </row>
    <row r="1359" spans="1:1">
      <c r="A1359" s="455"/>
    </row>
    <row r="1360" spans="1:1">
      <c r="A1360" s="455"/>
    </row>
    <row r="1361" spans="1:1">
      <c r="A1361" s="455"/>
    </row>
    <row r="1362" spans="1:1">
      <c r="A1362" s="455"/>
    </row>
    <row r="1363" spans="1:1">
      <c r="A1363" s="455"/>
    </row>
    <row r="1364" spans="1:1">
      <c r="A1364" s="455"/>
    </row>
    <row r="1365" spans="1:1">
      <c r="A1365" s="455"/>
    </row>
    <row r="1366" spans="1:1">
      <c r="A1366" s="455"/>
    </row>
    <row r="1367" spans="1:1">
      <c r="A1367" s="455"/>
    </row>
    <row r="1368" spans="1:1">
      <c r="A1368" s="455"/>
    </row>
    <row r="1369" spans="1:1">
      <c r="A1369" s="455"/>
    </row>
    <row r="1370" spans="1:1">
      <c r="A1370" s="455"/>
    </row>
    <row r="1371" spans="1:1">
      <c r="A1371" s="455"/>
    </row>
    <row r="1372" spans="1:1">
      <c r="A1372" s="455"/>
    </row>
    <row r="1373" spans="1:1">
      <c r="A1373" s="455"/>
    </row>
    <row r="1374" spans="1:1">
      <c r="A1374" s="455"/>
    </row>
    <row r="1375" spans="1:1">
      <c r="A1375" s="455"/>
    </row>
    <row r="1376" spans="1:1">
      <c r="A1376" s="455"/>
    </row>
    <row r="1377" spans="1:1">
      <c r="A1377" s="455"/>
    </row>
    <row r="1378" spans="1:1">
      <c r="A1378" s="455"/>
    </row>
    <row r="1379" spans="1:1">
      <c r="A1379" s="455"/>
    </row>
    <row r="1380" spans="1:1">
      <c r="A1380" s="455"/>
    </row>
    <row r="1381" spans="1:1">
      <c r="A1381" s="455"/>
    </row>
    <row r="1382" spans="1:1">
      <c r="A1382" s="455"/>
    </row>
    <row r="1383" spans="1:1">
      <c r="A1383" s="455"/>
    </row>
    <row r="1384" spans="1:1">
      <c r="A1384" s="455"/>
    </row>
    <row r="1385" spans="1:1">
      <c r="A1385" s="455"/>
    </row>
    <row r="1386" spans="1:1">
      <c r="A1386" s="455"/>
    </row>
    <row r="1387" spans="1:1">
      <c r="A1387" s="455"/>
    </row>
    <row r="1388" spans="1:1">
      <c r="A1388" s="455"/>
    </row>
    <row r="1389" spans="1:1">
      <c r="A1389" s="455"/>
    </row>
    <row r="1390" spans="1:1">
      <c r="A1390" s="455"/>
    </row>
    <row r="1391" spans="1:1">
      <c r="A1391" s="455"/>
    </row>
    <row r="1392" spans="1:1">
      <c r="A1392" s="455"/>
    </row>
    <row r="1393" spans="1:1">
      <c r="A1393" s="455"/>
    </row>
    <row r="1394" spans="1:1">
      <c r="A1394" s="455"/>
    </row>
    <row r="1395" spans="1:1">
      <c r="A1395" s="455"/>
    </row>
    <row r="1396" spans="1:1">
      <c r="A1396" s="455"/>
    </row>
    <row r="1397" spans="1:1">
      <c r="A1397" s="455"/>
    </row>
    <row r="1398" spans="1:1">
      <c r="A1398" s="455"/>
    </row>
    <row r="1399" spans="1:1">
      <c r="A1399" s="455"/>
    </row>
    <row r="1400" spans="1:1">
      <c r="A1400" s="455"/>
    </row>
    <row r="1401" spans="1:1">
      <c r="A1401" s="455"/>
    </row>
    <row r="1402" spans="1:1">
      <c r="A1402" s="455"/>
    </row>
    <row r="1403" spans="1:1">
      <c r="A1403" s="455"/>
    </row>
    <row r="1404" spans="1:1">
      <c r="A1404" s="455"/>
    </row>
    <row r="1405" spans="1:1">
      <c r="A1405" s="455"/>
    </row>
    <row r="1406" spans="1:1">
      <c r="A1406" s="455"/>
    </row>
    <row r="1407" spans="1:1">
      <c r="A1407" s="455"/>
    </row>
    <row r="1408" spans="1:1">
      <c r="A1408" s="455"/>
    </row>
    <row r="1409" spans="1:1">
      <c r="A1409" s="455"/>
    </row>
    <row r="1410" spans="1:1">
      <c r="A1410" s="455"/>
    </row>
    <row r="1411" spans="1:1">
      <c r="A1411" s="455"/>
    </row>
    <row r="1412" spans="1:1">
      <c r="A1412" s="455"/>
    </row>
    <row r="1413" spans="1:1">
      <c r="A1413" s="455"/>
    </row>
    <row r="1414" spans="1:1">
      <c r="A1414" s="455"/>
    </row>
    <row r="1415" spans="1:1">
      <c r="A1415" s="455"/>
    </row>
    <row r="1416" spans="1:1">
      <c r="A1416" s="455"/>
    </row>
    <row r="1417" spans="1:1">
      <c r="A1417" s="455"/>
    </row>
    <row r="1418" spans="1:1">
      <c r="A1418" s="455"/>
    </row>
    <row r="1419" spans="1:1">
      <c r="A1419" s="455"/>
    </row>
    <row r="1420" spans="1:1">
      <c r="A1420" s="455"/>
    </row>
    <row r="1421" spans="1:1">
      <c r="A1421" s="455"/>
    </row>
    <row r="1422" spans="1:1">
      <c r="A1422" s="455"/>
    </row>
    <row r="1423" spans="1:1">
      <c r="A1423" s="455"/>
    </row>
    <row r="1424" spans="1:1">
      <c r="A1424" s="455"/>
    </row>
    <row r="1425" spans="1:1">
      <c r="A1425" s="455"/>
    </row>
    <row r="1426" spans="1:1">
      <c r="A1426" s="455"/>
    </row>
    <row r="1427" spans="1:1">
      <c r="A1427" s="455"/>
    </row>
    <row r="1428" spans="1:1">
      <c r="A1428" s="455"/>
    </row>
    <row r="1429" spans="1:1">
      <c r="A1429" s="455"/>
    </row>
    <row r="1430" spans="1:1">
      <c r="A1430" s="455"/>
    </row>
    <row r="1431" spans="1:1">
      <c r="A1431" s="455"/>
    </row>
    <row r="1432" spans="1:1">
      <c r="A1432" s="455"/>
    </row>
    <row r="1433" spans="1:1">
      <c r="A1433" s="455"/>
    </row>
    <row r="1434" spans="1:1">
      <c r="A1434" s="455"/>
    </row>
    <row r="1435" spans="1:1">
      <c r="A1435" s="455"/>
    </row>
    <row r="1436" spans="1:1">
      <c r="A1436" s="455"/>
    </row>
    <row r="1437" spans="1:1">
      <c r="A1437" s="455"/>
    </row>
    <row r="1438" spans="1:1">
      <c r="A1438" s="455"/>
    </row>
    <row r="1439" spans="1:1">
      <c r="A1439" s="455"/>
    </row>
    <row r="1440" spans="1:1">
      <c r="A1440" s="455"/>
    </row>
    <row r="1441" spans="1:1">
      <c r="A1441" s="455"/>
    </row>
    <row r="1442" spans="1:1">
      <c r="A1442" s="455"/>
    </row>
    <row r="1443" spans="1:1">
      <c r="A1443" s="455"/>
    </row>
    <row r="1444" spans="1:1">
      <c r="A1444" s="455"/>
    </row>
    <row r="1445" spans="1:1">
      <c r="A1445" s="455"/>
    </row>
    <row r="1446" spans="1:1">
      <c r="A1446" s="455"/>
    </row>
    <row r="1447" spans="1:1">
      <c r="A1447" s="455"/>
    </row>
    <row r="1448" spans="1:1">
      <c r="A1448" s="455"/>
    </row>
    <row r="1449" spans="1:1">
      <c r="A1449" s="455"/>
    </row>
    <row r="1450" spans="1:1">
      <c r="A1450" s="455"/>
    </row>
    <row r="1451" spans="1:1">
      <c r="A1451" s="455"/>
    </row>
    <row r="1452" spans="1:1">
      <c r="A1452" s="455"/>
    </row>
    <row r="1453" spans="1:1">
      <c r="A1453" s="455"/>
    </row>
    <row r="1454" spans="1:1">
      <c r="A1454" s="455"/>
    </row>
    <row r="1455" spans="1:1">
      <c r="A1455" s="455"/>
    </row>
    <row r="1456" spans="1:1">
      <c r="A1456" s="455"/>
    </row>
    <row r="1457" spans="1:1">
      <c r="A1457" s="455"/>
    </row>
    <row r="1458" spans="1:1">
      <c r="A1458" s="455"/>
    </row>
    <row r="1459" spans="1:1">
      <c r="A1459" s="455"/>
    </row>
    <row r="1460" spans="1:1">
      <c r="A1460" s="455"/>
    </row>
    <row r="1461" spans="1:1">
      <c r="A1461" s="455"/>
    </row>
    <row r="1462" spans="1:1">
      <c r="A1462" s="455"/>
    </row>
    <row r="1463" spans="1:1">
      <c r="A1463" s="455"/>
    </row>
    <row r="1464" spans="1:1">
      <c r="A1464" s="455"/>
    </row>
    <row r="1465" spans="1:1">
      <c r="A1465" s="455"/>
    </row>
    <row r="1466" spans="1:1">
      <c r="A1466" s="455"/>
    </row>
    <row r="1467" spans="1:1">
      <c r="A1467" s="455"/>
    </row>
    <row r="1468" spans="1:1">
      <c r="A1468" s="455"/>
    </row>
    <row r="1469" spans="1:1">
      <c r="A1469" s="455"/>
    </row>
    <row r="1470" spans="1:1">
      <c r="A1470" s="455"/>
    </row>
    <row r="1471" spans="1:1">
      <c r="A1471" s="455"/>
    </row>
    <row r="1472" spans="1:1">
      <c r="A1472" s="455"/>
    </row>
    <row r="1473" spans="1:1">
      <c r="A1473" s="455"/>
    </row>
    <row r="1474" spans="1:1">
      <c r="A1474" s="455"/>
    </row>
    <row r="1475" spans="1:1">
      <c r="A1475" s="455"/>
    </row>
    <row r="1476" spans="1:1">
      <c r="A1476" s="455"/>
    </row>
    <row r="1477" spans="1:1">
      <c r="A1477" s="455"/>
    </row>
    <row r="1478" spans="1:1">
      <c r="A1478" s="455"/>
    </row>
    <row r="1479" spans="1:1">
      <c r="A1479" s="455"/>
    </row>
    <row r="1480" spans="1:1">
      <c r="A1480" s="455"/>
    </row>
    <row r="1481" spans="1:1">
      <c r="A1481" s="455"/>
    </row>
    <row r="1482" spans="1:1">
      <c r="A1482" s="455"/>
    </row>
    <row r="1483" spans="1:1">
      <c r="A1483" s="455"/>
    </row>
    <row r="1484" spans="1:1">
      <c r="A1484" s="455"/>
    </row>
    <row r="1485" spans="1:1">
      <c r="A1485" s="455"/>
    </row>
    <row r="1486" spans="1:1">
      <c r="A1486" s="455"/>
    </row>
    <row r="1487" spans="1:1">
      <c r="A1487" s="455"/>
    </row>
    <row r="1488" spans="1:1">
      <c r="A1488" s="455"/>
    </row>
    <row r="1489" spans="1:1">
      <c r="A1489" s="455"/>
    </row>
    <row r="1490" spans="1:1">
      <c r="A1490" s="455"/>
    </row>
    <row r="1491" spans="1:1">
      <c r="A1491" s="455"/>
    </row>
    <row r="1492" spans="1:1">
      <c r="A1492" s="455"/>
    </row>
    <row r="1493" spans="1:1">
      <c r="A1493" s="455"/>
    </row>
    <row r="1494" spans="1:1">
      <c r="A1494" s="455"/>
    </row>
    <row r="1495" spans="1:1">
      <c r="A1495" s="455"/>
    </row>
    <row r="1496" spans="1:1">
      <c r="A1496" s="455"/>
    </row>
    <row r="1497" spans="1:1">
      <c r="A1497" s="455"/>
    </row>
    <row r="1498" spans="1:1">
      <c r="A1498" s="455"/>
    </row>
    <row r="1499" spans="1:1">
      <c r="A1499" s="455"/>
    </row>
    <row r="1500" spans="1:1">
      <c r="A1500" s="455"/>
    </row>
    <row r="1501" spans="1:1">
      <c r="A1501" s="455"/>
    </row>
    <row r="1502" spans="1:1">
      <c r="A1502" s="455"/>
    </row>
    <row r="1503" spans="1:1">
      <c r="A1503" s="455"/>
    </row>
    <row r="1504" spans="1:1">
      <c r="A1504" s="455"/>
    </row>
    <row r="1505" spans="1:1">
      <c r="A1505" s="455"/>
    </row>
    <row r="1506" spans="1:1">
      <c r="A1506" s="455"/>
    </row>
    <row r="1507" spans="1:1">
      <c r="A1507" s="455"/>
    </row>
    <row r="1508" spans="1:1">
      <c r="A1508" s="455"/>
    </row>
    <row r="1509" spans="1:1">
      <c r="A1509" s="455"/>
    </row>
    <row r="1510" spans="1:1">
      <c r="A1510" s="455"/>
    </row>
    <row r="1511" spans="1:1">
      <c r="A1511" s="455"/>
    </row>
    <row r="1512" spans="1:1">
      <c r="A1512" s="455"/>
    </row>
    <row r="1513" spans="1:1">
      <c r="A1513" s="455"/>
    </row>
    <row r="1514" spans="1:1">
      <c r="A1514" s="455"/>
    </row>
    <row r="1515" spans="1:1">
      <c r="A1515" s="455"/>
    </row>
    <row r="1516" spans="1:1">
      <c r="A1516" s="455"/>
    </row>
    <row r="1517" spans="1:1">
      <c r="A1517" s="455"/>
    </row>
    <row r="1518" spans="1:1">
      <c r="A1518" s="455"/>
    </row>
    <row r="1519" spans="1:1">
      <c r="A1519" s="455"/>
    </row>
    <row r="1520" spans="1:1">
      <c r="A1520" s="455"/>
    </row>
    <row r="1521" spans="1:1">
      <c r="A1521" s="455"/>
    </row>
    <row r="1522" spans="1:1">
      <c r="A1522" s="455"/>
    </row>
    <row r="1523" spans="1:1">
      <c r="A1523" s="455"/>
    </row>
    <row r="1524" spans="1:1">
      <c r="A1524" s="455"/>
    </row>
    <row r="1525" spans="1:1">
      <c r="A1525" s="455"/>
    </row>
    <row r="1526" spans="1:1">
      <c r="A1526" s="455"/>
    </row>
    <row r="1527" spans="1:1">
      <c r="A1527" s="455"/>
    </row>
    <row r="1528" spans="1:1">
      <c r="A1528" s="455"/>
    </row>
    <row r="1529" spans="1:1">
      <c r="A1529" s="455"/>
    </row>
    <row r="1530" spans="1:1">
      <c r="A1530" s="455"/>
    </row>
    <row r="1531" spans="1:1">
      <c r="A1531" s="455"/>
    </row>
    <row r="1532" spans="1:1">
      <c r="A1532" s="455"/>
    </row>
    <row r="1533" spans="1:1">
      <c r="A1533" s="455"/>
    </row>
    <row r="1534" spans="1:1">
      <c r="A1534" s="455"/>
    </row>
    <row r="1535" spans="1:1">
      <c r="A1535" s="455"/>
    </row>
    <row r="1536" spans="1:1">
      <c r="A1536" s="455"/>
    </row>
    <row r="1537" spans="1:1">
      <c r="A1537" s="455"/>
    </row>
    <row r="1538" spans="1:1">
      <c r="A1538" s="455"/>
    </row>
    <row r="1539" spans="1:1">
      <c r="A1539" s="455"/>
    </row>
    <row r="1540" spans="1:1">
      <c r="A1540" s="455"/>
    </row>
    <row r="1541" spans="1:1">
      <c r="A1541" s="455"/>
    </row>
    <row r="1542" spans="1:1">
      <c r="A1542" s="455"/>
    </row>
    <row r="1543" spans="1:1">
      <c r="A1543" s="455"/>
    </row>
    <row r="1544" spans="1:1">
      <c r="A1544" s="455"/>
    </row>
    <row r="1545" spans="1:1">
      <c r="A1545" s="455"/>
    </row>
    <row r="1546" spans="1:1">
      <c r="A1546" s="455"/>
    </row>
    <row r="1547" spans="1:1">
      <c r="A1547" s="455"/>
    </row>
    <row r="1548" spans="1:1">
      <c r="A1548" s="455"/>
    </row>
    <row r="1549" spans="1:1">
      <c r="A1549" s="455"/>
    </row>
    <row r="1550" spans="1:1">
      <c r="A1550" s="455"/>
    </row>
    <row r="1551" spans="1:1">
      <c r="A1551" s="455"/>
    </row>
    <row r="1552" spans="1:1">
      <c r="A1552" s="455"/>
    </row>
    <row r="1553" spans="1:1">
      <c r="A1553" s="455"/>
    </row>
    <row r="1554" spans="1:1">
      <c r="A1554" s="455"/>
    </row>
    <row r="1555" spans="1:1">
      <c r="A1555" s="455"/>
    </row>
    <row r="1556" spans="1:1">
      <c r="A1556" s="455"/>
    </row>
    <row r="1557" spans="1:1">
      <c r="A1557" s="455"/>
    </row>
    <row r="1558" spans="1:1">
      <c r="A1558" s="455"/>
    </row>
    <row r="1559" spans="1:1">
      <c r="A1559" s="455"/>
    </row>
    <row r="1560" spans="1:1">
      <c r="A1560" s="455"/>
    </row>
    <row r="1561" spans="1:1">
      <c r="A1561" s="455"/>
    </row>
    <row r="1562" spans="1:1">
      <c r="A1562" s="455"/>
    </row>
    <row r="1563" spans="1:1">
      <c r="A1563" s="455"/>
    </row>
    <row r="1564" spans="1:1">
      <c r="A1564" s="455"/>
    </row>
    <row r="1565" spans="1:1">
      <c r="A1565" s="455"/>
    </row>
    <row r="1566" spans="1:1">
      <c r="A1566" s="455"/>
    </row>
    <row r="1567" spans="1:1">
      <c r="A1567" s="455"/>
    </row>
    <row r="1568" spans="1:1">
      <c r="A1568" s="455"/>
    </row>
    <row r="1569" spans="1:1">
      <c r="A1569" s="455"/>
    </row>
    <row r="1570" spans="1:1">
      <c r="A1570" s="455"/>
    </row>
    <row r="1571" spans="1:1">
      <c r="A1571" s="455"/>
    </row>
    <row r="1572" spans="1:1">
      <c r="A1572" s="455"/>
    </row>
    <row r="1573" spans="1:1">
      <c r="A1573" s="455"/>
    </row>
    <row r="1574" spans="1:1">
      <c r="A1574" s="455"/>
    </row>
    <row r="1575" spans="1:1">
      <c r="A1575" s="455"/>
    </row>
    <row r="1576" spans="1:1">
      <c r="A1576" s="455"/>
    </row>
    <row r="1577" spans="1:1">
      <c r="A1577" s="455"/>
    </row>
    <row r="1578" spans="1:1">
      <c r="A1578" s="455"/>
    </row>
    <row r="1579" spans="1:1">
      <c r="A1579" s="455"/>
    </row>
    <row r="1580" spans="1:1">
      <c r="A1580" s="455"/>
    </row>
    <row r="1581" spans="1:1">
      <c r="A1581" s="455"/>
    </row>
    <row r="1582" spans="1:1">
      <c r="A1582" s="455"/>
    </row>
    <row r="1583" spans="1:1">
      <c r="A1583" s="455"/>
    </row>
    <row r="1584" spans="1:1">
      <c r="A1584" s="455"/>
    </row>
    <row r="1585" spans="1:1">
      <c r="A1585" s="455"/>
    </row>
    <row r="1586" spans="1:1">
      <c r="A1586" s="455"/>
    </row>
    <row r="1587" spans="1:1">
      <c r="A1587" s="455"/>
    </row>
    <row r="1588" spans="1:1">
      <c r="A1588" s="455"/>
    </row>
    <row r="1589" spans="1:1">
      <c r="A1589" s="455"/>
    </row>
    <row r="1590" spans="1:1">
      <c r="A1590" s="455"/>
    </row>
    <row r="1591" spans="1:1">
      <c r="A1591" s="455"/>
    </row>
    <row r="1592" spans="1:1">
      <c r="A1592" s="455"/>
    </row>
    <row r="1593" spans="1:1">
      <c r="A1593" s="455"/>
    </row>
    <row r="1594" spans="1:1">
      <c r="A1594" s="455"/>
    </row>
    <row r="1595" spans="1:1">
      <c r="A1595" s="455"/>
    </row>
    <row r="1596" spans="1:1">
      <c r="A1596" s="455"/>
    </row>
    <row r="1597" spans="1:1">
      <c r="A1597" s="455"/>
    </row>
    <row r="1598" spans="1:1">
      <c r="A1598" s="455"/>
    </row>
    <row r="1599" spans="1:1">
      <c r="A1599" s="455"/>
    </row>
    <row r="1600" spans="1:1">
      <c r="A1600" s="455"/>
    </row>
    <row r="1601" spans="1:1">
      <c r="A1601" s="455"/>
    </row>
    <row r="1602" spans="1:1">
      <c r="A1602" s="455"/>
    </row>
    <row r="1603" spans="1:1">
      <c r="A1603" s="455"/>
    </row>
    <row r="1604" spans="1:1">
      <c r="A1604" s="455"/>
    </row>
    <row r="1605" spans="1:1">
      <c r="A1605" s="455"/>
    </row>
    <row r="1606" spans="1:1">
      <c r="A1606" s="455"/>
    </row>
    <row r="1607" spans="1:1">
      <c r="A1607" s="455"/>
    </row>
    <row r="1608" spans="1:1">
      <c r="A1608" s="455"/>
    </row>
    <row r="1609" spans="1:1">
      <c r="A1609" s="455"/>
    </row>
    <row r="1610" spans="1:1">
      <c r="A1610" s="455"/>
    </row>
    <row r="1611" spans="1:1">
      <c r="A1611" s="455"/>
    </row>
    <row r="1612" spans="1:1">
      <c r="A1612" s="455"/>
    </row>
    <row r="1613" spans="1:1">
      <c r="A1613" s="455"/>
    </row>
    <row r="1614" spans="1:1">
      <c r="A1614" s="455"/>
    </row>
    <row r="1615" spans="1:1">
      <c r="A1615" s="455"/>
    </row>
    <row r="1616" spans="1:1">
      <c r="A1616" s="455"/>
    </row>
    <row r="1617" spans="1:1">
      <c r="A1617" s="455"/>
    </row>
    <row r="1618" spans="1:1">
      <c r="A1618" s="455"/>
    </row>
    <row r="1619" spans="1:1">
      <c r="A1619" s="455"/>
    </row>
    <row r="1620" spans="1:1">
      <c r="A1620" s="455"/>
    </row>
    <row r="1621" spans="1:1">
      <c r="A1621" s="455"/>
    </row>
    <row r="1622" spans="1:1">
      <c r="A1622" s="455"/>
    </row>
    <row r="1623" spans="1:1">
      <c r="A1623" s="455"/>
    </row>
    <row r="1624" spans="1:1">
      <c r="A1624" s="455"/>
    </row>
    <row r="1625" spans="1:1">
      <c r="A1625" s="455"/>
    </row>
    <row r="1626" spans="1:1">
      <c r="A1626" s="455"/>
    </row>
    <row r="1627" spans="1:1">
      <c r="A1627" s="455"/>
    </row>
    <row r="1628" spans="1:1">
      <c r="A1628" s="455"/>
    </row>
    <row r="1629" spans="1:1">
      <c r="A1629" s="455"/>
    </row>
    <row r="1630" spans="1:1">
      <c r="A1630" s="455"/>
    </row>
    <row r="1631" spans="1:1">
      <c r="A1631" s="455"/>
    </row>
    <row r="1632" spans="1:1">
      <c r="A1632" s="455"/>
    </row>
    <row r="1633" spans="1:1">
      <c r="A1633" s="455"/>
    </row>
    <row r="1634" spans="1:1">
      <c r="A1634" s="455"/>
    </row>
    <row r="1635" spans="1:1">
      <c r="A1635" s="455"/>
    </row>
    <row r="1636" spans="1:1">
      <c r="A1636" s="455"/>
    </row>
    <row r="1637" spans="1:1">
      <c r="A1637" s="455"/>
    </row>
    <row r="1638" spans="1:1">
      <c r="A1638" s="455"/>
    </row>
    <row r="1639" spans="1:1">
      <c r="A1639" s="455"/>
    </row>
    <row r="1640" spans="1:1">
      <c r="A1640" s="455"/>
    </row>
    <row r="1641" spans="1:1">
      <c r="A1641" s="455"/>
    </row>
    <row r="1642" spans="1:1">
      <c r="A1642" s="455"/>
    </row>
    <row r="1643" spans="1:1">
      <c r="A1643" s="455"/>
    </row>
    <row r="1644" spans="1:1">
      <c r="A1644" s="455"/>
    </row>
    <row r="1645" spans="1:1">
      <c r="A1645" s="455"/>
    </row>
    <row r="1646" spans="1:1">
      <c r="A1646" s="455"/>
    </row>
    <row r="1647" spans="1:1">
      <c r="A1647" s="455"/>
    </row>
    <row r="1648" spans="1:1">
      <c r="A1648" s="455"/>
    </row>
    <row r="1649" spans="1:1">
      <c r="A1649" s="455"/>
    </row>
    <row r="1650" spans="1:1">
      <c r="A1650" s="455"/>
    </row>
    <row r="1651" spans="1:1">
      <c r="A1651" s="455"/>
    </row>
    <row r="1652" spans="1:1">
      <c r="A1652" s="455"/>
    </row>
    <row r="1653" spans="1:1">
      <c r="A1653" s="455"/>
    </row>
    <row r="1654" spans="1:1">
      <c r="A1654" s="455"/>
    </row>
    <row r="1655" spans="1:1">
      <c r="A1655" s="455"/>
    </row>
    <row r="1656" spans="1:1">
      <c r="A1656" s="455"/>
    </row>
    <row r="1657" spans="1:1">
      <c r="A1657" s="455"/>
    </row>
    <row r="1658" spans="1:1">
      <c r="A1658" s="455"/>
    </row>
    <row r="1659" spans="1:1">
      <c r="A1659" s="455"/>
    </row>
    <row r="1660" spans="1:1">
      <c r="A1660" s="455"/>
    </row>
    <row r="1661" spans="1:1">
      <c r="A1661" s="455"/>
    </row>
    <row r="1662" spans="1:1">
      <c r="A1662" s="455"/>
    </row>
    <row r="1663" spans="1:1">
      <c r="A1663" s="455"/>
    </row>
    <row r="1664" spans="1:1">
      <c r="A1664" s="455"/>
    </row>
    <row r="1665" spans="1:1">
      <c r="A1665" s="455"/>
    </row>
    <row r="1666" spans="1:1">
      <c r="A1666" s="455"/>
    </row>
    <row r="1667" spans="1:1">
      <c r="A1667" s="455"/>
    </row>
    <row r="1668" spans="1:1">
      <c r="A1668" s="455"/>
    </row>
    <row r="1669" spans="1:1">
      <c r="A1669" s="455"/>
    </row>
    <row r="1670" spans="1:1">
      <c r="A1670" s="455"/>
    </row>
    <row r="1671" spans="1:1">
      <c r="A1671" s="455"/>
    </row>
    <row r="1672" spans="1:1">
      <c r="A1672" s="455"/>
    </row>
    <row r="1673" spans="1:1">
      <c r="A1673" s="455"/>
    </row>
    <row r="1674" spans="1:1">
      <c r="A1674" s="455"/>
    </row>
    <row r="1675" spans="1:1">
      <c r="A1675" s="455"/>
    </row>
    <row r="1676" spans="1:1">
      <c r="A1676" s="455"/>
    </row>
    <row r="1677" spans="1:1">
      <c r="A1677" s="455"/>
    </row>
    <row r="1678" spans="1:1">
      <c r="A1678" s="455"/>
    </row>
    <row r="1679" spans="1:1">
      <c r="A1679" s="455"/>
    </row>
    <row r="1680" spans="1:1">
      <c r="A1680" s="455"/>
    </row>
    <row r="1681" spans="1:1">
      <c r="A1681" s="455"/>
    </row>
    <row r="1682" spans="1:1">
      <c r="A1682" s="455"/>
    </row>
    <row r="1683" spans="1:1">
      <c r="A1683" s="455"/>
    </row>
    <row r="1684" spans="1:1">
      <c r="A1684" s="455"/>
    </row>
    <row r="1685" spans="1:1">
      <c r="A1685" s="455"/>
    </row>
    <row r="1686" spans="1:1">
      <c r="A1686" s="455"/>
    </row>
    <row r="1687" spans="1:1">
      <c r="A1687" s="455"/>
    </row>
    <row r="1688" spans="1:1">
      <c r="A1688" s="455"/>
    </row>
    <row r="1689" spans="1:1">
      <c r="A1689" s="455"/>
    </row>
    <row r="1690" spans="1:1">
      <c r="A1690" s="455"/>
    </row>
    <row r="1691" spans="1:1">
      <c r="A1691" s="455"/>
    </row>
    <row r="1692" spans="1:1">
      <c r="A1692" s="455"/>
    </row>
    <row r="1693" spans="1:1">
      <c r="A1693" s="455"/>
    </row>
    <row r="1694" spans="1:1">
      <c r="A1694" s="455"/>
    </row>
    <row r="1695" spans="1:1">
      <c r="A1695" s="455"/>
    </row>
    <row r="1696" spans="1:1">
      <c r="A1696" s="455"/>
    </row>
    <row r="1697" spans="1:1">
      <c r="A1697" s="455"/>
    </row>
    <row r="1698" spans="1:1">
      <c r="A1698" s="455"/>
    </row>
    <row r="1699" spans="1:1">
      <c r="A1699" s="455"/>
    </row>
    <row r="1700" spans="1:1">
      <c r="A1700" s="455"/>
    </row>
    <row r="1701" spans="1:1">
      <c r="A1701" s="455"/>
    </row>
    <row r="1702" spans="1:1">
      <c r="A1702" s="455"/>
    </row>
    <row r="1703" spans="1:1">
      <c r="A1703" s="455"/>
    </row>
    <row r="1704" spans="1:1">
      <c r="A1704" s="455"/>
    </row>
    <row r="1705" spans="1:1">
      <c r="A1705" s="455"/>
    </row>
    <row r="1706" spans="1:1">
      <c r="A1706" s="455"/>
    </row>
    <row r="1707" spans="1:1">
      <c r="A1707" s="455"/>
    </row>
    <row r="1708" spans="1:1">
      <c r="A1708" s="455"/>
    </row>
    <row r="1709" spans="1:1">
      <c r="A1709" s="455"/>
    </row>
    <row r="1710" spans="1:1">
      <c r="A1710" s="455"/>
    </row>
    <row r="1711" spans="1:1">
      <c r="A1711" s="455"/>
    </row>
    <row r="1712" spans="1:1">
      <c r="A1712" s="455"/>
    </row>
    <row r="1713" spans="1:1">
      <c r="A1713" s="455"/>
    </row>
    <row r="1714" spans="1:1">
      <c r="A1714" s="455"/>
    </row>
    <row r="1715" spans="1:1">
      <c r="A1715" s="455"/>
    </row>
    <row r="1716" spans="1:1">
      <c r="A1716" s="455"/>
    </row>
    <row r="1717" spans="1:1">
      <c r="A1717" s="455"/>
    </row>
    <row r="1718" spans="1:1">
      <c r="A1718" s="455"/>
    </row>
    <row r="1719" spans="1:1">
      <c r="A1719" s="455"/>
    </row>
    <row r="1720" spans="1:1">
      <c r="A1720" s="455"/>
    </row>
    <row r="1721" spans="1:1">
      <c r="A1721" s="455"/>
    </row>
    <row r="1722" spans="1:1">
      <c r="A1722" s="455"/>
    </row>
    <row r="1723" spans="1:1">
      <c r="A1723" s="455"/>
    </row>
    <row r="1724" spans="1:1">
      <c r="A1724" s="455"/>
    </row>
    <row r="1725" spans="1:1">
      <c r="A1725" s="455"/>
    </row>
    <row r="1726" spans="1:1">
      <c r="A1726" s="455"/>
    </row>
    <row r="1727" spans="1:1">
      <c r="A1727" s="455"/>
    </row>
    <row r="1728" spans="1:1">
      <c r="A1728" s="455"/>
    </row>
    <row r="1729" spans="1:1">
      <c r="A1729" s="455"/>
    </row>
    <row r="1730" spans="1:1">
      <c r="A1730" s="455"/>
    </row>
    <row r="1731" spans="1:1">
      <c r="A1731" s="455"/>
    </row>
    <row r="1732" spans="1:1">
      <c r="A1732" s="455"/>
    </row>
    <row r="1733" spans="1:1">
      <c r="A1733" s="455"/>
    </row>
    <row r="1734" spans="1:1">
      <c r="A1734" s="455"/>
    </row>
    <row r="1735" spans="1:1">
      <c r="A1735" s="455"/>
    </row>
    <row r="1736" spans="1:1">
      <c r="A1736" s="455"/>
    </row>
    <row r="1737" spans="1:1">
      <c r="A1737" s="455"/>
    </row>
    <row r="1738" spans="1:1">
      <c r="A1738" s="455"/>
    </row>
    <row r="1739" spans="1:1">
      <c r="A1739" s="455"/>
    </row>
    <row r="1740" spans="1:1">
      <c r="A1740" s="455"/>
    </row>
    <row r="1741" spans="1:1">
      <c r="A1741" s="455"/>
    </row>
    <row r="1742" spans="1:1">
      <c r="A1742" s="455"/>
    </row>
    <row r="1743" spans="1:1">
      <c r="A1743" s="455"/>
    </row>
    <row r="1744" spans="1:1">
      <c r="A1744" s="455"/>
    </row>
    <row r="1745" spans="1:1">
      <c r="A1745" s="455"/>
    </row>
    <row r="1746" spans="1:1">
      <c r="A1746" s="455"/>
    </row>
    <row r="1747" spans="1:1">
      <c r="A1747" s="455"/>
    </row>
    <row r="1748" spans="1:1">
      <c r="A1748" s="455"/>
    </row>
    <row r="1749" spans="1:1">
      <c r="A1749" s="455"/>
    </row>
    <row r="1750" spans="1:1">
      <c r="A1750" s="455"/>
    </row>
    <row r="1751" spans="1:1">
      <c r="A1751" s="455"/>
    </row>
    <row r="1752" spans="1:1">
      <c r="A1752" s="455"/>
    </row>
    <row r="1753" spans="1:1">
      <c r="A1753" s="455"/>
    </row>
    <row r="1754" spans="1:1">
      <c r="A1754" s="455"/>
    </row>
    <row r="1755" spans="1:1">
      <c r="A1755" s="455"/>
    </row>
    <row r="1756" spans="1:1">
      <c r="A1756" s="455"/>
    </row>
    <row r="1757" spans="1:1">
      <c r="A1757" s="455"/>
    </row>
    <row r="1758" spans="1:1">
      <c r="A1758" s="455"/>
    </row>
    <row r="1759" spans="1:1">
      <c r="A1759" s="455"/>
    </row>
    <row r="1760" spans="1:1">
      <c r="A1760" s="455"/>
    </row>
    <row r="1761" spans="1:1">
      <c r="A1761" s="455"/>
    </row>
    <row r="1762" spans="1:1">
      <c r="A1762" s="455"/>
    </row>
    <row r="1763" spans="1:1">
      <c r="A1763" s="455"/>
    </row>
    <row r="1764" spans="1:1">
      <c r="A1764" s="455"/>
    </row>
    <row r="1765" spans="1:1">
      <c r="A1765" s="455"/>
    </row>
    <row r="1766" spans="1:1">
      <c r="A1766" s="455"/>
    </row>
    <row r="1767" spans="1:1">
      <c r="A1767" s="455"/>
    </row>
    <row r="1768" spans="1:1">
      <c r="A1768" s="455"/>
    </row>
    <row r="1769" spans="1:1">
      <c r="A1769" s="455"/>
    </row>
    <row r="1770" spans="1:1">
      <c r="A1770" s="455"/>
    </row>
    <row r="1771" spans="1:1">
      <c r="A1771" s="455"/>
    </row>
    <row r="1772" spans="1:1">
      <c r="A1772" s="455"/>
    </row>
    <row r="1773" spans="1:1">
      <c r="A1773" s="455"/>
    </row>
    <row r="1774" spans="1:1">
      <c r="A1774" s="455"/>
    </row>
    <row r="1775" spans="1:1">
      <c r="A1775" s="455"/>
    </row>
    <row r="1776" spans="1:1">
      <c r="A1776" s="455"/>
    </row>
    <row r="1777" spans="1:1">
      <c r="A1777" s="455"/>
    </row>
    <row r="1778" spans="1:1">
      <c r="A1778" s="455"/>
    </row>
    <row r="1779" spans="1:1">
      <c r="A1779" s="455"/>
    </row>
    <row r="1780" spans="1:1">
      <c r="A1780" s="455"/>
    </row>
    <row r="1781" spans="1:1">
      <c r="A1781" s="455"/>
    </row>
    <row r="1782" spans="1:1">
      <c r="A1782" s="455"/>
    </row>
    <row r="1783" spans="1:1">
      <c r="A1783" s="455"/>
    </row>
    <row r="1784" spans="1:1">
      <c r="A1784" s="455"/>
    </row>
    <row r="1785" spans="1:1">
      <c r="A1785" s="455"/>
    </row>
    <row r="1786" spans="1:1">
      <c r="A1786" s="455"/>
    </row>
    <row r="1787" spans="1:1">
      <c r="A1787" s="455"/>
    </row>
    <row r="1788" spans="1:1">
      <c r="A1788" s="455"/>
    </row>
    <row r="1789" spans="1:1">
      <c r="A1789" s="455"/>
    </row>
    <row r="1790" spans="1:1">
      <c r="A1790" s="455"/>
    </row>
    <row r="1791" spans="1:1">
      <c r="A1791" s="455"/>
    </row>
    <row r="1792" spans="1:1">
      <c r="A1792" s="455"/>
    </row>
    <row r="1793" spans="1:1">
      <c r="A1793" s="455"/>
    </row>
    <row r="1794" spans="1:1">
      <c r="A1794" s="455"/>
    </row>
    <row r="1795" spans="1:1">
      <c r="A1795" s="455"/>
    </row>
    <row r="1796" spans="1:1">
      <c r="A1796" s="455"/>
    </row>
    <row r="1797" spans="1:1">
      <c r="A1797" s="455"/>
    </row>
    <row r="1798" spans="1:1">
      <c r="A1798" s="455"/>
    </row>
    <row r="1799" spans="1:1">
      <c r="A1799" s="455"/>
    </row>
    <row r="1800" spans="1:1">
      <c r="A1800" s="455"/>
    </row>
    <row r="1801" spans="1:1">
      <c r="A1801" s="455"/>
    </row>
    <row r="1802" spans="1:1">
      <c r="A1802" s="455"/>
    </row>
    <row r="1803" spans="1:1">
      <c r="A1803" s="455"/>
    </row>
    <row r="1804" spans="1:1">
      <c r="A1804" s="455"/>
    </row>
    <row r="1805" spans="1:1">
      <c r="A1805" s="455"/>
    </row>
    <row r="1806" spans="1:1">
      <c r="A1806" s="455"/>
    </row>
    <row r="1807" spans="1:1">
      <c r="A1807" s="455"/>
    </row>
    <row r="1808" spans="1:1">
      <c r="A1808" s="455"/>
    </row>
    <row r="1809" spans="1:1">
      <c r="A1809" s="455"/>
    </row>
    <row r="1810" spans="1:1">
      <c r="A1810" s="455"/>
    </row>
    <row r="1811" spans="1:1">
      <c r="A1811" s="455"/>
    </row>
    <row r="1812" spans="1:1">
      <c r="A1812" s="455"/>
    </row>
    <row r="1813" spans="1:1">
      <c r="A1813" s="455"/>
    </row>
    <row r="1814" spans="1:1">
      <c r="A1814" s="455"/>
    </row>
    <row r="1815" spans="1:1">
      <c r="A1815" s="455"/>
    </row>
    <row r="1816" spans="1:1">
      <c r="A1816" s="455"/>
    </row>
    <row r="1817" spans="1:1">
      <c r="A1817" s="455"/>
    </row>
    <row r="1818" spans="1:1">
      <c r="A1818" s="455"/>
    </row>
    <row r="1819" spans="1:1">
      <c r="A1819" s="455"/>
    </row>
    <row r="1820" spans="1:1">
      <c r="A1820" s="455"/>
    </row>
    <row r="1821" spans="1:1">
      <c r="A1821" s="455"/>
    </row>
    <row r="1822" spans="1:1">
      <c r="A1822" s="455"/>
    </row>
    <row r="1823" spans="1:1">
      <c r="A1823" s="455"/>
    </row>
    <row r="1824" spans="1:1">
      <c r="A1824" s="455"/>
    </row>
    <row r="1825" spans="1:1">
      <c r="A1825" s="455"/>
    </row>
    <row r="1826" spans="1:1">
      <c r="A1826" s="455"/>
    </row>
    <row r="1827" spans="1:1">
      <c r="A1827" s="455"/>
    </row>
    <row r="1828" spans="1:1">
      <c r="A1828" s="455"/>
    </row>
    <row r="1829" spans="1:1">
      <c r="A1829" s="455"/>
    </row>
    <row r="1830" spans="1:1">
      <c r="A1830" s="455"/>
    </row>
    <row r="1831" spans="1:1">
      <c r="A1831" s="455"/>
    </row>
    <row r="1832" spans="1:1">
      <c r="A1832" s="455"/>
    </row>
    <row r="1833" spans="1:1">
      <c r="A1833" s="455"/>
    </row>
    <row r="1834" spans="1:1">
      <c r="A1834" s="455"/>
    </row>
    <row r="1835" spans="1:1">
      <c r="A1835" s="455"/>
    </row>
    <row r="1836" spans="1:1">
      <c r="A1836" s="455"/>
    </row>
    <row r="1837" spans="1:1">
      <c r="A1837" s="455"/>
    </row>
    <row r="1838" spans="1:1">
      <c r="A1838" s="455"/>
    </row>
    <row r="1839" spans="1:1">
      <c r="A1839" s="455"/>
    </row>
    <row r="1840" spans="1:1">
      <c r="A1840" s="455"/>
    </row>
    <row r="1841" spans="1:1">
      <c r="A1841" s="455"/>
    </row>
    <row r="1842" spans="1:1">
      <c r="A1842" s="455"/>
    </row>
    <row r="1843" spans="1:1">
      <c r="A1843" s="455"/>
    </row>
    <row r="1844" spans="1:1">
      <c r="A1844" s="455"/>
    </row>
    <row r="1845" spans="1:1">
      <c r="A1845" s="455"/>
    </row>
    <row r="1846" spans="1:1">
      <c r="A1846" s="455"/>
    </row>
    <row r="1847" spans="1:1">
      <c r="A1847" s="455"/>
    </row>
    <row r="1848" spans="1:1">
      <c r="A1848" s="455"/>
    </row>
    <row r="1849" spans="1:1">
      <c r="A1849" s="455"/>
    </row>
    <row r="1850" spans="1:1">
      <c r="A1850" s="455"/>
    </row>
    <row r="1851" spans="1:1">
      <c r="A1851" s="455"/>
    </row>
    <row r="1852" spans="1:1">
      <c r="A1852" s="455"/>
    </row>
    <row r="1853" spans="1:1">
      <c r="A1853" s="455"/>
    </row>
    <row r="1854" spans="1:1">
      <c r="A1854" s="455"/>
    </row>
    <row r="1855" spans="1:1">
      <c r="A1855" s="455"/>
    </row>
    <row r="1856" spans="1:1">
      <c r="A1856" s="455"/>
    </row>
    <row r="1857" spans="1:1">
      <c r="A1857" s="455"/>
    </row>
    <row r="1858" spans="1:1">
      <c r="A1858" s="455"/>
    </row>
    <row r="1859" spans="1:1">
      <c r="A1859" s="455"/>
    </row>
    <row r="1860" spans="1:1">
      <c r="A1860" s="455"/>
    </row>
    <row r="1861" spans="1:1">
      <c r="A1861" s="455"/>
    </row>
    <row r="1862" spans="1:1">
      <c r="A1862" s="455"/>
    </row>
    <row r="1863" spans="1:1">
      <c r="A1863" s="455"/>
    </row>
    <row r="1864" spans="1:1">
      <c r="A1864" s="455"/>
    </row>
    <row r="1865" spans="1:1">
      <c r="A1865" s="455"/>
    </row>
    <row r="1866" spans="1:1">
      <c r="A1866" s="455"/>
    </row>
    <row r="1867" spans="1:1">
      <c r="A1867" s="455"/>
    </row>
    <row r="1868" spans="1:1">
      <c r="A1868" s="455"/>
    </row>
    <row r="1869" spans="1:1">
      <c r="A1869" s="455"/>
    </row>
    <row r="1870" spans="1:1">
      <c r="A1870" s="455"/>
    </row>
    <row r="1871" spans="1:1">
      <c r="A1871" s="455"/>
    </row>
    <row r="1872" spans="1:1">
      <c r="A1872" s="455"/>
    </row>
    <row r="1873" spans="1:1">
      <c r="A1873" s="455"/>
    </row>
    <row r="1874" spans="1:1">
      <c r="A1874" s="455"/>
    </row>
    <row r="1875" spans="1:1">
      <c r="A1875" s="455"/>
    </row>
    <row r="1876" spans="1:1">
      <c r="A1876" s="455"/>
    </row>
    <row r="1877" spans="1:1">
      <c r="A1877" s="455"/>
    </row>
    <row r="1878" spans="1:1">
      <c r="A1878" s="455"/>
    </row>
    <row r="1879" spans="1:1">
      <c r="A1879" s="455"/>
    </row>
    <row r="1880" spans="1:1">
      <c r="A1880" s="455"/>
    </row>
    <row r="1881" spans="1:1">
      <c r="A1881" s="455"/>
    </row>
    <row r="1882" spans="1:1">
      <c r="A1882" s="455"/>
    </row>
    <row r="1883" spans="1:1">
      <c r="A1883" s="455"/>
    </row>
    <row r="1884" spans="1:1">
      <c r="A1884" s="455"/>
    </row>
    <row r="1885" spans="1:1">
      <c r="A1885" s="455"/>
    </row>
    <row r="1886" spans="1:1">
      <c r="A1886" s="455"/>
    </row>
    <row r="1887" spans="1:1">
      <c r="A1887" s="455"/>
    </row>
    <row r="1888" spans="1:1">
      <c r="A1888" s="455"/>
    </row>
    <row r="1889" spans="1:1">
      <c r="A1889" s="455"/>
    </row>
    <row r="1890" spans="1:1">
      <c r="A1890" s="455"/>
    </row>
    <row r="1891" spans="1:1">
      <c r="A1891" s="455"/>
    </row>
    <row r="1892" spans="1:1">
      <c r="A1892" s="455"/>
    </row>
    <row r="1893" spans="1:1">
      <c r="A1893" s="455"/>
    </row>
    <row r="1894" spans="1:1">
      <c r="A1894" s="455"/>
    </row>
    <row r="1895" spans="1:1">
      <c r="A1895" s="455"/>
    </row>
    <row r="1896" spans="1:1">
      <c r="A1896" s="455"/>
    </row>
    <row r="1897" spans="1:1">
      <c r="A1897" s="455"/>
    </row>
    <row r="1898" spans="1:1">
      <c r="A1898" s="455"/>
    </row>
    <row r="1899" spans="1:1">
      <c r="A1899" s="455"/>
    </row>
    <row r="1900" spans="1:1">
      <c r="A1900" s="455"/>
    </row>
    <row r="1901" spans="1:1">
      <c r="A1901" s="455"/>
    </row>
    <row r="1902" spans="1:1">
      <c r="A1902" s="455"/>
    </row>
    <row r="1903" spans="1:1">
      <c r="A1903" s="455"/>
    </row>
    <row r="1904" spans="1:1">
      <c r="A1904" s="455"/>
    </row>
    <row r="1905" spans="1:1">
      <c r="A1905" s="455"/>
    </row>
    <row r="1906" spans="1:1">
      <c r="A1906" s="455"/>
    </row>
    <row r="1907" spans="1:1">
      <c r="A1907" s="455"/>
    </row>
    <row r="1908" spans="1:1">
      <c r="A1908" s="455"/>
    </row>
    <row r="1909" spans="1:1">
      <c r="A1909" s="455"/>
    </row>
    <row r="1910" spans="1:1">
      <c r="A1910" s="455"/>
    </row>
    <row r="1911" spans="1:1">
      <c r="A1911" s="455"/>
    </row>
    <row r="1912" spans="1:1">
      <c r="A1912" s="455"/>
    </row>
    <row r="1913" spans="1:1">
      <c r="A1913" s="455"/>
    </row>
    <row r="1914" spans="1:1">
      <c r="A1914" s="455"/>
    </row>
    <row r="1915" spans="1:1">
      <c r="A1915" s="455"/>
    </row>
    <row r="1916" spans="1:1">
      <c r="A1916" s="455"/>
    </row>
    <row r="1917" spans="1:1">
      <c r="A1917" s="455"/>
    </row>
    <row r="1918" spans="1:1">
      <c r="A1918" s="455"/>
    </row>
    <row r="1919" spans="1:1">
      <c r="A1919" s="455"/>
    </row>
    <row r="1920" spans="1:1">
      <c r="A1920" s="455"/>
    </row>
    <row r="1921" spans="1:1">
      <c r="A1921" s="455"/>
    </row>
    <row r="1922" spans="1:1">
      <c r="A1922" s="455"/>
    </row>
    <row r="1923" spans="1:1">
      <c r="A1923" s="455"/>
    </row>
    <row r="1924" spans="1:1">
      <c r="A1924" s="455"/>
    </row>
    <row r="1925" spans="1:1">
      <c r="A1925" s="455"/>
    </row>
    <row r="1926" spans="1:1">
      <c r="A1926" s="455"/>
    </row>
    <row r="1927" spans="1:1">
      <c r="A1927" s="455"/>
    </row>
    <row r="1928" spans="1:1">
      <c r="A1928" s="455"/>
    </row>
    <row r="1929" spans="1:1">
      <c r="A1929" s="455"/>
    </row>
    <row r="1930" spans="1:1">
      <c r="A1930" s="455"/>
    </row>
    <row r="1931" spans="1:1">
      <c r="A1931" s="455"/>
    </row>
    <row r="1932" spans="1:1">
      <c r="A1932" s="455"/>
    </row>
    <row r="1933" spans="1:1">
      <c r="A1933" s="455"/>
    </row>
    <row r="1934" spans="1:1">
      <c r="A1934" s="455"/>
    </row>
    <row r="1935" spans="1:1">
      <c r="A1935" s="455"/>
    </row>
    <row r="1936" spans="1:1">
      <c r="A1936" s="455"/>
    </row>
    <row r="1937" spans="1:1">
      <c r="A1937" s="455"/>
    </row>
    <row r="1938" spans="1:1">
      <c r="A1938" s="455"/>
    </row>
    <row r="1939" spans="1:1">
      <c r="A1939" s="455"/>
    </row>
    <row r="1940" spans="1:1">
      <c r="A1940" s="455"/>
    </row>
    <row r="1941" spans="1:1">
      <c r="A1941" s="455"/>
    </row>
    <row r="1942" spans="1:1">
      <c r="A1942" s="455"/>
    </row>
    <row r="1943" spans="1:1">
      <c r="A1943" s="455"/>
    </row>
    <row r="1944" spans="1:1">
      <c r="A1944" s="455"/>
    </row>
    <row r="1945" spans="1:1">
      <c r="A1945" s="455"/>
    </row>
    <row r="1946" spans="1:1">
      <c r="A1946" s="455"/>
    </row>
    <row r="1947" spans="1:1">
      <c r="A1947" s="455"/>
    </row>
    <row r="1948" spans="1:1">
      <c r="A1948" s="455"/>
    </row>
    <row r="1949" spans="1:1">
      <c r="A1949" s="455"/>
    </row>
    <row r="1950" spans="1:1">
      <c r="A1950" s="455"/>
    </row>
    <row r="1951" spans="1:1">
      <c r="A1951" s="455"/>
    </row>
    <row r="1952" spans="1:1">
      <c r="A1952" s="455"/>
    </row>
    <row r="1953" spans="1:1">
      <c r="A1953" s="455"/>
    </row>
    <row r="1954" spans="1:1">
      <c r="A1954" s="455"/>
    </row>
    <row r="1955" spans="1:1">
      <c r="A1955" s="455"/>
    </row>
    <row r="1956" spans="1:1">
      <c r="A1956" s="455"/>
    </row>
    <row r="1957" spans="1:1">
      <c r="A1957" s="455"/>
    </row>
    <row r="1958" spans="1:1">
      <c r="A1958" s="455"/>
    </row>
    <row r="1959" spans="1:1">
      <c r="A1959" s="455"/>
    </row>
    <row r="1960" spans="1:1">
      <c r="A1960" s="455"/>
    </row>
    <row r="1961" spans="1:1">
      <c r="A1961" s="455"/>
    </row>
    <row r="1962" spans="1:1">
      <c r="A1962" s="455"/>
    </row>
    <row r="1963" spans="1:1">
      <c r="A1963" s="455"/>
    </row>
    <row r="1964" spans="1:1">
      <c r="A1964" s="455"/>
    </row>
    <row r="1965" spans="1:1">
      <c r="A1965" s="455"/>
    </row>
    <row r="1966" spans="1:1">
      <c r="A1966" s="455"/>
    </row>
    <row r="1967" spans="1:1">
      <c r="A1967" s="455"/>
    </row>
    <row r="1968" spans="1:1">
      <c r="A1968" s="455"/>
    </row>
    <row r="1969" spans="1:1">
      <c r="A1969" s="455"/>
    </row>
    <row r="1970" spans="1:1">
      <c r="A1970" s="455"/>
    </row>
    <row r="1971" spans="1:1">
      <c r="A1971" s="455"/>
    </row>
    <row r="1972" spans="1:1">
      <c r="A1972" s="455"/>
    </row>
    <row r="1973" spans="1:1">
      <c r="A1973" s="455"/>
    </row>
    <row r="1974" spans="1:1">
      <c r="A1974" s="455"/>
    </row>
    <row r="1975" spans="1:1">
      <c r="A1975" s="455"/>
    </row>
    <row r="1976" spans="1:1">
      <c r="A1976" s="455"/>
    </row>
    <row r="1977" spans="1:1">
      <c r="A1977" s="455"/>
    </row>
    <row r="1978" spans="1:1">
      <c r="A1978" s="455"/>
    </row>
    <row r="1979" spans="1:1">
      <c r="A1979" s="455"/>
    </row>
    <row r="1980" spans="1:1">
      <c r="A1980" s="455"/>
    </row>
    <row r="1981" spans="1:1">
      <c r="A1981" s="455"/>
    </row>
    <row r="1982" spans="1:1">
      <c r="A1982" s="455"/>
    </row>
    <row r="1983" spans="1:1">
      <c r="A1983" s="455"/>
    </row>
    <row r="1984" spans="1:1">
      <c r="A1984" s="455"/>
    </row>
    <row r="1985" spans="1:1">
      <c r="A1985" s="455"/>
    </row>
    <row r="1986" spans="1:1">
      <c r="A1986" s="455"/>
    </row>
    <row r="1987" spans="1:1">
      <c r="A1987" s="455"/>
    </row>
    <row r="1988" spans="1:1">
      <c r="A1988" s="455"/>
    </row>
    <row r="1989" spans="1:1">
      <c r="A1989" s="455"/>
    </row>
    <row r="1990" spans="1:1">
      <c r="A1990" s="455"/>
    </row>
    <row r="1991" spans="1:1">
      <c r="A1991" s="455"/>
    </row>
    <row r="1992" spans="1:1">
      <c r="A1992" s="455"/>
    </row>
    <row r="1993" spans="1:1">
      <c r="A1993" s="455"/>
    </row>
    <row r="1994" spans="1:1">
      <c r="A1994" s="455"/>
    </row>
    <row r="1995" spans="1:1">
      <c r="A1995" s="455"/>
    </row>
    <row r="1996" spans="1:1">
      <c r="A1996" s="455"/>
    </row>
    <row r="1997" spans="1:1">
      <c r="A1997" s="455"/>
    </row>
    <row r="1998" spans="1:1">
      <c r="A1998" s="455"/>
    </row>
    <row r="1999" spans="1:1">
      <c r="A1999" s="455"/>
    </row>
    <row r="2000" spans="1:1">
      <c r="A2000" s="455"/>
    </row>
    <row r="2001" spans="1:1">
      <c r="A2001" s="455"/>
    </row>
    <row r="2002" spans="1:1">
      <c r="A2002" s="455"/>
    </row>
    <row r="2003" spans="1:1">
      <c r="A2003" s="455"/>
    </row>
    <row r="2004" spans="1:1">
      <c r="A2004" s="455"/>
    </row>
    <row r="2005" spans="1:1">
      <c r="A2005" s="455"/>
    </row>
    <row r="2006" spans="1:1">
      <c r="A2006" s="455"/>
    </row>
    <row r="2007" spans="1:1">
      <c r="A2007" s="455"/>
    </row>
    <row r="2008" spans="1:1">
      <c r="A2008" s="455"/>
    </row>
    <row r="2009" spans="1:1">
      <c r="A2009" s="455"/>
    </row>
    <row r="2010" spans="1:1">
      <c r="A2010" s="455"/>
    </row>
    <row r="2011" spans="1:1">
      <c r="A2011" s="455"/>
    </row>
    <row r="2012" spans="1:1">
      <c r="A2012" s="455"/>
    </row>
    <row r="2013" spans="1:1">
      <c r="A2013" s="455"/>
    </row>
    <row r="2014" spans="1:1">
      <c r="A2014" s="455"/>
    </row>
    <row r="2015" spans="1:1">
      <c r="A2015" s="455"/>
    </row>
    <row r="2016" spans="1:1">
      <c r="A2016" s="455"/>
    </row>
    <row r="2017" spans="1:1">
      <c r="A2017" s="455"/>
    </row>
    <row r="2018" spans="1:1">
      <c r="A2018" s="455"/>
    </row>
    <row r="2019" spans="1:1">
      <c r="A2019" s="455"/>
    </row>
    <row r="2020" spans="1:1">
      <c r="A2020" s="455"/>
    </row>
    <row r="2021" spans="1:1">
      <c r="A2021" s="455"/>
    </row>
    <row r="2022" spans="1:1">
      <c r="A2022" s="455"/>
    </row>
    <row r="2023" spans="1:1">
      <c r="A2023" s="455"/>
    </row>
    <row r="2024" spans="1:1">
      <c r="A2024" s="455"/>
    </row>
    <row r="2025" spans="1:1">
      <c r="A2025" s="455"/>
    </row>
    <row r="2026" spans="1:1">
      <c r="A2026" s="455"/>
    </row>
    <row r="2027" spans="1:1">
      <c r="A2027" s="455"/>
    </row>
    <row r="2028" spans="1:1">
      <c r="A2028" s="455"/>
    </row>
    <row r="2029" spans="1:1">
      <c r="A2029" s="455"/>
    </row>
    <row r="2030" spans="1:1">
      <c r="A2030" s="455"/>
    </row>
    <row r="2031" spans="1:1">
      <c r="A2031" s="455"/>
    </row>
    <row r="2032" spans="1:1">
      <c r="A2032" s="455"/>
    </row>
    <row r="2033" spans="1:1">
      <c r="A2033" s="455"/>
    </row>
    <row r="2034" spans="1:1">
      <c r="A2034" s="455"/>
    </row>
    <row r="2035" spans="1:1">
      <c r="A2035" s="455"/>
    </row>
    <row r="2036" spans="1:1">
      <c r="A2036" s="455"/>
    </row>
    <row r="2037" spans="1:1">
      <c r="A2037" s="455"/>
    </row>
    <row r="2038" spans="1:1">
      <c r="A2038" s="455"/>
    </row>
    <row r="2039" spans="1:1">
      <c r="A2039" s="455"/>
    </row>
    <row r="2040" spans="1:1">
      <c r="A2040" s="455"/>
    </row>
    <row r="2041" spans="1:1">
      <c r="A2041" s="455"/>
    </row>
    <row r="2042" spans="1:1">
      <c r="A2042" s="455"/>
    </row>
    <row r="2043" spans="1:1">
      <c r="A2043" s="455"/>
    </row>
    <row r="2044" spans="1:1">
      <c r="A2044" s="455"/>
    </row>
    <row r="2045" spans="1:1">
      <c r="A2045" s="455"/>
    </row>
    <row r="2046" spans="1:1">
      <c r="A2046" s="455"/>
    </row>
    <row r="2047" spans="1:1">
      <c r="A2047" s="455"/>
    </row>
    <row r="2048" spans="1:1">
      <c r="A2048" s="455"/>
    </row>
    <row r="2049" spans="1:1">
      <c r="A2049" s="455"/>
    </row>
    <row r="2050" spans="1:1">
      <c r="A2050" s="455"/>
    </row>
    <row r="2051" spans="1:1">
      <c r="A2051" s="455"/>
    </row>
    <row r="2052" spans="1:1">
      <c r="A2052" s="455"/>
    </row>
    <row r="2053" spans="1:1">
      <c r="A2053" s="455"/>
    </row>
    <row r="2054" spans="1:1">
      <c r="A2054" s="455"/>
    </row>
    <row r="2055" spans="1:1">
      <c r="A2055" s="455"/>
    </row>
    <row r="2056" spans="1:1">
      <c r="A2056" s="455"/>
    </row>
    <row r="2057" spans="1:1">
      <c r="A2057" s="455"/>
    </row>
    <row r="2058" spans="1:1">
      <c r="A2058" s="455"/>
    </row>
    <row r="2059" spans="1:1">
      <c r="A2059" s="455"/>
    </row>
    <row r="2060" spans="1:1">
      <c r="A2060" s="455"/>
    </row>
    <row r="2061" spans="1:1">
      <c r="A2061" s="455"/>
    </row>
    <row r="2062" spans="1:1">
      <c r="A2062" s="455"/>
    </row>
    <row r="2063" spans="1:1">
      <c r="A2063" s="455"/>
    </row>
    <row r="2064" spans="1:1">
      <c r="A2064" s="455"/>
    </row>
    <row r="2065" spans="1:1">
      <c r="A2065" s="455"/>
    </row>
    <row r="2066" spans="1:1">
      <c r="A2066" s="455"/>
    </row>
    <row r="2067" spans="1:1">
      <c r="A2067" s="455"/>
    </row>
    <row r="2068" spans="1:1">
      <c r="A2068" s="455"/>
    </row>
    <row r="2069" spans="1:1">
      <c r="A2069" s="455"/>
    </row>
    <row r="2070" spans="1:1">
      <c r="A2070" s="455"/>
    </row>
    <row r="2071" spans="1:1">
      <c r="A2071" s="455"/>
    </row>
    <row r="2072" spans="1:1">
      <c r="A2072" s="455"/>
    </row>
    <row r="2073" spans="1:1">
      <c r="A2073" s="455"/>
    </row>
    <row r="2074" spans="1:1">
      <c r="A2074" s="455"/>
    </row>
    <row r="2075" spans="1:1">
      <c r="A2075" s="455"/>
    </row>
    <row r="2076" spans="1:1">
      <c r="A2076" s="455"/>
    </row>
    <row r="2077" spans="1:1">
      <c r="A2077" s="455"/>
    </row>
    <row r="2078" spans="1:1">
      <c r="A2078" s="455"/>
    </row>
    <row r="2079" spans="1:1">
      <c r="A2079" s="455"/>
    </row>
    <row r="2080" spans="1:1">
      <c r="A2080" s="455"/>
    </row>
    <row r="2081" spans="1:1">
      <c r="A2081" s="455"/>
    </row>
    <row r="2082" spans="1:1">
      <c r="A2082" s="455"/>
    </row>
    <row r="2083" spans="1:1">
      <c r="A2083" s="455"/>
    </row>
    <row r="2084" spans="1:1">
      <c r="A2084" s="455"/>
    </row>
    <row r="2085" spans="1:1">
      <c r="A2085" s="455"/>
    </row>
    <row r="2086" spans="1:1">
      <c r="A2086" s="455"/>
    </row>
    <row r="2087" spans="1:1">
      <c r="A2087" s="455"/>
    </row>
    <row r="2088" spans="1:1">
      <c r="A2088" s="455"/>
    </row>
    <row r="2089" spans="1:1">
      <c r="A2089" s="455"/>
    </row>
    <row r="2090" spans="1:1">
      <c r="A2090" s="455"/>
    </row>
    <row r="2091" spans="1:1">
      <c r="A2091" s="455"/>
    </row>
    <row r="2092" spans="1:1">
      <c r="A2092" s="455"/>
    </row>
    <row r="2093" spans="1:1">
      <c r="A2093" s="455"/>
    </row>
    <row r="2094" spans="1:1">
      <c r="A2094" s="455"/>
    </row>
    <row r="2095" spans="1:1">
      <c r="A2095" s="455"/>
    </row>
    <row r="2096" spans="1:1">
      <c r="A2096" s="455"/>
    </row>
    <row r="2097" spans="1:1">
      <c r="A2097" s="455"/>
    </row>
    <row r="2098" spans="1:1">
      <c r="A2098" s="455"/>
    </row>
    <row r="2099" spans="1:1">
      <c r="A2099" s="455"/>
    </row>
    <row r="2100" spans="1:1">
      <c r="A2100" s="455"/>
    </row>
    <row r="2101" spans="1:1">
      <c r="A2101" s="455"/>
    </row>
    <row r="2102" spans="1:1">
      <c r="A2102" s="455"/>
    </row>
    <row r="2103" spans="1:1">
      <c r="A2103" s="455"/>
    </row>
    <row r="2104" spans="1:1">
      <c r="A2104" s="455"/>
    </row>
    <row r="2105" spans="1:1">
      <c r="A2105" s="455"/>
    </row>
    <row r="2106" spans="1:1">
      <c r="A2106" s="455"/>
    </row>
    <row r="2107" spans="1:1">
      <c r="A2107" s="455"/>
    </row>
    <row r="2108" spans="1:1">
      <c r="A2108" s="455"/>
    </row>
    <row r="2109" spans="1:1">
      <c r="A2109" s="455"/>
    </row>
    <row r="2110" spans="1:1">
      <c r="A2110" s="455"/>
    </row>
    <row r="2111" spans="1:1">
      <c r="A2111" s="455"/>
    </row>
    <row r="2112" spans="1:1">
      <c r="A2112" s="455"/>
    </row>
    <row r="2113" spans="1:1">
      <c r="A2113" s="455"/>
    </row>
    <row r="2114" spans="1:1">
      <c r="A2114" s="455"/>
    </row>
    <row r="2115" spans="1:1">
      <c r="A2115" s="455"/>
    </row>
    <row r="2116" spans="1:1">
      <c r="A2116" s="455"/>
    </row>
    <row r="2117" spans="1:1">
      <c r="A2117" s="455"/>
    </row>
    <row r="2118" spans="1:1">
      <c r="A2118" s="455"/>
    </row>
    <row r="2119" spans="1:1">
      <c r="A2119" s="455"/>
    </row>
    <row r="2120" spans="1:1">
      <c r="A2120" s="455"/>
    </row>
    <row r="2121" spans="1:1">
      <c r="A2121" s="455"/>
    </row>
    <row r="2122" spans="1:1">
      <c r="A2122" s="455"/>
    </row>
    <row r="2123" spans="1:1">
      <c r="A2123" s="455"/>
    </row>
    <row r="2124" spans="1:1">
      <c r="A2124" s="455"/>
    </row>
    <row r="2125" spans="1:1">
      <c r="A2125" s="455"/>
    </row>
    <row r="2126" spans="1:1">
      <c r="A2126" s="455"/>
    </row>
    <row r="2127" spans="1:1">
      <c r="A2127" s="455"/>
    </row>
    <row r="2128" spans="1:1">
      <c r="A2128" s="455"/>
    </row>
    <row r="2129" spans="1:1">
      <c r="A2129" s="455"/>
    </row>
    <row r="2130" spans="1:1">
      <c r="A2130" s="455"/>
    </row>
    <row r="2131" spans="1:1">
      <c r="A2131" s="455"/>
    </row>
    <row r="2132" spans="1:1">
      <c r="A2132" s="455"/>
    </row>
    <row r="2133" spans="1:1">
      <c r="A2133" s="455"/>
    </row>
    <row r="2134" spans="1:1">
      <c r="A2134" s="455"/>
    </row>
    <row r="2135" spans="1:1">
      <c r="A2135" s="455"/>
    </row>
    <row r="2136" spans="1:1">
      <c r="A2136" s="455"/>
    </row>
    <row r="2137" spans="1:1">
      <c r="A2137" s="455"/>
    </row>
    <row r="2138" spans="1:1">
      <c r="A2138" s="455"/>
    </row>
    <row r="2139" spans="1:1">
      <c r="A2139" s="455"/>
    </row>
    <row r="2140" spans="1:1">
      <c r="A2140" s="455"/>
    </row>
    <row r="2141" spans="1:1">
      <c r="A2141" s="455"/>
    </row>
    <row r="2142" spans="1:1">
      <c r="A2142" s="455"/>
    </row>
    <row r="2143" spans="1:1">
      <c r="A2143" s="455"/>
    </row>
    <row r="2144" spans="1:1">
      <c r="A2144" s="455"/>
    </row>
    <row r="2145" spans="1:1">
      <c r="A2145" s="455"/>
    </row>
    <row r="2146" spans="1:1">
      <c r="A2146" s="455"/>
    </row>
    <row r="2147" spans="1:1">
      <c r="A2147" s="455"/>
    </row>
    <row r="2148" spans="1:1">
      <c r="A2148" s="455"/>
    </row>
    <row r="2149" spans="1:1">
      <c r="A2149" s="455"/>
    </row>
    <row r="2150" spans="1:1">
      <c r="A2150" s="455"/>
    </row>
    <row r="2151" spans="1:1">
      <c r="A2151" s="455"/>
    </row>
    <row r="2152" spans="1:1">
      <c r="A2152" s="455"/>
    </row>
    <row r="2153" spans="1:1">
      <c r="A2153" s="455"/>
    </row>
    <row r="2154" spans="1:1">
      <c r="A2154" s="455"/>
    </row>
    <row r="2155" spans="1:1">
      <c r="A2155" s="455"/>
    </row>
    <row r="2156" spans="1:1">
      <c r="A2156" s="455"/>
    </row>
    <row r="2157" spans="1:1">
      <c r="A2157" s="455"/>
    </row>
    <row r="2158" spans="1:1">
      <c r="A2158" s="455"/>
    </row>
    <row r="2159" spans="1:1">
      <c r="A2159" s="455"/>
    </row>
    <row r="2160" spans="1:1">
      <c r="A2160" s="455"/>
    </row>
    <row r="2161" spans="1:1">
      <c r="A2161" s="455"/>
    </row>
    <row r="2162" spans="1:1">
      <c r="A2162" s="455"/>
    </row>
    <row r="2163" spans="1:1">
      <c r="A2163" s="455"/>
    </row>
    <row r="2164" spans="1:1">
      <c r="A2164" s="455"/>
    </row>
    <row r="2165" spans="1:1">
      <c r="A2165" s="455"/>
    </row>
    <row r="2166" spans="1:1">
      <c r="A2166" s="455"/>
    </row>
    <row r="2167" spans="1:1">
      <c r="A2167" s="455"/>
    </row>
    <row r="2168" spans="1:1">
      <c r="A2168" s="455"/>
    </row>
    <row r="2169" spans="1:1">
      <c r="A2169" s="455"/>
    </row>
    <row r="2170" spans="1:1">
      <c r="A2170" s="455"/>
    </row>
    <row r="2171" spans="1:1">
      <c r="A2171" s="455"/>
    </row>
    <row r="2172" spans="1:1">
      <c r="A2172" s="455"/>
    </row>
    <row r="2173" spans="1:1">
      <c r="A2173" s="455"/>
    </row>
    <row r="2174" spans="1:1">
      <c r="A2174" s="455"/>
    </row>
    <row r="2175" spans="1:1">
      <c r="A2175" s="455"/>
    </row>
    <row r="2176" spans="1:1">
      <c r="A2176" s="455"/>
    </row>
    <row r="2177" spans="1:1">
      <c r="A2177" s="455"/>
    </row>
    <row r="2178" spans="1:1">
      <c r="A2178" s="455"/>
    </row>
    <row r="2179" spans="1:1">
      <c r="A2179" s="455"/>
    </row>
    <row r="2180" spans="1:1">
      <c r="A2180" s="455"/>
    </row>
    <row r="2181" spans="1:1">
      <c r="A2181" s="455"/>
    </row>
    <row r="2182" spans="1:1">
      <c r="A2182" s="455"/>
    </row>
    <row r="2183" spans="1:1">
      <c r="A2183" s="455"/>
    </row>
    <row r="2184" spans="1:1">
      <c r="A2184" s="455"/>
    </row>
    <row r="2185" spans="1:1">
      <c r="A2185" s="455"/>
    </row>
    <row r="2186" spans="1:1">
      <c r="A2186" s="455"/>
    </row>
    <row r="2187" spans="1:1">
      <c r="A2187" s="455"/>
    </row>
    <row r="2188" spans="1:1">
      <c r="A2188" s="455"/>
    </row>
    <row r="2189" spans="1:1">
      <c r="A2189" s="455"/>
    </row>
    <row r="2190" spans="1:1">
      <c r="A2190" s="455"/>
    </row>
    <row r="2191" spans="1:1">
      <c r="A2191" s="455"/>
    </row>
    <row r="2192" spans="1:1">
      <c r="A2192" s="455"/>
    </row>
    <row r="2193" spans="1:1">
      <c r="A2193" s="455"/>
    </row>
    <row r="2194" spans="1:1">
      <c r="A2194" s="455"/>
    </row>
    <row r="2195" spans="1:1">
      <c r="A2195" s="455"/>
    </row>
    <row r="2196" spans="1:1">
      <c r="A2196" s="455"/>
    </row>
    <row r="2197" spans="1:1">
      <c r="A2197" s="455"/>
    </row>
    <row r="2198" spans="1:1">
      <c r="A2198" s="455"/>
    </row>
    <row r="2199" spans="1:1">
      <c r="A2199" s="455"/>
    </row>
    <row r="2200" spans="1:1">
      <c r="A2200" s="455"/>
    </row>
    <row r="2201" spans="1:1">
      <c r="A2201" s="455"/>
    </row>
    <row r="2202" spans="1:1">
      <c r="A2202" s="455"/>
    </row>
    <row r="2203" spans="1:1">
      <c r="A2203" s="455"/>
    </row>
    <row r="2204" spans="1:1">
      <c r="A2204" s="455"/>
    </row>
    <row r="2205" spans="1:1">
      <c r="A2205" s="455"/>
    </row>
    <row r="2206" spans="1:1">
      <c r="A2206" s="455"/>
    </row>
    <row r="2207" spans="1:1">
      <c r="A2207" s="455"/>
    </row>
    <row r="2208" spans="1:1">
      <c r="A2208" s="455"/>
    </row>
    <row r="2209" spans="1:1">
      <c r="A2209" s="455"/>
    </row>
    <row r="2210" spans="1:1">
      <c r="A2210" s="455"/>
    </row>
    <row r="2211" spans="1:1">
      <c r="A2211" s="455"/>
    </row>
    <row r="2212" spans="1:1">
      <c r="A2212" s="455"/>
    </row>
    <row r="2213" spans="1:1">
      <c r="A2213" s="455"/>
    </row>
    <row r="2214" spans="1:1">
      <c r="A2214" s="455"/>
    </row>
    <row r="2215" spans="1:1">
      <c r="A2215" s="455"/>
    </row>
    <row r="2216" spans="1:1">
      <c r="A2216" s="455"/>
    </row>
    <row r="2217" spans="1:1">
      <c r="A2217" s="455"/>
    </row>
    <row r="2218" spans="1:1">
      <c r="A2218" s="455"/>
    </row>
    <row r="2219" spans="1:1">
      <c r="A2219" s="455"/>
    </row>
    <row r="2220" spans="1:1">
      <c r="A2220" s="455"/>
    </row>
    <row r="2221" spans="1:1">
      <c r="A2221" s="455"/>
    </row>
    <row r="2222" spans="1:1">
      <c r="A2222" s="455"/>
    </row>
    <row r="2223" spans="1:1">
      <c r="A2223" s="455"/>
    </row>
    <row r="2224" spans="1:1">
      <c r="A2224" s="455"/>
    </row>
    <row r="2225" spans="1:1">
      <c r="A2225" s="455"/>
    </row>
    <row r="2226" spans="1:1">
      <c r="A2226" s="455"/>
    </row>
    <row r="2227" spans="1:1">
      <c r="A2227" s="455"/>
    </row>
    <row r="2228" spans="1:1">
      <c r="A2228" s="455"/>
    </row>
    <row r="2229" spans="1:1">
      <c r="A2229" s="455"/>
    </row>
    <row r="2230" spans="1:1">
      <c r="A2230" s="455"/>
    </row>
    <row r="2231" spans="1:1">
      <c r="A2231" s="455"/>
    </row>
    <row r="2232" spans="1:1">
      <c r="A2232" s="455"/>
    </row>
    <row r="2233" spans="1:1">
      <c r="A2233" s="455"/>
    </row>
    <row r="2234" spans="1:1">
      <c r="A2234" s="455"/>
    </row>
    <row r="2235" spans="1:1">
      <c r="A2235" s="455"/>
    </row>
    <row r="2236" spans="1:1">
      <c r="A2236" s="455"/>
    </row>
    <row r="2237" spans="1:1">
      <c r="A2237" s="455"/>
    </row>
    <row r="2238" spans="1:1">
      <c r="A2238" s="455"/>
    </row>
    <row r="2239" spans="1:1">
      <c r="A2239" s="455"/>
    </row>
    <row r="2240" spans="1:1">
      <c r="A2240" s="455"/>
    </row>
    <row r="2241" spans="1:1">
      <c r="A2241" s="455"/>
    </row>
    <row r="2242" spans="1:1">
      <c r="A2242" s="455"/>
    </row>
    <row r="2243" spans="1:1">
      <c r="A2243" s="455"/>
    </row>
    <row r="2244" spans="1:1">
      <c r="A2244" s="455"/>
    </row>
    <row r="2245" spans="1:1">
      <c r="A2245" s="455"/>
    </row>
    <row r="2246" spans="1:1">
      <c r="A2246" s="455"/>
    </row>
    <row r="2247" spans="1:1">
      <c r="A2247" s="455"/>
    </row>
    <row r="2248" spans="1:1">
      <c r="A2248" s="455"/>
    </row>
    <row r="2249" spans="1:1">
      <c r="A2249" s="455"/>
    </row>
    <row r="2250" spans="1:1">
      <c r="A2250" s="455"/>
    </row>
    <row r="2251" spans="1:1">
      <c r="A2251" s="455"/>
    </row>
    <row r="2252" spans="1:1">
      <c r="A2252" s="455"/>
    </row>
    <row r="2253" spans="1:1">
      <c r="A2253" s="455"/>
    </row>
    <row r="2254" spans="1:1">
      <c r="A2254" s="455"/>
    </row>
    <row r="2255" spans="1:1">
      <c r="A2255" s="455"/>
    </row>
    <row r="2256" spans="1:1">
      <c r="A2256" s="455"/>
    </row>
    <row r="2257" spans="1:1">
      <c r="A2257" s="455"/>
    </row>
    <row r="2258" spans="1:1">
      <c r="A2258" s="455"/>
    </row>
    <row r="2259" spans="1:1">
      <c r="A2259" s="455"/>
    </row>
    <row r="2260" spans="1:1">
      <c r="A2260" s="455"/>
    </row>
    <row r="2261" spans="1:1">
      <c r="A2261" s="455"/>
    </row>
    <row r="2262" spans="1:1">
      <c r="A2262" s="455"/>
    </row>
    <row r="2263" spans="1:1">
      <c r="A2263" s="455"/>
    </row>
    <row r="2264" spans="1:1">
      <c r="A2264" s="455"/>
    </row>
    <row r="2265" spans="1:1">
      <c r="A2265" s="455"/>
    </row>
    <row r="2266" spans="1:1">
      <c r="A2266" s="455"/>
    </row>
    <row r="2267" spans="1:1">
      <c r="A2267" s="455"/>
    </row>
    <row r="2268" spans="1:1">
      <c r="A2268" s="455"/>
    </row>
    <row r="2269" spans="1:1">
      <c r="A2269" s="455"/>
    </row>
    <row r="2270" spans="1:1">
      <c r="A2270" s="455"/>
    </row>
    <row r="2271" spans="1:1">
      <c r="A2271" s="455"/>
    </row>
    <row r="2272" spans="1:1">
      <c r="A2272" s="455"/>
    </row>
    <row r="2273" spans="1:1">
      <c r="A2273" s="455"/>
    </row>
    <row r="2274" spans="1:1">
      <c r="A2274" s="455"/>
    </row>
    <row r="2275" spans="1:1">
      <c r="A2275" s="455"/>
    </row>
    <row r="2276" spans="1:1">
      <c r="A2276" s="455"/>
    </row>
    <row r="2277" spans="1:1">
      <c r="A2277" s="455"/>
    </row>
    <row r="2278" spans="1:1">
      <c r="A2278" s="455"/>
    </row>
    <row r="2279" spans="1:1">
      <c r="A2279" s="455"/>
    </row>
    <row r="2280" spans="1:1">
      <c r="A2280" s="455"/>
    </row>
    <row r="2281" spans="1:1">
      <c r="A2281" s="455"/>
    </row>
    <row r="2282" spans="1:1">
      <c r="A2282" s="455"/>
    </row>
    <row r="2283" spans="1:1">
      <c r="A2283" s="455"/>
    </row>
    <row r="2284" spans="1:1">
      <c r="A2284" s="455"/>
    </row>
    <row r="2285" spans="1:1">
      <c r="A2285" s="455"/>
    </row>
    <row r="2286" spans="1:1">
      <c r="A2286" s="455"/>
    </row>
    <row r="2287" spans="1:1">
      <c r="A2287" s="455"/>
    </row>
    <row r="2288" spans="1:1">
      <c r="A2288" s="455"/>
    </row>
    <row r="2289" spans="1:1">
      <c r="A2289" s="455"/>
    </row>
    <row r="2290" spans="1:1">
      <c r="A2290" s="455"/>
    </row>
    <row r="2291" spans="1:1">
      <c r="A2291" s="455"/>
    </row>
    <row r="2292" spans="1:1">
      <c r="A2292" s="455"/>
    </row>
    <row r="2293" spans="1:1">
      <c r="A2293" s="455"/>
    </row>
    <row r="2294" spans="1:1">
      <c r="A2294" s="455"/>
    </row>
    <row r="2295" spans="1:1">
      <c r="A2295" s="455"/>
    </row>
    <row r="2296" spans="1:1">
      <c r="A2296" s="455"/>
    </row>
    <row r="2297" spans="1:1">
      <c r="A2297" s="455"/>
    </row>
    <row r="2298" spans="1:1">
      <c r="A2298" s="455"/>
    </row>
    <row r="2299" spans="1:1">
      <c r="A2299" s="455"/>
    </row>
    <row r="2300" spans="1:1">
      <c r="A2300" s="455"/>
    </row>
    <row r="2301" spans="1:1">
      <c r="A2301" s="455"/>
    </row>
    <row r="2302" spans="1:1">
      <c r="A2302" s="455"/>
    </row>
    <row r="2303" spans="1:1">
      <c r="A2303" s="455"/>
    </row>
    <row r="2304" spans="1:1">
      <c r="A2304" s="455"/>
    </row>
    <row r="2305" spans="1:1">
      <c r="A2305" s="455"/>
    </row>
    <row r="2306" spans="1:1">
      <c r="A2306" s="455"/>
    </row>
    <row r="2307" spans="1:1">
      <c r="A2307" s="455"/>
    </row>
    <row r="2308" spans="1:1">
      <c r="A2308" s="455"/>
    </row>
    <row r="2309" spans="1:1">
      <c r="A2309" s="455"/>
    </row>
    <row r="2310" spans="1:1">
      <c r="A2310" s="455"/>
    </row>
    <row r="2311" spans="1:1">
      <c r="A2311" s="455"/>
    </row>
    <row r="2312" spans="1:1">
      <c r="A2312" s="455"/>
    </row>
    <row r="2313" spans="1:1">
      <c r="A2313" s="455"/>
    </row>
    <row r="2314" spans="1:1">
      <c r="A2314" s="455"/>
    </row>
    <row r="2315" spans="1:1">
      <c r="A2315" s="455"/>
    </row>
    <row r="2316" spans="1:1">
      <c r="A2316" s="455"/>
    </row>
    <row r="2317" spans="1:1">
      <c r="A2317" s="455"/>
    </row>
    <row r="2318" spans="1:1">
      <c r="A2318" s="455"/>
    </row>
    <row r="2319" spans="1:1">
      <c r="A2319" s="455"/>
    </row>
    <row r="2320" spans="1:1">
      <c r="A2320" s="455"/>
    </row>
    <row r="2321" spans="1:1">
      <c r="A2321" s="455"/>
    </row>
    <row r="2322" spans="1:1">
      <c r="A2322" s="455"/>
    </row>
    <row r="2323" spans="1:1">
      <c r="A2323" s="455"/>
    </row>
    <row r="2324" spans="1:1">
      <c r="A2324" s="455"/>
    </row>
    <row r="2325" spans="1:1">
      <c r="A2325" s="455"/>
    </row>
    <row r="2326" spans="1:1">
      <c r="A2326" s="455"/>
    </row>
    <row r="2327" spans="1:1">
      <c r="A2327" s="455"/>
    </row>
    <row r="2328" spans="1:1">
      <c r="A2328" s="455"/>
    </row>
    <row r="2329" spans="1:1">
      <c r="A2329" s="455"/>
    </row>
    <row r="2330" spans="1:1">
      <c r="A2330" s="455"/>
    </row>
    <row r="2331" spans="1:1">
      <c r="A2331" s="455"/>
    </row>
    <row r="2332" spans="1:1">
      <c r="A2332" s="455"/>
    </row>
    <row r="2333" spans="1:1">
      <c r="A2333" s="455"/>
    </row>
    <row r="2334" spans="1:1">
      <c r="A2334" s="455"/>
    </row>
    <row r="2335" spans="1:1">
      <c r="A2335" s="455"/>
    </row>
    <row r="2336" spans="1:1">
      <c r="A2336" s="455"/>
    </row>
    <row r="2337" spans="1:1">
      <c r="A2337" s="455"/>
    </row>
    <row r="2338" spans="1:1">
      <c r="A2338" s="455"/>
    </row>
    <row r="2339" spans="1:1">
      <c r="A2339" s="455"/>
    </row>
    <row r="2340" spans="1:1">
      <c r="A2340" s="455"/>
    </row>
    <row r="2341" spans="1:1">
      <c r="A2341" s="455"/>
    </row>
    <row r="2342" spans="1:1">
      <c r="A2342" s="455"/>
    </row>
    <row r="2343" spans="1:1">
      <c r="A2343" s="455"/>
    </row>
    <row r="2344" spans="1:1">
      <c r="A2344" s="455"/>
    </row>
    <row r="2345" spans="1:1">
      <c r="A2345" s="455"/>
    </row>
    <row r="2346" spans="1:1">
      <c r="A2346" s="455"/>
    </row>
    <row r="2347" spans="1:1">
      <c r="A2347" s="455"/>
    </row>
    <row r="2348" spans="1:1">
      <c r="A2348" s="455"/>
    </row>
    <row r="2349" spans="1:1">
      <c r="A2349" s="455"/>
    </row>
    <row r="2350" spans="1:1">
      <c r="A2350" s="455"/>
    </row>
    <row r="2351" spans="1:1">
      <c r="A2351" s="455"/>
    </row>
    <row r="2352" spans="1:1">
      <c r="A2352" s="455"/>
    </row>
    <row r="2353" spans="1:1">
      <c r="A2353" s="455"/>
    </row>
    <row r="2354" spans="1:1">
      <c r="A2354" s="455"/>
    </row>
    <row r="2355" spans="1:1">
      <c r="A2355" s="455"/>
    </row>
    <row r="2356" spans="1:1">
      <c r="A2356" s="455"/>
    </row>
    <row r="2357" spans="1:1">
      <c r="A2357" s="455"/>
    </row>
    <row r="2358" spans="1:1">
      <c r="A2358" s="455"/>
    </row>
    <row r="2359" spans="1:1">
      <c r="A2359" s="455"/>
    </row>
    <row r="2360" spans="1:1">
      <c r="A2360" s="455"/>
    </row>
    <row r="2361" spans="1:1">
      <c r="A2361" s="455"/>
    </row>
    <row r="2362" spans="1:1">
      <c r="A2362" s="455"/>
    </row>
    <row r="2363" spans="1:1">
      <c r="A2363" s="455"/>
    </row>
    <row r="2364" spans="1:1">
      <c r="A2364" s="455"/>
    </row>
    <row r="2365" spans="1:1">
      <c r="A2365" s="455"/>
    </row>
    <row r="2366" spans="1:1">
      <c r="A2366" s="455"/>
    </row>
    <row r="2367" spans="1:1">
      <c r="A2367" s="455"/>
    </row>
    <row r="2368" spans="1:1">
      <c r="A2368" s="455"/>
    </row>
    <row r="2369" spans="1:1">
      <c r="A2369" s="455"/>
    </row>
    <row r="2370" spans="1:1">
      <c r="A2370" s="455"/>
    </row>
    <row r="2371" spans="1:1">
      <c r="A2371" s="455"/>
    </row>
    <row r="2372" spans="1:1">
      <c r="A2372" s="455"/>
    </row>
    <row r="2373" spans="1:1">
      <c r="A2373" s="455"/>
    </row>
    <row r="2374" spans="1:1">
      <c r="A2374" s="455"/>
    </row>
    <row r="2375" spans="1:1">
      <c r="A2375" s="455"/>
    </row>
    <row r="2376" spans="1:1">
      <c r="A2376" s="455"/>
    </row>
    <row r="2377" spans="1:1">
      <c r="A2377" s="455"/>
    </row>
    <row r="2378" spans="1:1">
      <c r="A2378" s="455"/>
    </row>
    <row r="2379" spans="1:1">
      <c r="A2379" s="455"/>
    </row>
    <row r="2380" spans="1:1">
      <c r="A2380" s="455"/>
    </row>
    <row r="2381" spans="1:1">
      <c r="A2381" s="455"/>
    </row>
    <row r="2382" spans="1:1">
      <c r="A2382" s="455"/>
    </row>
    <row r="2383" spans="1:1">
      <c r="A2383" s="455"/>
    </row>
    <row r="2384" spans="1:1">
      <c r="A2384" s="455"/>
    </row>
    <row r="2385" spans="1:1">
      <c r="A2385" s="455"/>
    </row>
    <row r="2386" spans="1:1">
      <c r="A2386" s="455"/>
    </row>
    <row r="2387" spans="1:1">
      <c r="A2387" s="455"/>
    </row>
    <row r="2388" spans="1:1">
      <c r="A2388" s="455"/>
    </row>
    <row r="2389" spans="1:1">
      <c r="A2389" s="455"/>
    </row>
    <row r="2390" spans="1:1">
      <c r="A2390" s="455"/>
    </row>
    <row r="2391" spans="1:1">
      <c r="A2391" s="455"/>
    </row>
    <row r="2392" spans="1:1">
      <c r="A2392" s="455"/>
    </row>
    <row r="2393" spans="1:1">
      <c r="A2393" s="455"/>
    </row>
    <row r="2394" spans="1:1">
      <c r="A2394" s="455"/>
    </row>
    <row r="2395" spans="1:1">
      <c r="A2395" s="455"/>
    </row>
    <row r="2396" spans="1:1">
      <c r="A2396" s="455"/>
    </row>
    <row r="2397" spans="1:1">
      <c r="A2397" s="455"/>
    </row>
    <row r="2398" spans="1:1">
      <c r="A2398" s="455"/>
    </row>
    <row r="2399" spans="1:1">
      <c r="A2399" s="455"/>
    </row>
    <row r="2400" spans="1:1">
      <c r="A2400" s="455"/>
    </row>
    <row r="2401" spans="1:1">
      <c r="A2401" s="455"/>
    </row>
    <row r="2402" spans="1:1">
      <c r="A2402" s="455"/>
    </row>
    <row r="2403" spans="1:1">
      <c r="A2403" s="455"/>
    </row>
    <row r="2404" spans="1:1">
      <c r="A2404" s="455"/>
    </row>
    <row r="2405" spans="1:1">
      <c r="A2405" s="455"/>
    </row>
    <row r="2406" spans="1:1">
      <c r="A2406" s="455"/>
    </row>
    <row r="2407" spans="1:1">
      <c r="A2407" s="455"/>
    </row>
    <row r="2408" spans="1:1">
      <c r="A2408" s="455"/>
    </row>
    <row r="2409" spans="1:1">
      <c r="A2409" s="455"/>
    </row>
    <row r="2410" spans="1:1">
      <c r="A2410" s="455"/>
    </row>
    <row r="2411" spans="1:1">
      <c r="A2411" s="455"/>
    </row>
    <row r="2412" spans="1:1">
      <c r="A2412" s="455"/>
    </row>
    <row r="2413" spans="1:1">
      <c r="A2413" s="455"/>
    </row>
    <row r="2414" spans="1:1">
      <c r="A2414" s="455"/>
    </row>
    <row r="2415" spans="1:1">
      <c r="A2415" s="455"/>
    </row>
    <row r="2416" spans="1:1">
      <c r="A2416" s="455"/>
    </row>
    <row r="2417" spans="1:1">
      <c r="A2417" s="455"/>
    </row>
    <row r="2418" spans="1:1">
      <c r="A2418" s="455"/>
    </row>
    <row r="2419" spans="1:1">
      <c r="A2419" s="455"/>
    </row>
    <row r="2420" spans="1:1">
      <c r="A2420" s="455"/>
    </row>
    <row r="2421" spans="1:1">
      <c r="A2421" s="455"/>
    </row>
    <row r="2422" spans="1:1">
      <c r="A2422" s="455"/>
    </row>
    <row r="2423" spans="1:1">
      <c r="A2423" s="455"/>
    </row>
    <row r="2424" spans="1:1">
      <c r="A2424" s="455"/>
    </row>
    <row r="2425" spans="1:1">
      <c r="A2425" s="455"/>
    </row>
    <row r="2426" spans="1:1">
      <c r="A2426" s="455"/>
    </row>
    <row r="2427" spans="1:1">
      <c r="A2427" s="455"/>
    </row>
    <row r="2428" spans="1:1">
      <c r="A2428" s="455"/>
    </row>
    <row r="2429" spans="1:1">
      <c r="A2429" s="455"/>
    </row>
    <row r="2430" spans="1:1">
      <c r="A2430" s="455"/>
    </row>
    <row r="2431" spans="1:1">
      <c r="A2431" s="455"/>
    </row>
    <row r="2432" spans="1:1">
      <c r="A2432" s="455"/>
    </row>
    <row r="2433" spans="1:1">
      <c r="A2433" s="455"/>
    </row>
    <row r="2434" spans="1:1">
      <c r="A2434" s="455"/>
    </row>
    <row r="2435" spans="1:1">
      <c r="A2435" s="455"/>
    </row>
    <row r="2436" spans="1:1">
      <c r="A2436" s="455"/>
    </row>
    <row r="2437" spans="1:1">
      <c r="A2437" s="455"/>
    </row>
    <row r="2438" spans="1:1">
      <c r="A2438" s="455"/>
    </row>
    <row r="2439" spans="1:1">
      <c r="A2439" s="455"/>
    </row>
    <row r="2440" spans="1:1">
      <c r="A2440" s="455"/>
    </row>
    <row r="2441" spans="1:1">
      <c r="A2441" s="455"/>
    </row>
    <row r="2442" spans="1:1">
      <c r="A2442" s="455"/>
    </row>
    <row r="2443" spans="1:1">
      <c r="A2443" s="455"/>
    </row>
    <row r="2444" spans="1:1">
      <c r="A2444" s="455"/>
    </row>
    <row r="2445" spans="1:1">
      <c r="A2445" s="455"/>
    </row>
    <row r="2446" spans="1:1">
      <c r="A2446" s="455"/>
    </row>
    <row r="2447" spans="1:1">
      <c r="A2447" s="455"/>
    </row>
    <row r="2448" spans="1:1">
      <c r="A2448" s="455"/>
    </row>
    <row r="2449" spans="1:1">
      <c r="A2449" s="455"/>
    </row>
    <row r="2450" spans="1:1">
      <c r="A2450" s="455"/>
    </row>
    <row r="2451" spans="1:1">
      <c r="A2451" s="455"/>
    </row>
    <row r="2452" spans="1:1">
      <c r="A2452" s="455"/>
    </row>
    <row r="2453" spans="1:1">
      <c r="A2453" s="455"/>
    </row>
    <row r="2454" spans="1:1">
      <c r="A2454" s="455"/>
    </row>
    <row r="2455" spans="1:1">
      <c r="A2455" s="455"/>
    </row>
    <row r="2456" spans="1:1">
      <c r="A2456" s="455"/>
    </row>
    <row r="2457" spans="1:1">
      <c r="A2457" s="455"/>
    </row>
    <row r="2458" spans="1:1">
      <c r="A2458" s="455"/>
    </row>
    <row r="2459" spans="1:1">
      <c r="A2459" s="455"/>
    </row>
    <row r="2460" spans="1:1">
      <c r="A2460" s="455"/>
    </row>
    <row r="2461" spans="1:1">
      <c r="A2461" s="455"/>
    </row>
    <row r="2462" spans="1:1">
      <c r="A2462" s="455"/>
    </row>
    <row r="2463" spans="1:1">
      <c r="A2463" s="455"/>
    </row>
    <row r="2464" spans="1:1">
      <c r="A2464" s="455"/>
    </row>
    <row r="2465" spans="1:1">
      <c r="A2465" s="455"/>
    </row>
    <row r="2466" spans="1:1">
      <c r="A2466" s="455"/>
    </row>
    <row r="2467" spans="1:1">
      <c r="A2467" s="455"/>
    </row>
    <row r="2468" spans="1:1">
      <c r="A2468" s="455"/>
    </row>
    <row r="2469" spans="1:1">
      <c r="A2469" s="455"/>
    </row>
    <row r="2470" spans="1:1">
      <c r="A2470" s="455"/>
    </row>
    <row r="2471" spans="1:1">
      <c r="A2471" s="455"/>
    </row>
    <row r="2472" spans="1:1">
      <c r="A2472" s="455"/>
    </row>
    <row r="2473" spans="1:1">
      <c r="A2473" s="455"/>
    </row>
    <row r="2474" spans="1:1">
      <c r="A2474" s="455"/>
    </row>
    <row r="2475" spans="1:1">
      <c r="A2475" s="455"/>
    </row>
    <row r="2476" spans="1:1">
      <c r="A2476" s="455"/>
    </row>
    <row r="2477" spans="1:1">
      <c r="A2477" s="455"/>
    </row>
    <row r="2478" spans="1:1">
      <c r="A2478" s="455"/>
    </row>
    <row r="2479" spans="1:1">
      <c r="A2479" s="455"/>
    </row>
    <row r="2480" spans="1:1">
      <c r="A2480" s="455"/>
    </row>
    <row r="2481" spans="1:1">
      <c r="A2481" s="455"/>
    </row>
    <row r="2482" spans="1:1">
      <c r="A2482" s="455"/>
    </row>
    <row r="2483" spans="1:1">
      <c r="A2483" s="455"/>
    </row>
    <row r="2484" spans="1:1">
      <c r="A2484" s="455"/>
    </row>
    <row r="2485" spans="1:1">
      <c r="A2485" s="455"/>
    </row>
    <row r="2486" spans="1:1">
      <c r="A2486" s="455"/>
    </row>
    <row r="2487" spans="1:1">
      <c r="A2487" s="455"/>
    </row>
    <row r="2488" spans="1:1">
      <c r="A2488" s="455"/>
    </row>
    <row r="2489" spans="1:1">
      <c r="A2489" s="455"/>
    </row>
    <row r="2490" spans="1:1">
      <c r="A2490" s="455"/>
    </row>
    <row r="2491" spans="1:1">
      <c r="A2491" s="455"/>
    </row>
    <row r="2492" spans="1:1">
      <c r="A2492" s="455"/>
    </row>
    <row r="2493" spans="1:1">
      <c r="A2493" s="455"/>
    </row>
    <row r="2494" spans="1:1">
      <c r="A2494" s="455"/>
    </row>
    <row r="2495" spans="1:1">
      <c r="A2495" s="455"/>
    </row>
    <row r="2496" spans="1:1">
      <c r="A2496" s="455"/>
    </row>
    <row r="2497" spans="1:1">
      <c r="A2497" s="455"/>
    </row>
    <row r="2498" spans="1:1">
      <c r="A2498" s="455"/>
    </row>
    <row r="2499" spans="1:1">
      <c r="A2499" s="455"/>
    </row>
    <row r="2500" spans="1:1">
      <c r="A2500" s="455"/>
    </row>
    <row r="2501" spans="1:1">
      <c r="A2501" s="455"/>
    </row>
    <row r="2502" spans="1:1">
      <c r="A2502" s="455"/>
    </row>
    <row r="2503" spans="1:1">
      <c r="A2503" s="455"/>
    </row>
    <row r="2504" spans="1:1">
      <c r="A2504" s="455"/>
    </row>
    <row r="2505" spans="1:1">
      <c r="A2505" s="455"/>
    </row>
    <row r="2506" spans="1:1">
      <c r="A2506" s="455"/>
    </row>
    <row r="2507" spans="1:1">
      <c r="A2507" s="455"/>
    </row>
    <row r="2508" spans="1:1">
      <c r="A2508" s="455"/>
    </row>
    <row r="2509" spans="1:1">
      <c r="A2509" s="455"/>
    </row>
    <row r="2510" spans="1:1">
      <c r="A2510" s="455"/>
    </row>
    <row r="2511" spans="1:1">
      <c r="A2511" s="455"/>
    </row>
    <row r="2512" spans="1:1">
      <c r="A2512" s="455"/>
    </row>
    <row r="2513" spans="1:1">
      <c r="A2513" s="455"/>
    </row>
    <row r="2514" spans="1:1">
      <c r="A2514" s="455"/>
    </row>
    <row r="2515" spans="1:1">
      <c r="A2515" s="455"/>
    </row>
    <row r="2516" spans="1:1">
      <c r="A2516" s="455"/>
    </row>
    <row r="2517" spans="1:1">
      <c r="A2517" s="455"/>
    </row>
    <row r="2518" spans="1:1">
      <c r="A2518" s="455"/>
    </row>
    <row r="2519" spans="1:1">
      <c r="A2519" s="455"/>
    </row>
    <row r="2520" spans="1:1">
      <c r="A2520" s="455"/>
    </row>
    <row r="2521" spans="1:1">
      <c r="A2521" s="455"/>
    </row>
    <row r="2522" spans="1:1">
      <c r="A2522" s="455"/>
    </row>
    <row r="2523" spans="1:1">
      <c r="A2523" s="455"/>
    </row>
    <row r="2524" spans="1:1">
      <c r="A2524" s="455"/>
    </row>
    <row r="2525" spans="1:1">
      <c r="A2525" s="455"/>
    </row>
    <row r="2526" spans="1:1">
      <c r="A2526" s="455"/>
    </row>
    <row r="2527" spans="1:1">
      <c r="A2527" s="455"/>
    </row>
    <row r="2528" spans="1:1">
      <c r="A2528" s="455"/>
    </row>
    <row r="2529" spans="1:1">
      <c r="A2529" s="455"/>
    </row>
    <row r="2530" spans="1:1">
      <c r="A2530" s="455"/>
    </row>
    <row r="2531" spans="1:1">
      <c r="A2531" s="455"/>
    </row>
    <row r="2532" spans="1:1">
      <c r="A2532" s="455"/>
    </row>
    <row r="2533" spans="1:1">
      <c r="A2533" s="455"/>
    </row>
    <row r="2534" spans="1:1">
      <c r="A2534" s="455"/>
    </row>
    <row r="2535" spans="1:1">
      <c r="A2535" s="455"/>
    </row>
    <row r="2536" spans="1:1">
      <c r="A2536" s="455"/>
    </row>
    <row r="2537" spans="1:1">
      <c r="A2537" s="455"/>
    </row>
    <row r="2538" spans="1:1">
      <c r="A2538" s="455"/>
    </row>
    <row r="2539" spans="1:1">
      <c r="A2539" s="455"/>
    </row>
    <row r="2540" spans="1:1">
      <c r="A2540" s="455"/>
    </row>
    <row r="2541" spans="1:1">
      <c r="A2541" s="455"/>
    </row>
    <row r="2542" spans="1:1">
      <c r="A2542" s="455"/>
    </row>
    <row r="2543" spans="1:1">
      <c r="A2543" s="455"/>
    </row>
    <row r="2544" spans="1:1">
      <c r="A2544" s="455"/>
    </row>
    <row r="2545" spans="1:1">
      <c r="A2545" s="455"/>
    </row>
    <row r="2546" spans="1:1">
      <c r="A2546" s="455"/>
    </row>
    <row r="2547" spans="1:1">
      <c r="A2547" s="455"/>
    </row>
    <row r="2548" spans="1:1">
      <c r="A2548" s="455"/>
    </row>
    <row r="2549" spans="1:1">
      <c r="A2549" s="455"/>
    </row>
    <row r="2550" spans="1:1">
      <c r="A2550" s="455"/>
    </row>
    <row r="2551" spans="1:1">
      <c r="A2551" s="455"/>
    </row>
    <row r="2552" spans="1:1">
      <c r="A2552" s="455"/>
    </row>
    <row r="2553" spans="1:1">
      <c r="A2553" s="455"/>
    </row>
    <row r="2554" spans="1:1">
      <c r="A2554" s="455"/>
    </row>
    <row r="2555" spans="1:1">
      <c r="A2555" s="455"/>
    </row>
    <row r="2556" spans="1:1">
      <c r="A2556" s="455"/>
    </row>
    <row r="2557" spans="1:1">
      <c r="A2557" s="455"/>
    </row>
    <row r="2558" spans="1:1">
      <c r="A2558" s="455"/>
    </row>
    <row r="2559" spans="1:1">
      <c r="A2559" s="455"/>
    </row>
    <row r="2560" spans="1:1">
      <c r="A2560" s="455"/>
    </row>
    <row r="2561" spans="1:1">
      <c r="A2561" s="455"/>
    </row>
    <row r="2562" spans="1:1">
      <c r="A2562" s="455"/>
    </row>
    <row r="2563" spans="1:1">
      <c r="A2563" s="455"/>
    </row>
    <row r="2564" spans="1:1">
      <c r="A2564" s="452"/>
    </row>
  </sheetData>
  <sortState xmlns:xlrd2="http://schemas.microsoft.com/office/spreadsheetml/2017/richdata2" ref="Z2:Z1048552">
    <sortCondition ref="Z2:Z1048552"/>
  </sortState>
  <mergeCells count="13">
    <mergeCell ref="E821:F821"/>
    <mergeCell ref="I821:J821"/>
    <mergeCell ref="L821:M821"/>
    <mergeCell ref="L820:M820"/>
    <mergeCell ref="E820:F820"/>
    <mergeCell ref="I820:J820"/>
    <mergeCell ref="G820:H820"/>
    <mergeCell ref="E822:F822"/>
    <mergeCell ref="E823:F823"/>
    <mergeCell ref="I823:J823"/>
    <mergeCell ref="L823:M823"/>
    <mergeCell ref="I822:J822"/>
    <mergeCell ref="L822:M822"/>
  </mergeCells>
  <conditionalFormatting sqref="D2:E818">
    <cfRule type="expression" dxfId="96" priority="48">
      <formula>H2&gt;D2</formula>
    </cfRule>
    <cfRule type="expression" dxfId="95" priority="47">
      <formula>H2&lt;D2</formula>
    </cfRule>
  </conditionalFormatting>
  <conditionalFormatting sqref="F2:F818 J2:J818">
    <cfRule type="expression" dxfId="94" priority="39">
      <formula>E2&lt;D2</formula>
    </cfRule>
    <cfRule type="expression" dxfId="93" priority="40">
      <formula>E2&gt;D2</formula>
    </cfRule>
  </conditionalFormatting>
  <conditionalFormatting sqref="H2:I818">
    <cfRule type="expression" dxfId="92" priority="50">
      <formula>H2&gt;D2</formula>
    </cfRule>
    <cfRule type="expression" dxfId="91" priority="49">
      <formula>H2&lt;D2</formula>
    </cfRule>
  </conditionalFormatting>
  <conditionalFormatting sqref="L2:L818">
    <cfRule type="expression" dxfId="90" priority="45">
      <formula>L2&lt;K2</formula>
    </cfRule>
    <cfRule type="expression" dxfId="89" priority="46">
      <formula>L2&gt;K2</formula>
    </cfRule>
  </conditionalFormatting>
  <conditionalFormatting sqref="M2:M818">
    <cfRule type="expression" dxfId="88" priority="42">
      <formula>K2&gt;L2</formula>
    </cfRule>
    <cfRule type="expression" dxfId="87" priority="41">
      <formula>K2&lt;L2</formula>
    </cfRule>
  </conditionalFormatting>
  <conditionalFormatting sqref="P2:P818">
    <cfRule type="expression" dxfId="86" priority="36">
      <formula>P2&gt;0</formula>
    </cfRule>
    <cfRule type="expression" dxfId="85" priority="35">
      <formula>P2=0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9BDE-EA98-4D49-8DFC-56CC4848E52D}">
  <dimension ref="A1:H30"/>
  <sheetViews>
    <sheetView workbookViewId="0">
      <selection activeCell="B4" sqref="B4"/>
    </sheetView>
  </sheetViews>
  <sheetFormatPr defaultRowHeight="15"/>
  <cols>
    <col min="1" max="1" width="21.7109375" bestFit="1" customWidth="1"/>
    <col min="2" max="2" width="11.85546875" bestFit="1" customWidth="1"/>
    <col min="3" max="3" width="18.85546875" customWidth="1"/>
    <col min="5" max="5" width="12.28515625" bestFit="1" customWidth="1"/>
    <col min="7" max="7" width="15.5703125" bestFit="1" customWidth="1"/>
    <col min="8" max="8" width="17.85546875" bestFit="1" customWidth="1"/>
  </cols>
  <sheetData>
    <row r="1" spans="1:8" ht="21">
      <c r="A1" s="624" t="s">
        <v>747</v>
      </c>
      <c r="B1" s="624"/>
      <c r="C1" s="624"/>
    </row>
    <row r="2" spans="1:8">
      <c r="A2" s="459" t="s">
        <v>748</v>
      </c>
      <c r="B2" s="471">
        <f ca="1">TODAY()-1</f>
        <v>46064</v>
      </c>
    </row>
    <row r="4" spans="1:8">
      <c r="A4" s="459" t="s">
        <v>749</v>
      </c>
      <c r="B4" s="459" t="s">
        <v>750</v>
      </c>
      <c r="C4" s="486">
        <f>_xlfn.XLOOKUP(B4,Referencia!B2:B60,Referencia!A2:A60)</f>
        <v>7</v>
      </c>
    </row>
    <row r="6" spans="1:8">
      <c r="A6" t="s">
        <v>751</v>
      </c>
      <c r="B6">
        <f>COUNTIFS(Jornada!Q2:Q818, C4, Jornada!E2:E818, "&lt;&gt;")</f>
        <v>28</v>
      </c>
    </row>
    <row r="7" spans="1:8">
      <c r="A7" t="s">
        <v>752</v>
      </c>
      <c r="B7" s="538">
        <f>COUNTIFS(Jornada!Q2:Q818,C4,Jornada!F2:F818,1)</f>
        <v>16</v>
      </c>
      <c r="C7" s="461">
        <f>COUNTIFS(Jornada!Q2:Q818,C4,Jornada!F2:F818,1) / COUNTIFS(Jornada!Q2:Q818, C4, Jornada!E2:E818, "&lt;&gt;")</f>
        <v>0.5714285714285714</v>
      </c>
      <c r="D7" s="453">
        <f>1-C7</f>
        <v>0.4285714285714286</v>
      </c>
      <c r="E7" s="18"/>
    </row>
    <row r="8" spans="1:8">
      <c r="A8" t="s">
        <v>753</v>
      </c>
      <c r="B8" s="538">
        <f>COUNTIFS(Jornada!Q2:Q818,C4,Jornada!J2:J818,1)</f>
        <v>12</v>
      </c>
      <c r="C8" s="575">
        <f>COUNTIFS(Jornada!Q2:Q818,C4,Jornada!J2:J818,1) / COUNTIFS(Jornada!Q2:Q818, C4, Jornada!E2:E818, "&lt;&gt;")</f>
        <v>0.42857142857142855</v>
      </c>
      <c r="D8" s="453">
        <f t="shared" ref="D8:D10" si="0">1-C8</f>
        <v>0.5714285714285714</v>
      </c>
      <c r="E8" s="18"/>
      <c r="H8" s="18"/>
    </row>
    <row r="9" spans="1:8">
      <c r="A9" t="s">
        <v>754</v>
      </c>
      <c r="B9">
        <f>COUNTIFS(Jornada!Q2:Q818,C4,Jornada!M2:M818,1)</f>
        <v>15</v>
      </c>
      <c r="C9" s="576">
        <f>COUNTIFS(Jornada!Q2:Q818,C4,Jornada!M2:M818,1) / COUNTIFS(Jornada!Q2:Q818, C4, Jornada!E2:E818, "&lt;&gt;")</f>
        <v>0.5357142857142857</v>
      </c>
      <c r="D9" s="453">
        <f t="shared" si="0"/>
        <v>0.4642857142857143</v>
      </c>
      <c r="E9" s="18"/>
      <c r="H9" s="18"/>
    </row>
    <row r="10" spans="1:8">
      <c r="A10" t="s">
        <v>755</v>
      </c>
      <c r="B10">
        <f>COUNTIFS(Jornada!Q2:Q818,C4,Jornada!P2:P818,1)</f>
        <v>15</v>
      </c>
      <c r="C10" s="577">
        <f>COUNTIFS(Jornada!Q2:Q818,C4,Jornada!P2:P818,1) / COUNTIFS(Jornada!Q2:Q818, C4, Jornada!E2:E818, "&lt;&gt;")</f>
        <v>0.5357142857142857</v>
      </c>
      <c r="D10" s="453">
        <f t="shared" si="0"/>
        <v>0.4642857142857143</v>
      </c>
      <c r="E10" s="18"/>
      <c r="H10" s="18"/>
    </row>
    <row r="11" spans="1:8">
      <c r="H11" s="18"/>
    </row>
    <row r="12" spans="1:8">
      <c r="A12" s="459" t="s">
        <v>756</v>
      </c>
      <c r="B12" s="459" t="s">
        <v>757</v>
      </c>
    </row>
    <row r="14" spans="1:8">
      <c r="A14" t="s">
        <v>751</v>
      </c>
      <c r="B14">
        <f>COUNTIFS(Jornada!R2:R818,B12, Jornada!E2:E818, "&lt;&gt;")</f>
        <v>87</v>
      </c>
    </row>
    <row r="15" spans="1:8">
      <c r="A15" t="s">
        <v>752</v>
      </c>
      <c r="B15">
        <f>COUNTIFS(Jornada!R2:R818,B12,Jornada!F2:F818,1)</f>
        <v>50</v>
      </c>
      <c r="C15" s="454">
        <f>B15/$B$14</f>
        <v>0.57471264367816088</v>
      </c>
      <c r="D15" s="453">
        <f>1-C15</f>
        <v>0.42528735632183912</v>
      </c>
    </row>
    <row r="16" spans="1:8">
      <c r="A16" t="s">
        <v>753</v>
      </c>
      <c r="B16">
        <f>COUNTIFS(Jornada!R2:R818,B12,Jornada!J2:J818,1)</f>
        <v>40</v>
      </c>
      <c r="C16" s="578">
        <f t="shared" ref="C16:C18" si="1">B16/$B$14</f>
        <v>0.45977011494252873</v>
      </c>
      <c r="D16" s="453">
        <f t="shared" ref="D16:D18" si="2">1-C16</f>
        <v>0.54022988505747127</v>
      </c>
    </row>
    <row r="17" spans="1:8">
      <c r="A17" t="s">
        <v>754</v>
      </c>
      <c r="B17">
        <f>COUNTIFS(Jornada!R2:R818,B12,Jornada!M2:M818,1)</f>
        <v>46</v>
      </c>
      <c r="C17" s="579">
        <f t="shared" si="1"/>
        <v>0.52873563218390807</v>
      </c>
      <c r="D17" s="453">
        <f t="shared" si="2"/>
        <v>0.47126436781609193</v>
      </c>
    </row>
    <row r="18" spans="1:8">
      <c r="A18" t="s">
        <v>755</v>
      </c>
      <c r="B18">
        <f>COUNTIFS(Jornada!R2:R818,B12,Jornada!P2:P818,1)</f>
        <v>51</v>
      </c>
      <c r="C18" s="580">
        <f t="shared" si="1"/>
        <v>0.58620689655172409</v>
      </c>
      <c r="D18" s="453">
        <f t="shared" si="2"/>
        <v>0.41379310344827591</v>
      </c>
    </row>
    <row r="25" spans="1:8">
      <c r="G25" s="2"/>
    </row>
    <row r="26" spans="1:8">
      <c r="G26" s="2"/>
    </row>
    <row r="27" spans="1:8">
      <c r="G27" s="2"/>
    </row>
    <row r="28" spans="1:8">
      <c r="G28" s="2"/>
    </row>
    <row r="29" spans="1:8">
      <c r="G29" s="2"/>
    </row>
    <row r="30" spans="1:8">
      <c r="G30" s="2"/>
      <c r="H30" s="2"/>
    </row>
  </sheetData>
  <mergeCells count="1">
    <mergeCell ref="A1:C1"/>
  </mergeCells>
  <conditionalFormatting sqref="C7:C10">
    <cfRule type="cellIs" dxfId="65" priority="3" operator="greaterThanOrEqual">
      <formula>0.5</formula>
    </cfRule>
    <cfRule type="cellIs" dxfId="64" priority="4" operator="lessThan">
      <formula>0.5</formula>
    </cfRule>
  </conditionalFormatting>
  <conditionalFormatting sqref="C15:C18">
    <cfRule type="cellIs" dxfId="63" priority="1" operator="greaterThanOrEqual">
      <formula>0.5</formula>
    </cfRule>
    <cfRule type="cellIs" dxfId="62" priority="2" operator="lessThan">
      <formula>0.5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B5312EE-3DA5-47F4-8CF9-DAAE7EFC889B}">
          <x14:formula1>
            <xm:f>Referencia!$B$2:$B$53</xm:f>
          </x14:formula1>
          <xm:sqref>B4</xm:sqref>
        </x14:dataValidation>
        <x14:dataValidation type="list" allowBlank="1" showInputMessage="1" showErrorMessage="1" xr:uid="{2AB01B7E-6016-4BBF-A02F-01132E21BD2B}">
          <x14:formula1>
            <xm:f>Referencia!$C$2:$C$13</xm:f>
          </x14:formula1>
          <xm:sqref>B12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B4CC-EBEC-4FA5-A3DF-3946331AA426}">
  <dimension ref="A1:I114"/>
  <sheetViews>
    <sheetView workbookViewId="0">
      <pane ySplit="1" topLeftCell="A2" activePane="bottomLeft" state="frozen"/>
      <selection pane="bottomLeft" activeCell="D38" sqref="D38"/>
    </sheetView>
  </sheetViews>
  <sheetFormatPr defaultRowHeight="15"/>
  <cols>
    <col min="1" max="1" width="12.5703125" bestFit="1" customWidth="1"/>
    <col min="2" max="2" width="14.140625" bestFit="1" customWidth="1"/>
    <col min="3" max="3" width="19" customWidth="1"/>
    <col min="4" max="4" width="15.140625" bestFit="1" customWidth="1"/>
    <col min="5" max="5" width="20" bestFit="1" customWidth="1"/>
    <col min="6" max="6" width="14.85546875" bestFit="1" customWidth="1"/>
    <col min="7" max="7" width="19.7109375" style="18" bestFit="1" customWidth="1"/>
    <col min="8" max="8" width="12.85546875" bestFit="1" customWidth="1"/>
    <col min="9" max="9" width="17.5703125" style="18" bestFit="1" customWidth="1"/>
    <col min="10" max="10" width="2" bestFit="1" customWidth="1"/>
    <col min="11" max="12" width="7" bestFit="1" customWidth="1"/>
    <col min="13" max="13" width="12.5703125" bestFit="1" customWidth="1"/>
    <col min="14" max="14" width="2" bestFit="1" customWidth="1"/>
    <col min="15" max="16" width="7" bestFit="1" customWidth="1"/>
    <col min="17" max="17" width="3.85546875" bestFit="1" customWidth="1"/>
    <col min="18" max="18" width="2" bestFit="1" customWidth="1"/>
    <col min="19" max="19" width="7" bestFit="1" customWidth="1"/>
    <col min="20" max="20" width="3.85546875" bestFit="1" customWidth="1"/>
    <col min="21" max="21" width="2" bestFit="1" customWidth="1"/>
    <col min="22" max="24" width="7" bestFit="1" customWidth="1"/>
    <col min="25" max="25" width="12.5703125" bestFit="1" customWidth="1"/>
    <col min="26" max="26" width="14.140625" bestFit="1" customWidth="1"/>
    <col min="27" max="27" width="15.140625" bestFit="1" customWidth="1"/>
    <col min="28" max="28" width="14.140625" bestFit="1" customWidth="1"/>
    <col min="29" max="29" width="16.7109375" bestFit="1" customWidth="1"/>
    <col min="30" max="30" width="15.7109375" bestFit="1" customWidth="1"/>
    <col min="31" max="31" width="16.7109375" bestFit="1" customWidth="1"/>
    <col min="32" max="32" width="15.7109375" bestFit="1" customWidth="1"/>
    <col min="33" max="33" width="15.140625" bestFit="1" customWidth="1"/>
    <col min="34" max="34" width="14.140625" bestFit="1" customWidth="1"/>
    <col min="35" max="35" width="15.140625" bestFit="1" customWidth="1"/>
    <col min="36" max="36" width="14.140625" bestFit="1" customWidth="1"/>
    <col min="37" max="37" width="16.7109375" bestFit="1" customWidth="1"/>
    <col min="38" max="38" width="15.7109375" bestFit="1" customWidth="1"/>
    <col min="39" max="39" width="15.140625" bestFit="1" customWidth="1"/>
    <col min="40" max="40" width="14.140625" bestFit="1" customWidth="1"/>
    <col min="41" max="41" width="15.140625" bestFit="1" customWidth="1"/>
    <col min="42" max="42" width="14.140625" bestFit="1" customWidth="1"/>
    <col min="43" max="43" width="16.7109375" bestFit="1" customWidth="1"/>
    <col min="44" max="44" width="15.7109375" bestFit="1" customWidth="1"/>
    <col min="45" max="45" width="16.7109375" bestFit="1" customWidth="1"/>
    <col min="46" max="46" width="15.7109375" bestFit="1" customWidth="1"/>
    <col min="47" max="47" width="16.7109375" bestFit="1" customWidth="1"/>
    <col min="48" max="48" width="15.7109375" bestFit="1" customWidth="1"/>
    <col min="49" max="49" width="20.28515625" bestFit="1" customWidth="1"/>
    <col min="50" max="50" width="19.28515625" bestFit="1" customWidth="1"/>
    <col min="51" max="51" width="14.140625" bestFit="1" customWidth="1"/>
    <col min="52" max="52" width="14.85546875" bestFit="1" customWidth="1"/>
    <col min="53" max="53" width="15.140625" bestFit="1" customWidth="1"/>
    <col min="54" max="54" width="14.140625" bestFit="1" customWidth="1"/>
    <col min="55" max="55" width="16.42578125" bestFit="1" customWidth="1"/>
    <col min="56" max="56" width="16.7109375" bestFit="1" customWidth="1"/>
    <col min="57" max="57" width="15.7109375" bestFit="1" customWidth="1"/>
    <col min="58" max="58" width="14.85546875" bestFit="1" customWidth="1"/>
    <col min="59" max="59" width="15.140625" bestFit="1" customWidth="1"/>
    <col min="60" max="60" width="14.140625" bestFit="1" customWidth="1"/>
    <col min="61" max="61" width="14.85546875" bestFit="1" customWidth="1"/>
    <col min="62" max="62" width="15.140625" bestFit="1" customWidth="1"/>
    <col min="63" max="63" width="14.140625" bestFit="1" customWidth="1"/>
    <col min="64" max="64" width="16.42578125" bestFit="1" customWidth="1"/>
    <col min="65" max="65" width="16.7109375" bestFit="1" customWidth="1"/>
    <col min="66" max="66" width="15.7109375" bestFit="1" customWidth="1"/>
    <col min="67" max="67" width="16.42578125" bestFit="1" customWidth="1"/>
    <col min="68" max="68" width="16.7109375" bestFit="1" customWidth="1"/>
    <col min="69" max="69" width="15.7109375" bestFit="1" customWidth="1"/>
    <col min="70" max="70" width="16.42578125" bestFit="1" customWidth="1"/>
    <col min="71" max="71" width="16.7109375" bestFit="1" customWidth="1"/>
    <col min="72" max="72" width="15.7109375" bestFit="1" customWidth="1"/>
    <col min="73" max="73" width="20" bestFit="1" customWidth="1"/>
    <col min="74" max="74" width="20.28515625" bestFit="1" customWidth="1"/>
    <col min="75" max="75" width="19.28515625" bestFit="1" customWidth="1"/>
    <col min="76" max="76" width="15.7109375" bestFit="1" customWidth="1"/>
    <col min="77" max="77" width="12.85546875" bestFit="1" customWidth="1"/>
    <col min="78" max="78" width="14.85546875" bestFit="1" customWidth="1"/>
    <col min="79" max="79" width="15.140625" bestFit="1" customWidth="1"/>
    <col min="80" max="80" width="14.140625" bestFit="1" customWidth="1"/>
    <col min="81" max="81" width="12.85546875" bestFit="1" customWidth="1"/>
    <col min="82" max="82" width="14.85546875" bestFit="1" customWidth="1"/>
    <col min="83" max="83" width="15.140625" bestFit="1" customWidth="1"/>
    <col min="84" max="84" width="14.140625" bestFit="1" customWidth="1"/>
    <col min="85" max="85" width="14.42578125" bestFit="1" customWidth="1"/>
    <col min="86" max="86" width="16.42578125" bestFit="1" customWidth="1"/>
    <col min="87" max="87" width="16.7109375" bestFit="1" customWidth="1"/>
    <col min="88" max="88" width="15.7109375" bestFit="1" customWidth="1"/>
    <col min="89" max="89" width="14.42578125" bestFit="1" customWidth="1"/>
    <col min="90" max="90" width="16.42578125" bestFit="1" customWidth="1"/>
    <col min="91" max="91" width="16.7109375" bestFit="1" customWidth="1"/>
    <col min="92" max="92" width="15.7109375" bestFit="1" customWidth="1"/>
    <col min="93" max="93" width="14.42578125" bestFit="1" customWidth="1"/>
    <col min="94" max="94" width="16.42578125" bestFit="1" customWidth="1"/>
    <col min="95" max="95" width="16.7109375" bestFit="1" customWidth="1"/>
    <col min="96" max="96" width="15.7109375" bestFit="1" customWidth="1"/>
    <col min="97" max="97" width="17.85546875" bestFit="1" customWidth="1"/>
    <col min="98" max="98" width="20" bestFit="1" customWidth="1"/>
    <col min="99" max="99" width="20.28515625" bestFit="1" customWidth="1"/>
    <col min="100" max="100" width="19.28515625" bestFit="1" customWidth="1"/>
    <col min="101" max="101" width="15.7109375" bestFit="1" customWidth="1"/>
    <col min="102" max="102" width="16.42578125" bestFit="1" customWidth="1"/>
    <col min="103" max="103" width="16.7109375" bestFit="1" customWidth="1"/>
    <col min="104" max="104" width="14.42578125" bestFit="1" customWidth="1"/>
    <col min="105" max="105" width="19.28515625" bestFit="1" customWidth="1"/>
    <col min="106" max="106" width="20" bestFit="1" customWidth="1"/>
    <col min="107" max="107" width="20.28515625" bestFit="1" customWidth="1"/>
    <col min="108" max="108" width="17.85546875" bestFit="1" customWidth="1"/>
  </cols>
  <sheetData>
    <row r="1" spans="1:9">
      <c r="A1" s="415" t="s">
        <v>0</v>
      </c>
      <c r="B1" t="s">
        <v>758</v>
      </c>
      <c r="C1" t="s">
        <v>759</v>
      </c>
      <c r="D1" t="s">
        <v>760</v>
      </c>
      <c r="E1" s="18" t="s">
        <v>761</v>
      </c>
      <c r="F1" t="s">
        <v>762</v>
      </c>
      <c r="G1" s="18" t="s">
        <v>763</v>
      </c>
      <c r="H1" t="s">
        <v>764</v>
      </c>
      <c r="I1" s="18" t="s">
        <v>765</v>
      </c>
    </row>
    <row r="2" spans="1:9">
      <c r="A2" s="284">
        <v>45951</v>
      </c>
      <c r="B2" s="416">
        <v>2</v>
      </c>
      <c r="C2" s="18">
        <v>1</v>
      </c>
      <c r="D2" s="416">
        <v>1</v>
      </c>
      <c r="E2" s="18">
        <v>0.5</v>
      </c>
      <c r="F2" s="416">
        <v>2</v>
      </c>
      <c r="G2" s="18">
        <v>1</v>
      </c>
      <c r="H2" s="416">
        <v>1</v>
      </c>
      <c r="I2" s="18">
        <v>0.5</v>
      </c>
    </row>
    <row r="3" spans="1:9">
      <c r="A3" s="284">
        <v>45952</v>
      </c>
      <c r="B3" s="416">
        <v>11</v>
      </c>
      <c r="C3" s="18">
        <v>0.91666666666666663</v>
      </c>
      <c r="D3" s="416">
        <v>7</v>
      </c>
      <c r="E3" s="18">
        <v>0.58333333333333337</v>
      </c>
      <c r="F3" s="416">
        <v>10</v>
      </c>
      <c r="G3" s="18">
        <v>0.83333333333333337</v>
      </c>
      <c r="H3" s="416">
        <v>7</v>
      </c>
      <c r="I3" s="18">
        <v>0.58333333333333337</v>
      </c>
    </row>
    <row r="4" spans="1:9">
      <c r="A4" s="284">
        <v>45953</v>
      </c>
      <c r="B4" s="416">
        <v>2</v>
      </c>
      <c r="C4" s="18">
        <v>1</v>
      </c>
      <c r="D4" s="416">
        <v>2</v>
      </c>
      <c r="E4" s="18">
        <v>1</v>
      </c>
      <c r="F4" s="416">
        <v>2</v>
      </c>
      <c r="G4" s="18">
        <v>1</v>
      </c>
      <c r="H4" s="416">
        <v>2</v>
      </c>
      <c r="I4" s="18">
        <v>1</v>
      </c>
    </row>
    <row r="5" spans="1:9">
      <c r="A5" s="284">
        <v>45954</v>
      </c>
      <c r="B5" s="416">
        <v>8</v>
      </c>
      <c r="C5" s="18">
        <v>0.66666666666666663</v>
      </c>
      <c r="D5" s="416">
        <v>8</v>
      </c>
      <c r="E5" s="18">
        <v>0.66666666666666663</v>
      </c>
      <c r="F5" s="416">
        <v>8</v>
      </c>
      <c r="G5" s="18">
        <v>0.66666666666666663</v>
      </c>
      <c r="H5" s="416">
        <v>6</v>
      </c>
      <c r="I5" s="18">
        <v>0.5</v>
      </c>
    </row>
    <row r="6" spans="1:9">
      <c r="A6" s="284">
        <v>45955</v>
      </c>
      <c r="B6" s="416">
        <v>3</v>
      </c>
      <c r="C6" s="18">
        <v>0.6</v>
      </c>
      <c r="D6" s="416">
        <v>3</v>
      </c>
      <c r="E6" s="18">
        <v>0.6</v>
      </c>
      <c r="F6" s="416">
        <v>3</v>
      </c>
      <c r="G6" s="18">
        <v>0.6</v>
      </c>
      <c r="H6" s="416">
        <v>2</v>
      </c>
      <c r="I6" s="18">
        <v>0.4</v>
      </c>
    </row>
    <row r="7" spans="1:9">
      <c r="A7" s="284">
        <v>45956</v>
      </c>
      <c r="B7" s="416">
        <v>5</v>
      </c>
      <c r="C7" s="18">
        <v>0.55555555555555558</v>
      </c>
      <c r="D7" s="416">
        <v>9</v>
      </c>
      <c r="E7" s="18">
        <v>1</v>
      </c>
      <c r="F7" s="416">
        <v>7</v>
      </c>
      <c r="G7" s="18">
        <v>0.77777777777777779</v>
      </c>
      <c r="H7" s="416">
        <v>2</v>
      </c>
      <c r="I7" s="18">
        <v>0.22222222222222221</v>
      </c>
    </row>
    <row r="8" spans="1:9">
      <c r="A8" s="284">
        <v>45957</v>
      </c>
      <c r="B8" s="416">
        <v>7</v>
      </c>
      <c r="C8" s="18">
        <v>0.63636363636363635</v>
      </c>
      <c r="D8" s="416">
        <v>6</v>
      </c>
      <c r="E8" s="18">
        <v>0.54545454545454541</v>
      </c>
      <c r="F8" s="416">
        <v>7</v>
      </c>
      <c r="G8" s="18">
        <v>0.63636363636363635</v>
      </c>
      <c r="H8" s="416">
        <v>5</v>
      </c>
      <c r="I8" s="18">
        <v>0.45454545454545453</v>
      </c>
    </row>
    <row r="9" spans="1:9">
      <c r="A9" s="284">
        <v>45958</v>
      </c>
      <c r="B9" s="416">
        <v>2</v>
      </c>
      <c r="C9" s="18">
        <v>0.4</v>
      </c>
      <c r="D9" s="416">
        <v>3</v>
      </c>
      <c r="E9" s="18">
        <v>0.6</v>
      </c>
      <c r="F9" s="416">
        <v>3</v>
      </c>
      <c r="G9" s="18">
        <v>0.6</v>
      </c>
      <c r="H9" s="416">
        <v>3</v>
      </c>
      <c r="I9" s="18">
        <v>0.6</v>
      </c>
    </row>
    <row r="10" spans="1:9">
      <c r="A10" s="284">
        <v>45959</v>
      </c>
      <c r="B10" s="416">
        <v>4</v>
      </c>
      <c r="C10" s="18">
        <v>0.4</v>
      </c>
      <c r="D10" s="416">
        <v>7</v>
      </c>
      <c r="E10" s="18">
        <v>0.7</v>
      </c>
      <c r="F10" s="416">
        <v>4</v>
      </c>
      <c r="G10" s="18">
        <v>0.4</v>
      </c>
      <c r="H10" s="416">
        <v>3</v>
      </c>
      <c r="I10" s="18">
        <v>0.3</v>
      </c>
    </row>
    <row r="11" spans="1:9">
      <c r="A11" s="284">
        <v>45960</v>
      </c>
      <c r="B11" s="416">
        <v>2</v>
      </c>
      <c r="C11" s="18">
        <v>0.5</v>
      </c>
      <c r="D11" s="416">
        <v>3</v>
      </c>
      <c r="E11" s="18">
        <v>0.75</v>
      </c>
      <c r="F11" s="416">
        <v>2</v>
      </c>
      <c r="G11" s="18">
        <v>0.5</v>
      </c>
      <c r="H11" s="416">
        <v>3</v>
      </c>
      <c r="I11" s="18">
        <v>0.75</v>
      </c>
    </row>
    <row r="12" spans="1:9">
      <c r="A12" s="284">
        <v>45961</v>
      </c>
      <c r="B12" s="416">
        <v>5</v>
      </c>
      <c r="C12" s="18">
        <v>0.625</v>
      </c>
      <c r="D12" s="416">
        <v>3</v>
      </c>
      <c r="E12" s="18">
        <v>0.375</v>
      </c>
      <c r="F12" s="416">
        <v>3</v>
      </c>
      <c r="G12" s="18">
        <v>0.375</v>
      </c>
      <c r="H12" s="416">
        <v>2</v>
      </c>
      <c r="I12" s="18">
        <v>0.25</v>
      </c>
    </row>
    <row r="13" spans="1:9">
      <c r="A13" s="284">
        <v>45962</v>
      </c>
      <c r="B13" s="416">
        <v>5</v>
      </c>
      <c r="C13" s="18">
        <v>0.83333333333333337</v>
      </c>
      <c r="D13" s="416">
        <v>2</v>
      </c>
      <c r="E13" s="18">
        <v>0.33333333333333331</v>
      </c>
      <c r="F13" s="416">
        <v>3</v>
      </c>
      <c r="G13" s="18">
        <v>0.5</v>
      </c>
      <c r="H13" s="416">
        <v>2</v>
      </c>
      <c r="I13" s="18">
        <v>0.33333333333333331</v>
      </c>
    </row>
    <row r="14" spans="1:9">
      <c r="A14" s="284">
        <v>45963</v>
      </c>
      <c r="B14" s="416">
        <v>4</v>
      </c>
      <c r="C14" s="18">
        <v>0.5</v>
      </c>
      <c r="D14" s="416">
        <v>6</v>
      </c>
      <c r="E14" s="18">
        <v>0.75</v>
      </c>
      <c r="F14" s="416">
        <v>6</v>
      </c>
      <c r="G14" s="18">
        <v>0.75</v>
      </c>
      <c r="H14" s="416">
        <v>5</v>
      </c>
      <c r="I14" s="18">
        <v>0.625</v>
      </c>
    </row>
    <row r="15" spans="1:9">
      <c r="A15" s="284">
        <v>45964</v>
      </c>
      <c r="B15" s="416">
        <v>7</v>
      </c>
      <c r="C15" s="18">
        <v>0.77777777777777779</v>
      </c>
      <c r="D15" s="416">
        <v>5</v>
      </c>
      <c r="E15" s="18">
        <v>0.55555555555555558</v>
      </c>
      <c r="F15" s="416">
        <v>5</v>
      </c>
      <c r="G15" s="18">
        <v>0.55555555555555558</v>
      </c>
      <c r="H15" s="416">
        <v>3</v>
      </c>
      <c r="I15" s="18">
        <v>0.33333333333333331</v>
      </c>
    </row>
    <row r="16" spans="1:9">
      <c r="A16" s="284">
        <v>45965</v>
      </c>
      <c r="B16" s="416">
        <v>1</v>
      </c>
      <c r="C16" s="18">
        <v>0.16666666666666666</v>
      </c>
      <c r="D16" s="416">
        <v>4</v>
      </c>
      <c r="E16" s="18">
        <v>0.66666666666666663</v>
      </c>
      <c r="F16" s="416">
        <v>4</v>
      </c>
      <c r="G16" s="18">
        <v>0.66666666666666663</v>
      </c>
      <c r="H16" s="416">
        <v>2</v>
      </c>
      <c r="I16" s="18">
        <v>0.33333333333333331</v>
      </c>
    </row>
    <row r="17" spans="1:9">
      <c r="A17" s="284">
        <v>45966</v>
      </c>
      <c r="B17" s="416">
        <v>5</v>
      </c>
      <c r="C17" s="18">
        <v>0.45454545454545453</v>
      </c>
      <c r="D17" s="416">
        <v>7</v>
      </c>
      <c r="E17" s="18">
        <v>0.63636363636363635</v>
      </c>
      <c r="F17" s="416">
        <v>8</v>
      </c>
      <c r="G17" s="18">
        <v>0.72727272727272729</v>
      </c>
      <c r="H17" s="416">
        <v>6</v>
      </c>
      <c r="I17" s="18">
        <v>0.54545454545454541</v>
      </c>
    </row>
    <row r="18" spans="1:9">
      <c r="A18" s="284">
        <v>45967</v>
      </c>
      <c r="B18" s="416">
        <v>0</v>
      </c>
      <c r="C18" s="18">
        <v>0</v>
      </c>
      <c r="D18" s="416">
        <v>1</v>
      </c>
      <c r="E18" s="18">
        <v>1</v>
      </c>
      <c r="F18" s="416">
        <v>0</v>
      </c>
      <c r="G18" s="18">
        <v>0</v>
      </c>
      <c r="H18" s="416">
        <v>0</v>
      </c>
      <c r="I18" s="18">
        <v>0</v>
      </c>
    </row>
    <row r="19" spans="1:9">
      <c r="A19" s="284">
        <v>45968</v>
      </c>
      <c r="B19" s="416">
        <v>5</v>
      </c>
      <c r="C19" s="18">
        <v>0.45454545454545453</v>
      </c>
      <c r="D19" s="416">
        <v>8</v>
      </c>
      <c r="E19" s="18">
        <v>0.72727272727272729</v>
      </c>
      <c r="F19" s="416">
        <v>8</v>
      </c>
      <c r="G19" s="18">
        <v>0.72727272727272729</v>
      </c>
      <c r="H19" s="416">
        <v>6</v>
      </c>
      <c r="I19" s="18">
        <v>0.54545454545454541</v>
      </c>
    </row>
    <row r="20" spans="1:9">
      <c r="A20" s="284">
        <v>45969</v>
      </c>
      <c r="B20" s="416">
        <v>5</v>
      </c>
      <c r="C20" s="18">
        <v>0.625</v>
      </c>
      <c r="D20" s="416">
        <v>6</v>
      </c>
      <c r="E20" s="18">
        <v>0.75</v>
      </c>
      <c r="F20" s="416">
        <v>5</v>
      </c>
      <c r="G20" s="18">
        <v>0.625</v>
      </c>
      <c r="H20" s="416">
        <v>5</v>
      </c>
      <c r="I20" s="18">
        <v>0.625</v>
      </c>
    </row>
    <row r="21" spans="1:9">
      <c r="A21" s="284">
        <v>45970</v>
      </c>
      <c r="B21" s="416">
        <v>2</v>
      </c>
      <c r="C21" s="18">
        <v>0.2857142857142857</v>
      </c>
      <c r="D21" s="416">
        <v>2</v>
      </c>
      <c r="E21" s="18">
        <v>0.2857142857142857</v>
      </c>
      <c r="F21" s="416">
        <v>3</v>
      </c>
      <c r="G21" s="18">
        <v>0.42857142857142855</v>
      </c>
      <c r="H21" s="416">
        <v>5</v>
      </c>
      <c r="I21" s="18">
        <v>0.7142857142857143</v>
      </c>
    </row>
    <row r="22" spans="1:9">
      <c r="A22" s="284">
        <v>45971</v>
      </c>
      <c r="B22" s="416">
        <v>5</v>
      </c>
      <c r="C22" s="18">
        <v>0.55555555555555558</v>
      </c>
      <c r="D22" s="416">
        <v>6</v>
      </c>
      <c r="E22" s="18">
        <v>0.66666666666666663</v>
      </c>
      <c r="F22" s="416">
        <v>5</v>
      </c>
      <c r="G22" s="18">
        <v>0.55555555555555558</v>
      </c>
      <c r="H22" s="416">
        <v>4</v>
      </c>
      <c r="I22" s="18">
        <v>0.44444444444444442</v>
      </c>
    </row>
    <row r="23" spans="1:9">
      <c r="A23" s="284">
        <v>45972</v>
      </c>
      <c r="B23" s="416">
        <v>3</v>
      </c>
      <c r="C23" s="18">
        <v>0.5</v>
      </c>
      <c r="D23" s="416">
        <v>3</v>
      </c>
      <c r="E23" s="18">
        <v>0.5</v>
      </c>
      <c r="F23" s="416">
        <v>3</v>
      </c>
      <c r="G23" s="18">
        <v>0.5</v>
      </c>
      <c r="H23" s="416">
        <v>3</v>
      </c>
      <c r="I23" s="18">
        <v>0.5</v>
      </c>
    </row>
    <row r="24" spans="1:9">
      <c r="A24" s="284">
        <v>45973</v>
      </c>
      <c r="B24" s="416">
        <v>7</v>
      </c>
      <c r="C24" s="18">
        <v>0.58333333333333337</v>
      </c>
      <c r="D24" s="416">
        <v>7</v>
      </c>
      <c r="E24" s="18">
        <v>0.58333333333333337</v>
      </c>
      <c r="F24" s="416">
        <v>7</v>
      </c>
      <c r="G24" s="18">
        <v>0.58333333333333337</v>
      </c>
      <c r="H24" s="416">
        <v>6</v>
      </c>
      <c r="I24" s="18">
        <v>0.5</v>
      </c>
    </row>
    <row r="25" spans="1:9">
      <c r="A25" s="284">
        <v>45974</v>
      </c>
      <c r="B25" s="416">
        <v>1</v>
      </c>
      <c r="C25" s="18">
        <v>0.33333333333333331</v>
      </c>
      <c r="D25" s="416">
        <v>2</v>
      </c>
      <c r="E25" s="18">
        <v>0.66666666666666663</v>
      </c>
      <c r="F25" s="416">
        <v>2</v>
      </c>
      <c r="G25" s="18">
        <v>0.66666666666666663</v>
      </c>
      <c r="H25" s="416">
        <v>2</v>
      </c>
      <c r="I25" s="18">
        <v>0.66666666666666663</v>
      </c>
    </row>
    <row r="26" spans="1:9">
      <c r="A26" s="284">
        <v>45975</v>
      </c>
      <c r="B26" s="416">
        <v>4</v>
      </c>
      <c r="C26" s="18">
        <v>0.44444444444444442</v>
      </c>
      <c r="D26" s="416">
        <v>6</v>
      </c>
      <c r="E26" s="18">
        <v>0.66666666666666663</v>
      </c>
      <c r="F26" s="416">
        <v>5</v>
      </c>
      <c r="G26" s="18">
        <v>0.55555555555555558</v>
      </c>
      <c r="H26" s="416">
        <v>5</v>
      </c>
      <c r="I26" s="18">
        <v>0.55555555555555558</v>
      </c>
    </row>
    <row r="27" spans="1:9">
      <c r="A27" s="284">
        <v>45976</v>
      </c>
      <c r="B27" s="416">
        <v>3</v>
      </c>
      <c r="C27" s="18">
        <v>0.6</v>
      </c>
      <c r="D27" s="416">
        <v>1</v>
      </c>
      <c r="E27" s="18">
        <v>0.2</v>
      </c>
      <c r="F27" s="416">
        <v>2</v>
      </c>
      <c r="G27" s="18">
        <v>0.4</v>
      </c>
      <c r="H27" s="416">
        <v>2</v>
      </c>
      <c r="I27" s="18">
        <v>0.4</v>
      </c>
    </row>
    <row r="28" spans="1:9">
      <c r="A28" s="284">
        <v>45977</v>
      </c>
      <c r="B28" s="416">
        <v>6</v>
      </c>
      <c r="C28" s="18">
        <v>0.75</v>
      </c>
      <c r="D28" s="416">
        <v>5</v>
      </c>
      <c r="E28" s="18">
        <v>0.625</v>
      </c>
      <c r="F28" s="416">
        <v>7</v>
      </c>
      <c r="G28" s="18">
        <v>0.875</v>
      </c>
      <c r="H28" s="416">
        <v>6</v>
      </c>
      <c r="I28" s="18">
        <v>0.75</v>
      </c>
    </row>
    <row r="29" spans="1:9">
      <c r="A29" s="284">
        <v>45978</v>
      </c>
      <c r="B29" s="416">
        <v>4</v>
      </c>
      <c r="C29" s="18">
        <v>0.5</v>
      </c>
      <c r="D29" s="416">
        <v>3</v>
      </c>
      <c r="E29" s="18">
        <v>0.375</v>
      </c>
      <c r="F29" s="416">
        <v>4</v>
      </c>
      <c r="G29" s="18">
        <v>0.5</v>
      </c>
      <c r="H29" s="416">
        <v>5</v>
      </c>
      <c r="I29" s="18">
        <v>0.625</v>
      </c>
    </row>
    <row r="30" spans="1:9">
      <c r="A30" s="284">
        <v>45979</v>
      </c>
      <c r="B30" s="416">
        <v>3</v>
      </c>
      <c r="C30" s="18">
        <v>0.5</v>
      </c>
      <c r="D30" s="416">
        <v>2</v>
      </c>
      <c r="E30" s="18">
        <v>0.33333333333333331</v>
      </c>
      <c r="F30" s="416">
        <v>4</v>
      </c>
      <c r="G30" s="18">
        <v>0.66666666666666663</v>
      </c>
      <c r="H30" s="416">
        <v>3</v>
      </c>
      <c r="I30" s="18">
        <v>0.5</v>
      </c>
    </row>
    <row r="31" spans="1:9">
      <c r="A31" s="284">
        <v>45980</v>
      </c>
      <c r="B31" s="416">
        <v>6</v>
      </c>
      <c r="C31" s="18">
        <v>0.66666666666666663</v>
      </c>
      <c r="D31" s="416">
        <v>4</v>
      </c>
      <c r="E31" s="18">
        <v>0.44444444444444442</v>
      </c>
      <c r="F31" s="416">
        <v>6</v>
      </c>
      <c r="G31" s="18">
        <v>0.66666666666666663</v>
      </c>
      <c r="H31" s="416">
        <v>6</v>
      </c>
      <c r="I31" s="18">
        <v>0.66666666666666663</v>
      </c>
    </row>
    <row r="32" spans="1:9">
      <c r="A32" s="284">
        <v>45981</v>
      </c>
      <c r="B32" s="416">
        <v>2</v>
      </c>
      <c r="C32" s="18">
        <v>0.5</v>
      </c>
      <c r="D32" s="416">
        <v>3</v>
      </c>
      <c r="E32" s="18">
        <v>0.75</v>
      </c>
      <c r="F32" s="416">
        <v>2</v>
      </c>
      <c r="G32" s="18">
        <v>0.5</v>
      </c>
      <c r="H32" s="416">
        <v>2</v>
      </c>
      <c r="I32" s="18">
        <v>0.5</v>
      </c>
    </row>
    <row r="33" spans="1:9">
      <c r="A33" s="284">
        <v>45982</v>
      </c>
      <c r="B33" s="416">
        <v>5</v>
      </c>
      <c r="C33" s="18">
        <v>0.625</v>
      </c>
      <c r="D33" s="416">
        <v>4</v>
      </c>
      <c r="E33" s="18">
        <v>0.5</v>
      </c>
      <c r="F33" s="416">
        <v>4</v>
      </c>
      <c r="G33" s="18">
        <v>0.5</v>
      </c>
      <c r="H33" s="416">
        <v>5</v>
      </c>
      <c r="I33" s="18">
        <v>0.625</v>
      </c>
    </row>
    <row r="34" spans="1:9">
      <c r="A34" s="284">
        <v>45983</v>
      </c>
      <c r="B34" s="416">
        <v>7</v>
      </c>
      <c r="C34" s="18">
        <v>0.875</v>
      </c>
      <c r="D34" s="416">
        <v>5</v>
      </c>
      <c r="E34" s="18">
        <v>0.625</v>
      </c>
      <c r="F34" s="416">
        <v>6</v>
      </c>
      <c r="G34" s="18">
        <v>0.75</v>
      </c>
      <c r="H34" s="416">
        <v>3</v>
      </c>
      <c r="I34" s="18">
        <v>0.375</v>
      </c>
    </row>
    <row r="35" spans="1:9">
      <c r="A35" s="284">
        <v>45984</v>
      </c>
      <c r="B35" s="416">
        <v>4</v>
      </c>
      <c r="C35" s="18">
        <v>0.5</v>
      </c>
      <c r="D35" s="416">
        <v>4</v>
      </c>
      <c r="E35" s="18">
        <v>0.5</v>
      </c>
      <c r="F35" s="416">
        <v>2</v>
      </c>
      <c r="G35" s="18">
        <v>0.25</v>
      </c>
      <c r="H35" s="416">
        <v>7</v>
      </c>
      <c r="I35" s="18">
        <v>0.875</v>
      </c>
    </row>
    <row r="36" spans="1:9">
      <c r="A36" s="284">
        <v>45985</v>
      </c>
      <c r="B36" s="416">
        <v>6</v>
      </c>
      <c r="C36" s="18">
        <v>0.6</v>
      </c>
      <c r="D36" s="416">
        <v>3</v>
      </c>
      <c r="E36" s="18">
        <v>0.3</v>
      </c>
      <c r="F36" s="416">
        <v>3</v>
      </c>
      <c r="G36" s="18">
        <v>0.3</v>
      </c>
      <c r="H36" s="416">
        <v>6</v>
      </c>
      <c r="I36" s="18">
        <v>0.6</v>
      </c>
    </row>
    <row r="37" spans="1:9">
      <c r="A37" s="284">
        <v>45986</v>
      </c>
      <c r="B37" s="416">
        <v>2</v>
      </c>
      <c r="C37" s="18">
        <v>0.66666666666666663</v>
      </c>
      <c r="D37" s="416">
        <v>2</v>
      </c>
      <c r="E37" s="18">
        <v>0.66666666666666663</v>
      </c>
      <c r="F37" s="416">
        <v>2</v>
      </c>
      <c r="G37" s="18">
        <v>0.66666666666666663</v>
      </c>
      <c r="H37" s="416">
        <v>1</v>
      </c>
      <c r="I37" s="18">
        <v>0.33333333333333331</v>
      </c>
    </row>
    <row r="38" spans="1:9">
      <c r="A38" s="284">
        <v>45987</v>
      </c>
      <c r="B38" s="416">
        <v>4</v>
      </c>
      <c r="C38" s="18">
        <v>0.44444444444444442</v>
      </c>
      <c r="D38" s="416">
        <v>3</v>
      </c>
      <c r="E38" s="18">
        <v>0.33333333333333331</v>
      </c>
      <c r="F38" s="416">
        <v>3</v>
      </c>
      <c r="G38" s="18">
        <v>0.33333333333333331</v>
      </c>
      <c r="H38" s="416">
        <v>5</v>
      </c>
      <c r="I38" s="18">
        <v>0.55555555555555558</v>
      </c>
    </row>
    <row r="39" spans="1:9">
      <c r="A39" s="284">
        <v>45989</v>
      </c>
      <c r="B39" s="416">
        <v>5</v>
      </c>
      <c r="C39" s="18">
        <v>0.45454545454545453</v>
      </c>
      <c r="D39" s="416">
        <v>8</v>
      </c>
      <c r="E39" s="18">
        <v>0.72727272727272729</v>
      </c>
      <c r="F39" s="416">
        <v>7</v>
      </c>
      <c r="G39" s="18">
        <v>0.63636363636363635</v>
      </c>
      <c r="H39" s="416">
        <v>5</v>
      </c>
      <c r="I39" s="18">
        <v>0.45454545454545453</v>
      </c>
    </row>
    <row r="40" spans="1:9">
      <c r="A40" s="284">
        <v>45990</v>
      </c>
      <c r="B40" s="416">
        <v>3</v>
      </c>
      <c r="C40" s="18">
        <v>0.375</v>
      </c>
      <c r="D40" s="416">
        <v>6</v>
      </c>
      <c r="E40" s="18">
        <v>0.75</v>
      </c>
      <c r="F40" s="416">
        <v>3</v>
      </c>
      <c r="G40" s="18">
        <v>0.375</v>
      </c>
      <c r="H40" s="416">
        <v>2</v>
      </c>
      <c r="I40" s="18">
        <v>0.25</v>
      </c>
    </row>
    <row r="41" spans="1:9">
      <c r="A41" s="284">
        <v>45991</v>
      </c>
      <c r="B41" s="416">
        <v>5</v>
      </c>
      <c r="C41" s="18">
        <v>0.625</v>
      </c>
      <c r="D41" s="416">
        <v>5</v>
      </c>
      <c r="E41" s="18">
        <v>0.625</v>
      </c>
      <c r="F41" s="416">
        <v>5</v>
      </c>
      <c r="G41" s="18">
        <v>0.625</v>
      </c>
      <c r="H41" s="416">
        <v>6</v>
      </c>
      <c r="I41" s="18">
        <v>0.75</v>
      </c>
    </row>
    <row r="42" spans="1:9">
      <c r="A42" s="284">
        <v>45992</v>
      </c>
      <c r="B42" s="416">
        <v>7</v>
      </c>
      <c r="C42" s="18">
        <v>0.77777777777777779</v>
      </c>
      <c r="D42" s="416">
        <v>7</v>
      </c>
      <c r="E42" s="18">
        <v>0.77777777777777779</v>
      </c>
      <c r="F42" s="416">
        <v>6</v>
      </c>
      <c r="G42" s="18">
        <v>0.66666666666666663</v>
      </c>
      <c r="H42" s="416">
        <v>5</v>
      </c>
      <c r="I42" s="18">
        <v>0.55555555555555558</v>
      </c>
    </row>
    <row r="43" spans="1:9">
      <c r="A43" s="284">
        <v>45993</v>
      </c>
      <c r="B43" s="416">
        <v>5</v>
      </c>
      <c r="C43" s="18">
        <v>0.83333333333333337</v>
      </c>
      <c r="D43" s="416">
        <v>2</v>
      </c>
      <c r="E43" s="18">
        <v>0.33333333333333331</v>
      </c>
      <c r="F43" s="416">
        <v>4</v>
      </c>
      <c r="G43" s="18">
        <v>0.66666666666666663</v>
      </c>
      <c r="H43" s="416">
        <v>4</v>
      </c>
      <c r="I43" s="18">
        <v>0.66666666666666663</v>
      </c>
    </row>
    <row r="44" spans="1:9">
      <c r="A44" s="284">
        <v>45994</v>
      </c>
      <c r="B44" s="416">
        <v>3</v>
      </c>
      <c r="C44" s="18">
        <v>0.33333333333333331</v>
      </c>
      <c r="D44" s="416">
        <v>3</v>
      </c>
      <c r="E44" s="18">
        <v>0.33333333333333331</v>
      </c>
      <c r="F44" s="416">
        <v>1</v>
      </c>
      <c r="G44" s="18">
        <v>0.1111111111111111</v>
      </c>
      <c r="H44" s="416">
        <v>5</v>
      </c>
      <c r="I44" s="18">
        <v>0.55555555555555558</v>
      </c>
    </row>
    <row r="45" spans="1:9">
      <c r="A45" s="284">
        <v>45995</v>
      </c>
      <c r="B45" s="416">
        <v>4</v>
      </c>
      <c r="C45" s="18">
        <v>0.8</v>
      </c>
      <c r="D45" s="416">
        <v>0</v>
      </c>
      <c r="E45" s="18">
        <v>0</v>
      </c>
      <c r="F45" s="416">
        <v>3</v>
      </c>
      <c r="G45" s="18">
        <v>0.6</v>
      </c>
      <c r="H45" s="416">
        <v>1</v>
      </c>
      <c r="I45" s="18">
        <v>0.2</v>
      </c>
    </row>
    <row r="46" spans="1:9">
      <c r="A46" s="284">
        <v>45996</v>
      </c>
      <c r="B46" s="416">
        <v>4</v>
      </c>
      <c r="C46" s="18">
        <v>0.33333333333333331</v>
      </c>
      <c r="D46" s="416">
        <v>6</v>
      </c>
      <c r="E46" s="18">
        <v>0.5</v>
      </c>
      <c r="F46" s="416">
        <v>5</v>
      </c>
      <c r="G46" s="18">
        <v>0.41666666666666669</v>
      </c>
      <c r="H46" s="416">
        <v>6</v>
      </c>
      <c r="I46" s="18">
        <v>0.5</v>
      </c>
    </row>
    <row r="47" spans="1:9">
      <c r="A47" s="284">
        <v>45997</v>
      </c>
      <c r="B47" s="416">
        <v>2</v>
      </c>
      <c r="C47" s="18">
        <v>0.2857142857142857</v>
      </c>
      <c r="D47" s="416">
        <v>2</v>
      </c>
      <c r="E47" s="18">
        <v>0.2857142857142857</v>
      </c>
      <c r="F47" s="416">
        <v>2</v>
      </c>
      <c r="G47" s="18">
        <v>0.2857142857142857</v>
      </c>
      <c r="H47" s="416">
        <v>3</v>
      </c>
      <c r="I47" s="18">
        <v>0.42857142857142855</v>
      </c>
    </row>
    <row r="48" spans="1:9">
      <c r="A48" s="284">
        <v>45998</v>
      </c>
      <c r="B48" s="416">
        <v>4</v>
      </c>
      <c r="C48" s="18">
        <v>0.5714285714285714</v>
      </c>
      <c r="D48" s="416">
        <v>0</v>
      </c>
      <c r="E48" s="18">
        <v>0</v>
      </c>
      <c r="F48" s="416">
        <v>1</v>
      </c>
      <c r="G48" s="18">
        <v>0.14285714285714285</v>
      </c>
      <c r="H48" s="416">
        <v>2</v>
      </c>
      <c r="I48" s="18">
        <v>0.2857142857142857</v>
      </c>
    </row>
    <row r="49" spans="1:9">
      <c r="A49" s="284">
        <v>45999</v>
      </c>
      <c r="B49" s="416">
        <v>1</v>
      </c>
      <c r="C49" s="18">
        <v>0.33333333333333331</v>
      </c>
      <c r="D49" s="416">
        <v>1</v>
      </c>
      <c r="E49" s="18">
        <v>0.33333333333333331</v>
      </c>
      <c r="F49" s="416">
        <v>1</v>
      </c>
      <c r="G49" s="18">
        <v>0.33333333333333331</v>
      </c>
      <c r="H49" s="416">
        <v>0</v>
      </c>
      <c r="I49" s="18">
        <v>0</v>
      </c>
    </row>
    <row r="50" spans="1:9">
      <c r="A50" s="284">
        <v>46000</v>
      </c>
      <c r="B50" s="416">
        <v>1</v>
      </c>
      <c r="C50" s="18">
        <v>0.5</v>
      </c>
      <c r="D50" s="416">
        <v>1</v>
      </c>
      <c r="E50" s="18">
        <v>0.5</v>
      </c>
      <c r="F50" s="416">
        <v>0</v>
      </c>
      <c r="G50" s="18">
        <v>0</v>
      </c>
      <c r="H50" s="416">
        <v>0</v>
      </c>
      <c r="I50" s="18">
        <v>0</v>
      </c>
    </row>
    <row r="51" spans="1:9">
      <c r="A51" s="284">
        <v>46001</v>
      </c>
      <c r="B51" s="416">
        <v>1</v>
      </c>
      <c r="C51" s="18">
        <v>0.5</v>
      </c>
      <c r="D51" s="416">
        <v>1</v>
      </c>
      <c r="E51" s="18">
        <v>0.5</v>
      </c>
      <c r="F51" s="416">
        <v>1</v>
      </c>
      <c r="G51" s="18">
        <v>0.5</v>
      </c>
      <c r="H51" s="416">
        <v>0</v>
      </c>
      <c r="I51" s="18">
        <v>0</v>
      </c>
    </row>
    <row r="52" spans="1:9">
      <c r="A52" s="284">
        <v>46002</v>
      </c>
      <c r="B52" s="416">
        <v>2</v>
      </c>
      <c r="C52" s="18">
        <v>0.5</v>
      </c>
      <c r="D52" s="416">
        <v>2</v>
      </c>
      <c r="E52" s="18">
        <v>0.5</v>
      </c>
      <c r="F52" s="416">
        <v>1</v>
      </c>
      <c r="G52" s="18">
        <v>0.25</v>
      </c>
      <c r="H52" s="416">
        <v>3</v>
      </c>
      <c r="I52" s="18">
        <v>0.75</v>
      </c>
    </row>
    <row r="53" spans="1:9">
      <c r="A53" s="284">
        <v>46003</v>
      </c>
      <c r="B53" s="416">
        <v>4</v>
      </c>
      <c r="C53" s="18">
        <v>0.5714285714285714</v>
      </c>
      <c r="D53" s="416">
        <v>4</v>
      </c>
      <c r="E53" s="18">
        <v>0.5714285714285714</v>
      </c>
      <c r="F53" s="416">
        <v>4</v>
      </c>
      <c r="G53" s="18">
        <v>0.5714285714285714</v>
      </c>
      <c r="H53" s="416">
        <v>4</v>
      </c>
      <c r="I53" s="18">
        <v>0.5714285714285714</v>
      </c>
    </row>
    <row r="54" spans="1:9">
      <c r="A54" s="284">
        <v>46004</v>
      </c>
      <c r="B54" s="416">
        <v>2</v>
      </c>
      <c r="C54" s="18">
        <v>1</v>
      </c>
      <c r="D54" s="416">
        <v>1</v>
      </c>
      <c r="E54" s="18">
        <v>0.5</v>
      </c>
      <c r="F54" s="416">
        <v>2</v>
      </c>
      <c r="G54" s="18">
        <v>1</v>
      </c>
      <c r="H54" s="416">
        <v>1</v>
      </c>
      <c r="I54" s="18">
        <v>0.5</v>
      </c>
    </row>
    <row r="55" spans="1:9">
      <c r="A55" s="284">
        <v>46005</v>
      </c>
      <c r="B55" s="416">
        <v>3</v>
      </c>
      <c r="C55" s="18">
        <v>0.375</v>
      </c>
      <c r="D55" s="416">
        <v>5</v>
      </c>
      <c r="E55" s="18">
        <v>0.625</v>
      </c>
      <c r="F55" s="416">
        <v>4</v>
      </c>
      <c r="G55" s="18">
        <v>0.5</v>
      </c>
      <c r="H55" s="416">
        <v>3</v>
      </c>
      <c r="I55" s="18">
        <v>0.375</v>
      </c>
    </row>
    <row r="56" spans="1:9">
      <c r="A56" s="284">
        <v>46006</v>
      </c>
      <c r="B56" s="416">
        <v>3</v>
      </c>
      <c r="C56" s="18">
        <v>0.6</v>
      </c>
      <c r="D56" s="416">
        <v>2</v>
      </c>
      <c r="E56" s="18">
        <v>0.4</v>
      </c>
      <c r="F56" s="416">
        <v>2</v>
      </c>
      <c r="G56" s="18">
        <v>0.4</v>
      </c>
      <c r="H56" s="416">
        <v>4</v>
      </c>
      <c r="I56" s="18">
        <v>0.8</v>
      </c>
    </row>
    <row r="57" spans="1:9">
      <c r="A57" s="284">
        <v>46007</v>
      </c>
      <c r="B57" s="416">
        <v>1</v>
      </c>
      <c r="C57" s="18">
        <v>1</v>
      </c>
      <c r="D57" s="416">
        <v>1</v>
      </c>
      <c r="E57" s="18">
        <v>1</v>
      </c>
      <c r="F57" s="416">
        <v>1</v>
      </c>
      <c r="G57" s="18">
        <v>1</v>
      </c>
      <c r="H57" s="416">
        <v>1</v>
      </c>
      <c r="I57" s="18">
        <v>1</v>
      </c>
    </row>
    <row r="58" spans="1:9">
      <c r="A58" s="284">
        <v>46008</v>
      </c>
      <c r="B58" s="416">
        <v>0</v>
      </c>
      <c r="C58" s="18">
        <v>0</v>
      </c>
      <c r="D58" s="416">
        <v>0</v>
      </c>
      <c r="E58" s="18">
        <v>0</v>
      </c>
      <c r="F58" s="416">
        <v>0</v>
      </c>
      <c r="G58" s="18">
        <v>0</v>
      </c>
      <c r="H58" s="416">
        <v>0</v>
      </c>
      <c r="I58" s="18">
        <v>0</v>
      </c>
    </row>
    <row r="59" spans="1:9">
      <c r="A59" s="284">
        <v>46009</v>
      </c>
      <c r="B59" s="416">
        <v>5</v>
      </c>
      <c r="C59" s="18">
        <v>0.41666666666666669</v>
      </c>
      <c r="D59" s="416">
        <v>3</v>
      </c>
      <c r="E59" s="18">
        <v>0.25</v>
      </c>
      <c r="F59" s="416">
        <v>5</v>
      </c>
      <c r="G59" s="18">
        <v>0.41666666666666669</v>
      </c>
      <c r="H59" s="416">
        <v>7</v>
      </c>
      <c r="I59" s="18">
        <v>0.58333333333333337</v>
      </c>
    </row>
    <row r="60" spans="1:9">
      <c r="A60" s="284">
        <v>46010</v>
      </c>
      <c r="B60" s="416">
        <v>2</v>
      </c>
      <c r="C60" s="18">
        <v>0.4</v>
      </c>
      <c r="D60" s="416">
        <v>1</v>
      </c>
      <c r="E60" s="18">
        <v>0.2</v>
      </c>
      <c r="F60" s="416">
        <v>2</v>
      </c>
      <c r="G60" s="18">
        <v>0.4</v>
      </c>
      <c r="H60" s="416">
        <v>1</v>
      </c>
      <c r="I60" s="18">
        <v>0.2</v>
      </c>
    </row>
    <row r="61" spans="1:9">
      <c r="A61" s="284">
        <v>46011</v>
      </c>
      <c r="B61" s="416">
        <v>4</v>
      </c>
      <c r="C61" s="18">
        <v>0.4</v>
      </c>
      <c r="D61" s="416">
        <v>2</v>
      </c>
      <c r="E61" s="18">
        <v>0.2</v>
      </c>
      <c r="F61" s="416">
        <v>3</v>
      </c>
      <c r="G61" s="18">
        <v>0.3</v>
      </c>
      <c r="H61" s="416">
        <v>6</v>
      </c>
      <c r="I61" s="18">
        <v>0.6</v>
      </c>
    </row>
    <row r="62" spans="1:9">
      <c r="A62" s="284">
        <v>46012</v>
      </c>
      <c r="B62" s="416">
        <v>3</v>
      </c>
      <c r="C62" s="18">
        <v>0.5</v>
      </c>
      <c r="D62" s="416">
        <v>3</v>
      </c>
      <c r="E62" s="18">
        <v>0.5</v>
      </c>
      <c r="F62" s="416">
        <v>3</v>
      </c>
      <c r="G62" s="18">
        <v>0.5</v>
      </c>
      <c r="H62" s="416">
        <v>2</v>
      </c>
      <c r="I62" s="18">
        <v>0.33333333333333331</v>
      </c>
    </row>
    <row r="63" spans="1:9">
      <c r="A63" s="284">
        <v>46013</v>
      </c>
      <c r="B63" s="416">
        <v>1</v>
      </c>
      <c r="C63" s="18">
        <v>0.14285714285714285</v>
      </c>
      <c r="D63" s="416">
        <v>2</v>
      </c>
      <c r="E63" s="18">
        <v>0.2857142857142857</v>
      </c>
      <c r="F63" s="416">
        <v>1</v>
      </c>
      <c r="G63" s="18">
        <v>0.14285714285714285</v>
      </c>
      <c r="H63" s="416">
        <v>6</v>
      </c>
      <c r="I63" s="18">
        <v>0.8571428571428571</v>
      </c>
    </row>
    <row r="64" spans="1:9">
      <c r="A64" s="284">
        <v>46014</v>
      </c>
      <c r="B64" s="416">
        <v>7</v>
      </c>
      <c r="C64" s="18">
        <v>0.5</v>
      </c>
      <c r="D64" s="416">
        <v>8</v>
      </c>
      <c r="E64" s="18">
        <v>0.5714285714285714</v>
      </c>
      <c r="F64" s="416">
        <v>6</v>
      </c>
      <c r="G64" s="18">
        <v>0.42857142857142855</v>
      </c>
      <c r="H64" s="416">
        <v>7</v>
      </c>
      <c r="I64" s="18">
        <v>0.5</v>
      </c>
    </row>
    <row r="65" spans="1:9">
      <c r="A65" s="284">
        <v>46016</v>
      </c>
      <c r="B65" s="416">
        <v>3</v>
      </c>
      <c r="C65" s="18">
        <v>0.6</v>
      </c>
      <c r="D65" s="416">
        <v>1</v>
      </c>
      <c r="E65" s="18">
        <v>0.2</v>
      </c>
      <c r="F65" s="416">
        <v>1</v>
      </c>
      <c r="G65" s="18">
        <v>0.2</v>
      </c>
      <c r="H65" s="416">
        <v>2</v>
      </c>
      <c r="I65" s="18">
        <v>0.4</v>
      </c>
    </row>
    <row r="66" spans="1:9">
      <c r="A66" s="284">
        <v>46017</v>
      </c>
      <c r="B66" s="416">
        <v>4</v>
      </c>
      <c r="C66" s="18">
        <v>0.44444444444444442</v>
      </c>
      <c r="D66" s="416">
        <v>4</v>
      </c>
      <c r="E66" s="18">
        <v>0.44444444444444442</v>
      </c>
      <c r="F66" s="416">
        <v>4</v>
      </c>
      <c r="G66" s="18">
        <v>0.44444444444444442</v>
      </c>
      <c r="H66" s="416">
        <v>6</v>
      </c>
      <c r="I66" s="18">
        <v>0.66666666666666663</v>
      </c>
    </row>
    <row r="67" spans="1:9">
      <c r="A67" s="284">
        <v>46018</v>
      </c>
      <c r="B67" s="416">
        <v>5</v>
      </c>
      <c r="C67" s="18">
        <v>0.55555555555555558</v>
      </c>
      <c r="D67" s="416">
        <v>3</v>
      </c>
      <c r="E67" s="18">
        <v>0.33333333333333331</v>
      </c>
      <c r="F67" s="416">
        <v>4</v>
      </c>
      <c r="G67" s="18">
        <v>0.44444444444444442</v>
      </c>
      <c r="H67" s="416">
        <v>0</v>
      </c>
      <c r="I67" s="18">
        <v>0</v>
      </c>
    </row>
    <row r="68" spans="1:9">
      <c r="A68" s="284">
        <v>46019</v>
      </c>
      <c r="B68" s="416">
        <v>1</v>
      </c>
      <c r="C68" s="18">
        <v>0.16666666666666666</v>
      </c>
      <c r="D68" s="416">
        <v>4</v>
      </c>
      <c r="E68" s="18">
        <v>0.66666666666666663</v>
      </c>
      <c r="F68" s="416">
        <v>1</v>
      </c>
      <c r="G68" s="18">
        <v>0.16666666666666666</v>
      </c>
      <c r="H68" s="416">
        <v>4</v>
      </c>
      <c r="I68" s="18">
        <v>0.66666666666666663</v>
      </c>
    </row>
    <row r="69" spans="1:9">
      <c r="A69" s="284">
        <v>46020</v>
      </c>
      <c r="B69" s="416">
        <v>7</v>
      </c>
      <c r="C69" s="18">
        <v>0.63636363636363635</v>
      </c>
      <c r="D69" s="416">
        <v>4</v>
      </c>
      <c r="E69" s="18">
        <v>0.36363636363636365</v>
      </c>
      <c r="F69" s="416">
        <v>7</v>
      </c>
      <c r="G69" s="18">
        <v>0.63636363636363635</v>
      </c>
      <c r="H69" s="416">
        <v>6</v>
      </c>
      <c r="I69" s="18">
        <v>0.54545454545454541</v>
      </c>
    </row>
    <row r="70" spans="1:9">
      <c r="A70" s="284">
        <v>46021</v>
      </c>
      <c r="B70" s="416">
        <v>3</v>
      </c>
      <c r="C70" s="18">
        <v>0.75</v>
      </c>
      <c r="D70" s="416">
        <v>2</v>
      </c>
      <c r="E70" s="18">
        <v>0.5</v>
      </c>
      <c r="F70" s="416">
        <v>3</v>
      </c>
      <c r="G70" s="18">
        <v>0.75</v>
      </c>
      <c r="H70" s="416">
        <v>3</v>
      </c>
      <c r="I70" s="18">
        <v>0.75</v>
      </c>
    </row>
    <row r="71" spans="1:9">
      <c r="A71" s="284">
        <v>46022</v>
      </c>
      <c r="B71" s="416">
        <v>3</v>
      </c>
      <c r="C71" s="18">
        <v>0.33333333333333331</v>
      </c>
      <c r="D71" s="416">
        <v>4</v>
      </c>
      <c r="E71" s="18">
        <v>0.44444444444444442</v>
      </c>
      <c r="F71" s="416">
        <v>4</v>
      </c>
      <c r="G71" s="18">
        <v>0.44444444444444442</v>
      </c>
      <c r="H71" s="416">
        <v>5</v>
      </c>
      <c r="I71" s="18">
        <v>0.55555555555555558</v>
      </c>
    </row>
    <row r="72" spans="1:9">
      <c r="A72" s="284">
        <v>46023</v>
      </c>
      <c r="B72" s="416">
        <v>2</v>
      </c>
      <c r="C72" s="18">
        <v>0.4</v>
      </c>
      <c r="D72" s="416">
        <v>0</v>
      </c>
      <c r="E72" s="18">
        <v>0</v>
      </c>
      <c r="F72" s="416">
        <v>1</v>
      </c>
      <c r="G72" s="18">
        <v>0.2</v>
      </c>
      <c r="H72" s="416">
        <v>3</v>
      </c>
      <c r="I72" s="18">
        <v>0.6</v>
      </c>
    </row>
    <row r="73" spans="1:9">
      <c r="A73" s="284">
        <v>46024</v>
      </c>
      <c r="B73" s="416">
        <v>4</v>
      </c>
      <c r="C73" s="18">
        <v>0.4</v>
      </c>
      <c r="D73" s="416">
        <v>5</v>
      </c>
      <c r="E73" s="18">
        <v>0.5</v>
      </c>
      <c r="F73" s="416">
        <v>4</v>
      </c>
      <c r="G73" s="18">
        <v>0.4</v>
      </c>
      <c r="H73" s="416">
        <v>5</v>
      </c>
      <c r="I73" s="18">
        <v>0.5</v>
      </c>
    </row>
    <row r="74" spans="1:9">
      <c r="A74" s="284">
        <v>46025</v>
      </c>
      <c r="B74" s="416">
        <v>4</v>
      </c>
      <c r="C74" s="18">
        <v>0.5</v>
      </c>
      <c r="D74" s="416">
        <v>2</v>
      </c>
      <c r="E74" s="18">
        <v>0.25</v>
      </c>
      <c r="F74" s="416">
        <v>2</v>
      </c>
      <c r="G74" s="18">
        <v>0.25</v>
      </c>
      <c r="H74" s="416">
        <v>4</v>
      </c>
      <c r="I74" s="18">
        <v>0.5</v>
      </c>
    </row>
    <row r="75" spans="1:9">
      <c r="A75" s="284">
        <v>46026</v>
      </c>
      <c r="B75" s="416">
        <v>3</v>
      </c>
      <c r="C75" s="18">
        <v>0.375</v>
      </c>
      <c r="D75" s="416">
        <v>3</v>
      </c>
      <c r="E75" s="18">
        <v>0.375</v>
      </c>
      <c r="F75" s="416">
        <v>4</v>
      </c>
      <c r="G75" s="18">
        <v>0.5</v>
      </c>
      <c r="H75" s="416">
        <v>5</v>
      </c>
      <c r="I75" s="18">
        <v>0.625</v>
      </c>
    </row>
    <row r="76" spans="1:9">
      <c r="A76" s="284">
        <v>46027</v>
      </c>
      <c r="B76" s="416">
        <v>3</v>
      </c>
      <c r="C76" s="18">
        <v>0.375</v>
      </c>
      <c r="D76" s="416">
        <v>2</v>
      </c>
      <c r="E76" s="18">
        <v>0.25</v>
      </c>
      <c r="F76" s="416">
        <v>2</v>
      </c>
      <c r="G76" s="18">
        <v>0.25</v>
      </c>
      <c r="H76" s="416">
        <v>4</v>
      </c>
      <c r="I76" s="18">
        <v>0.5</v>
      </c>
    </row>
    <row r="77" spans="1:9">
      <c r="A77" s="284">
        <v>46028</v>
      </c>
      <c r="B77" s="416">
        <v>0</v>
      </c>
      <c r="C77" s="18">
        <v>0</v>
      </c>
      <c r="D77" s="416">
        <v>1</v>
      </c>
      <c r="E77" s="18">
        <v>0.16666666666666666</v>
      </c>
      <c r="F77" s="416">
        <v>0</v>
      </c>
      <c r="G77" s="18">
        <v>0</v>
      </c>
      <c r="H77" s="416">
        <v>4</v>
      </c>
      <c r="I77" s="18">
        <v>0.66666666666666663</v>
      </c>
    </row>
    <row r="78" spans="1:9">
      <c r="A78" s="284">
        <v>46029</v>
      </c>
      <c r="B78" s="416">
        <v>1</v>
      </c>
      <c r="C78" s="18">
        <v>8.3333333333333329E-2</v>
      </c>
      <c r="D78" s="416">
        <v>1</v>
      </c>
      <c r="E78" s="18">
        <v>8.3333333333333329E-2</v>
      </c>
      <c r="F78" s="416">
        <v>1</v>
      </c>
      <c r="G78" s="18">
        <v>8.3333333333333329E-2</v>
      </c>
      <c r="H78" s="416">
        <v>8</v>
      </c>
      <c r="I78" s="18">
        <v>0.66666666666666663</v>
      </c>
    </row>
    <row r="79" spans="1:9">
      <c r="A79" s="284">
        <v>46030</v>
      </c>
      <c r="B79" s="416">
        <v>1</v>
      </c>
      <c r="C79" s="18">
        <v>0.33333333333333331</v>
      </c>
      <c r="D79" s="416">
        <v>1</v>
      </c>
      <c r="E79" s="18">
        <v>0.33333333333333331</v>
      </c>
      <c r="F79" s="416">
        <v>1</v>
      </c>
      <c r="G79" s="18">
        <v>0.33333333333333331</v>
      </c>
      <c r="H79" s="416">
        <v>3</v>
      </c>
      <c r="I79" s="18">
        <v>1</v>
      </c>
    </row>
    <row r="80" spans="1:9">
      <c r="A80" s="284">
        <v>46031</v>
      </c>
      <c r="B80" s="416">
        <v>3</v>
      </c>
      <c r="C80" s="18">
        <v>0.3</v>
      </c>
      <c r="D80" s="416">
        <v>3</v>
      </c>
      <c r="E80" s="18">
        <v>0.3</v>
      </c>
      <c r="F80" s="416">
        <v>1</v>
      </c>
      <c r="G80" s="18">
        <v>0.1</v>
      </c>
      <c r="H80" s="416">
        <v>3</v>
      </c>
      <c r="I80" s="18">
        <v>0.3</v>
      </c>
    </row>
    <row r="81" spans="1:9">
      <c r="A81" s="284">
        <v>46032</v>
      </c>
      <c r="B81" s="416">
        <v>2</v>
      </c>
      <c r="C81" s="18">
        <v>0.33333333333333331</v>
      </c>
      <c r="D81" s="416">
        <v>3</v>
      </c>
      <c r="E81" s="18">
        <v>0.5</v>
      </c>
      <c r="F81" s="416">
        <v>2</v>
      </c>
      <c r="G81" s="18">
        <v>0.33333333333333331</v>
      </c>
      <c r="H81" s="416">
        <v>0</v>
      </c>
      <c r="I81" s="18">
        <v>0</v>
      </c>
    </row>
    <row r="82" spans="1:9">
      <c r="A82" s="284">
        <v>46033</v>
      </c>
      <c r="B82" s="416">
        <v>3</v>
      </c>
      <c r="C82" s="18">
        <v>0.3</v>
      </c>
      <c r="D82" s="416">
        <v>3</v>
      </c>
      <c r="E82" s="18">
        <v>0.3</v>
      </c>
      <c r="F82" s="416">
        <v>2</v>
      </c>
      <c r="G82" s="18">
        <v>0.2</v>
      </c>
      <c r="H82" s="416">
        <v>7</v>
      </c>
      <c r="I82" s="18">
        <v>0.7</v>
      </c>
    </row>
    <row r="83" spans="1:9">
      <c r="A83" s="284">
        <v>46034</v>
      </c>
      <c r="B83" s="416">
        <v>1</v>
      </c>
      <c r="C83" s="18">
        <v>0.16666666666666666</v>
      </c>
      <c r="D83" s="416">
        <v>1</v>
      </c>
      <c r="E83" s="18">
        <v>0.16666666666666666</v>
      </c>
      <c r="F83" s="416">
        <v>1</v>
      </c>
      <c r="G83" s="18">
        <v>0.16666666666666666</v>
      </c>
      <c r="H83" s="416">
        <v>4</v>
      </c>
      <c r="I83" s="18">
        <v>0.66666666666666663</v>
      </c>
    </row>
    <row r="84" spans="1:9">
      <c r="A84" s="284">
        <v>46035</v>
      </c>
      <c r="B84" s="416">
        <v>2</v>
      </c>
      <c r="C84" s="18">
        <v>0.2857142857142857</v>
      </c>
      <c r="D84" s="416">
        <v>2</v>
      </c>
      <c r="E84" s="18">
        <v>0.2857142857142857</v>
      </c>
      <c r="F84" s="416">
        <v>3</v>
      </c>
      <c r="G84" s="18">
        <v>0.42857142857142855</v>
      </c>
      <c r="H84" s="416">
        <v>4</v>
      </c>
      <c r="I84" s="18">
        <v>0.5714285714285714</v>
      </c>
    </row>
    <row r="85" spans="1:9">
      <c r="A85" s="284">
        <v>46036</v>
      </c>
      <c r="B85" s="416">
        <v>3</v>
      </c>
      <c r="C85" s="18">
        <v>0.42857142857142855</v>
      </c>
      <c r="D85" s="416">
        <v>1</v>
      </c>
      <c r="E85" s="18">
        <v>0.14285714285714285</v>
      </c>
      <c r="F85" s="416">
        <v>3</v>
      </c>
      <c r="G85" s="18">
        <v>0.42857142857142855</v>
      </c>
      <c r="H85" s="416">
        <v>6</v>
      </c>
      <c r="I85" s="18">
        <v>0.8571428571428571</v>
      </c>
    </row>
    <row r="86" spans="1:9">
      <c r="A86" s="284">
        <v>46037</v>
      </c>
      <c r="B86" s="416">
        <v>3</v>
      </c>
      <c r="C86" s="18">
        <v>0.33333333333333331</v>
      </c>
      <c r="D86" s="416">
        <v>5</v>
      </c>
      <c r="E86" s="18">
        <v>0.55555555555555558</v>
      </c>
      <c r="F86" s="416">
        <v>3</v>
      </c>
      <c r="G86" s="18">
        <v>0.33333333333333331</v>
      </c>
      <c r="H86" s="416">
        <v>3</v>
      </c>
      <c r="I86" s="18">
        <v>0.33333333333333331</v>
      </c>
    </row>
    <row r="87" spans="1:9">
      <c r="A87" s="284">
        <v>46038</v>
      </c>
      <c r="B87" s="416">
        <v>3</v>
      </c>
      <c r="C87" s="18">
        <v>0.5</v>
      </c>
      <c r="D87" s="416">
        <v>2</v>
      </c>
      <c r="E87" s="18">
        <v>0.33333333333333331</v>
      </c>
      <c r="F87" s="416">
        <v>3</v>
      </c>
      <c r="G87" s="18">
        <v>0.5</v>
      </c>
      <c r="H87" s="416">
        <v>3</v>
      </c>
      <c r="I87" s="18">
        <v>0.5</v>
      </c>
    </row>
    <row r="88" spans="1:9">
      <c r="A88" s="284">
        <v>46039</v>
      </c>
      <c r="B88" s="416">
        <v>4</v>
      </c>
      <c r="C88" s="18">
        <v>0.44444444444444442</v>
      </c>
      <c r="D88" s="416">
        <v>4</v>
      </c>
      <c r="E88" s="18">
        <v>0.44444444444444442</v>
      </c>
      <c r="F88" s="416">
        <v>5</v>
      </c>
      <c r="G88" s="18">
        <v>0.55555555555555558</v>
      </c>
      <c r="H88" s="416">
        <v>4</v>
      </c>
      <c r="I88" s="18">
        <v>0.44444444444444442</v>
      </c>
    </row>
    <row r="89" spans="1:9">
      <c r="A89" s="284">
        <v>46040</v>
      </c>
      <c r="B89" s="416">
        <v>1</v>
      </c>
      <c r="C89" s="18">
        <v>0.16666666666666666</v>
      </c>
      <c r="D89" s="416">
        <v>2</v>
      </c>
      <c r="E89" s="18">
        <v>0.33333333333333331</v>
      </c>
      <c r="F89" s="416">
        <v>0</v>
      </c>
      <c r="G89" s="18">
        <v>0</v>
      </c>
      <c r="H89" s="416">
        <v>3</v>
      </c>
      <c r="I89" s="18">
        <v>0.5</v>
      </c>
    </row>
    <row r="90" spans="1:9">
      <c r="A90" s="284">
        <v>46041</v>
      </c>
      <c r="B90" s="416">
        <v>2</v>
      </c>
      <c r="C90" s="18">
        <v>0.22222222222222221</v>
      </c>
      <c r="D90" s="416">
        <v>2</v>
      </c>
      <c r="E90" s="18">
        <v>0.22222222222222221</v>
      </c>
      <c r="F90" s="416">
        <v>3</v>
      </c>
      <c r="G90" s="18">
        <v>0.33333333333333331</v>
      </c>
      <c r="H90" s="416">
        <v>6</v>
      </c>
      <c r="I90" s="18">
        <v>0.66666666666666663</v>
      </c>
    </row>
    <row r="91" spans="1:9">
      <c r="A91" s="284">
        <v>46042</v>
      </c>
      <c r="B91" s="416">
        <v>3</v>
      </c>
      <c r="C91" s="18">
        <v>0.42857142857142855</v>
      </c>
      <c r="D91" s="416">
        <v>1</v>
      </c>
      <c r="E91" s="18">
        <v>0.14285714285714285</v>
      </c>
      <c r="F91" s="416">
        <v>3</v>
      </c>
      <c r="G91" s="18">
        <v>0.42857142857142855</v>
      </c>
      <c r="H91" s="416">
        <v>4</v>
      </c>
      <c r="I91" s="18">
        <v>0.5714285714285714</v>
      </c>
    </row>
    <row r="92" spans="1:9">
      <c r="A92" s="284">
        <v>46043</v>
      </c>
      <c r="B92" s="416">
        <v>3</v>
      </c>
      <c r="C92" s="18">
        <v>0.42857142857142855</v>
      </c>
      <c r="D92" s="416">
        <v>0</v>
      </c>
      <c r="E92" s="18">
        <v>0</v>
      </c>
      <c r="F92" s="416">
        <v>1</v>
      </c>
      <c r="G92" s="18">
        <v>0.14285714285714285</v>
      </c>
      <c r="H92" s="416">
        <v>4</v>
      </c>
      <c r="I92" s="18">
        <v>0.5714285714285714</v>
      </c>
    </row>
    <row r="93" spans="1:9">
      <c r="A93" s="284">
        <v>46044</v>
      </c>
      <c r="B93" s="416">
        <v>4</v>
      </c>
      <c r="C93" s="18">
        <v>0.5</v>
      </c>
      <c r="D93" s="416">
        <v>2</v>
      </c>
      <c r="E93" s="18">
        <v>0.25</v>
      </c>
      <c r="F93" s="416">
        <v>3</v>
      </c>
      <c r="G93" s="18">
        <v>0.375</v>
      </c>
      <c r="H93" s="416">
        <v>5</v>
      </c>
      <c r="I93" s="18">
        <v>0.625</v>
      </c>
    </row>
    <row r="94" spans="1:9">
      <c r="A94" s="284">
        <v>46045</v>
      </c>
      <c r="B94" s="416">
        <v>5</v>
      </c>
      <c r="C94" s="18">
        <v>0.625</v>
      </c>
      <c r="D94" s="416">
        <v>3</v>
      </c>
      <c r="E94" s="18">
        <v>0.375</v>
      </c>
      <c r="F94" s="416">
        <v>3</v>
      </c>
      <c r="G94" s="18">
        <v>0.375</v>
      </c>
      <c r="H94" s="416">
        <v>4</v>
      </c>
      <c r="I94" s="18">
        <v>0.5</v>
      </c>
    </row>
    <row r="95" spans="1:9">
      <c r="A95" s="284">
        <v>46046</v>
      </c>
      <c r="B95" s="416">
        <v>4</v>
      </c>
      <c r="C95" s="18">
        <v>0.66666666666666663</v>
      </c>
      <c r="D95" s="416">
        <v>2</v>
      </c>
      <c r="E95" s="18">
        <v>0.33333333333333331</v>
      </c>
      <c r="F95" s="416">
        <v>2</v>
      </c>
      <c r="G95" s="18">
        <v>0.33333333333333331</v>
      </c>
      <c r="H95" s="416">
        <v>2</v>
      </c>
      <c r="I95" s="18">
        <v>0.33333333333333331</v>
      </c>
    </row>
    <row r="96" spans="1:9">
      <c r="A96" s="284">
        <v>46047</v>
      </c>
      <c r="B96" s="416">
        <v>1</v>
      </c>
      <c r="C96" s="18">
        <v>0.16666666666666666</v>
      </c>
      <c r="D96" s="416">
        <v>2</v>
      </c>
      <c r="E96" s="18">
        <v>0.33333333333333331</v>
      </c>
      <c r="F96" s="416">
        <v>1</v>
      </c>
      <c r="G96" s="18">
        <v>0.16666666666666666</v>
      </c>
      <c r="H96" s="416">
        <v>2</v>
      </c>
      <c r="I96" s="18">
        <v>0.33333333333333331</v>
      </c>
    </row>
    <row r="97" spans="1:9">
      <c r="A97" s="284">
        <v>46048</v>
      </c>
      <c r="B97" s="416">
        <v>2</v>
      </c>
      <c r="C97" s="18">
        <v>0.2857142857142857</v>
      </c>
      <c r="D97" s="416">
        <v>2</v>
      </c>
      <c r="E97" s="18">
        <v>0.2857142857142857</v>
      </c>
      <c r="F97" s="416">
        <v>2</v>
      </c>
      <c r="G97" s="18">
        <v>0.2857142857142857</v>
      </c>
      <c r="H97" s="416">
        <v>5</v>
      </c>
      <c r="I97" s="18">
        <v>0.7142857142857143</v>
      </c>
    </row>
    <row r="98" spans="1:9">
      <c r="A98" s="284">
        <v>46049</v>
      </c>
      <c r="B98" s="416">
        <v>1</v>
      </c>
      <c r="C98" s="18">
        <v>0.14285714285714285</v>
      </c>
      <c r="D98" s="416">
        <v>2</v>
      </c>
      <c r="E98" s="18">
        <v>0.2857142857142857</v>
      </c>
      <c r="F98" s="416">
        <v>1</v>
      </c>
      <c r="G98" s="18">
        <v>0.14285714285714285</v>
      </c>
      <c r="H98" s="416">
        <v>4</v>
      </c>
      <c r="I98" s="18">
        <v>0.5714285714285714</v>
      </c>
    </row>
    <row r="99" spans="1:9">
      <c r="A99" s="284">
        <v>46050</v>
      </c>
      <c r="B99" s="416">
        <v>5</v>
      </c>
      <c r="C99" s="18">
        <v>0.55555555555555558</v>
      </c>
      <c r="D99" s="416">
        <v>3</v>
      </c>
      <c r="E99" s="18">
        <v>0.33333333333333331</v>
      </c>
      <c r="F99" s="416">
        <v>2</v>
      </c>
      <c r="G99" s="18">
        <v>0.22222222222222221</v>
      </c>
      <c r="H99" s="416">
        <v>4</v>
      </c>
      <c r="I99" s="18">
        <v>0.44444444444444442</v>
      </c>
    </row>
    <row r="100" spans="1:9">
      <c r="A100" s="284">
        <v>46051</v>
      </c>
      <c r="B100" s="416">
        <v>3</v>
      </c>
      <c r="C100" s="18">
        <v>0.375</v>
      </c>
      <c r="D100" s="416">
        <v>2</v>
      </c>
      <c r="E100" s="18">
        <v>0.25</v>
      </c>
      <c r="F100" s="416">
        <v>2</v>
      </c>
      <c r="G100" s="18">
        <v>0.25</v>
      </c>
      <c r="H100" s="416">
        <v>3</v>
      </c>
      <c r="I100" s="18">
        <v>0.375</v>
      </c>
    </row>
    <row r="101" spans="1:9">
      <c r="A101" s="284">
        <v>46052</v>
      </c>
      <c r="B101" s="416">
        <v>3</v>
      </c>
      <c r="C101" s="18">
        <v>0.33333333333333331</v>
      </c>
      <c r="D101" s="416">
        <v>5</v>
      </c>
      <c r="E101" s="18">
        <v>0.55555555555555558</v>
      </c>
      <c r="F101" s="416">
        <v>5</v>
      </c>
      <c r="G101" s="18">
        <v>0.55555555555555558</v>
      </c>
      <c r="H101" s="416">
        <v>5</v>
      </c>
      <c r="I101" s="18">
        <v>0.55555555555555558</v>
      </c>
    </row>
    <row r="102" spans="1:9">
      <c r="A102" s="284">
        <v>46053</v>
      </c>
      <c r="B102" s="416">
        <v>4</v>
      </c>
      <c r="C102" s="18">
        <v>0.66666666666666663</v>
      </c>
      <c r="D102" s="416">
        <v>2</v>
      </c>
      <c r="E102" s="18">
        <v>0.33333333333333331</v>
      </c>
      <c r="F102" s="416">
        <v>4</v>
      </c>
      <c r="G102" s="18">
        <v>0.66666666666666663</v>
      </c>
      <c r="H102" s="416">
        <v>4</v>
      </c>
      <c r="I102" s="18">
        <v>0.66666666666666663</v>
      </c>
    </row>
    <row r="103" spans="1:9">
      <c r="A103" s="284">
        <v>46054</v>
      </c>
      <c r="B103" s="416">
        <v>3</v>
      </c>
      <c r="C103" s="18">
        <v>0.3</v>
      </c>
      <c r="D103" s="416">
        <v>2</v>
      </c>
      <c r="E103" s="18">
        <v>0.2</v>
      </c>
      <c r="F103" s="416">
        <v>2</v>
      </c>
      <c r="G103" s="18">
        <v>0.2</v>
      </c>
      <c r="H103" s="416">
        <v>7</v>
      </c>
      <c r="I103" s="18">
        <v>0.7</v>
      </c>
    </row>
    <row r="104" spans="1:9">
      <c r="A104" s="284">
        <v>46055</v>
      </c>
      <c r="B104" s="416">
        <v>2</v>
      </c>
      <c r="C104" s="18">
        <v>0.5</v>
      </c>
      <c r="D104" s="416">
        <v>2</v>
      </c>
      <c r="E104" s="18">
        <v>0.5</v>
      </c>
      <c r="F104" s="416">
        <v>3</v>
      </c>
      <c r="G104" s="18">
        <v>0.75</v>
      </c>
      <c r="H104" s="416">
        <v>2</v>
      </c>
      <c r="I104" s="18">
        <v>0.5</v>
      </c>
    </row>
    <row r="105" spans="1:9">
      <c r="A105" s="284">
        <v>46056</v>
      </c>
      <c r="B105" s="416">
        <v>7</v>
      </c>
      <c r="C105" s="18">
        <v>0.7</v>
      </c>
      <c r="D105" s="416">
        <v>5</v>
      </c>
      <c r="E105" s="18">
        <v>0.5</v>
      </c>
      <c r="F105" s="416">
        <v>6</v>
      </c>
      <c r="G105" s="18">
        <v>0.6</v>
      </c>
      <c r="H105" s="416">
        <v>7</v>
      </c>
      <c r="I105" s="18">
        <v>0.7</v>
      </c>
    </row>
    <row r="106" spans="1:9">
      <c r="A106" s="284">
        <v>46057</v>
      </c>
      <c r="B106" s="416">
        <v>6</v>
      </c>
      <c r="C106" s="18">
        <v>0.8571428571428571</v>
      </c>
      <c r="D106" s="416">
        <v>5</v>
      </c>
      <c r="E106" s="18">
        <v>0.7142857142857143</v>
      </c>
      <c r="F106" s="416">
        <v>4</v>
      </c>
      <c r="G106" s="18">
        <v>0.5714285714285714</v>
      </c>
      <c r="H106" s="416">
        <v>3</v>
      </c>
      <c r="I106" s="18">
        <v>0.42857142857142855</v>
      </c>
    </row>
    <row r="107" spans="1:9">
      <c r="A107" s="284">
        <v>46058</v>
      </c>
      <c r="B107" s="416">
        <v>5</v>
      </c>
      <c r="C107" s="18">
        <v>0.625</v>
      </c>
      <c r="D107" s="416">
        <v>5</v>
      </c>
      <c r="E107" s="18">
        <v>0.625</v>
      </c>
      <c r="F107" s="416">
        <v>6</v>
      </c>
      <c r="G107" s="18">
        <v>0.75</v>
      </c>
      <c r="H107" s="416">
        <v>4</v>
      </c>
      <c r="I107" s="18">
        <v>0.5</v>
      </c>
    </row>
    <row r="108" spans="1:9">
      <c r="A108" s="284">
        <v>46059</v>
      </c>
      <c r="B108" s="416">
        <v>1</v>
      </c>
      <c r="C108" s="18">
        <v>0.16666666666666666</v>
      </c>
      <c r="D108" s="416">
        <v>2</v>
      </c>
      <c r="E108" s="18">
        <v>0.33333333333333331</v>
      </c>
      <c r="F108" s="416">
        <v>2</v>
      </c>
      <c r="G108" s="18">
        <v>0.33333333333333331</v>
      </c>
      <c r="H108" s="416">
        <v>4</v>
      </c>
      <c r="I108" s="18">
        <v>0.66666666666666663</v>
      </c>
    </row>
    <row r="109" spans="1:9">
      <c r="A109" s="284">
        <v>46060</v>
      </c>
      <c r="B109" s="416">
        <v>7</v>
      </c>
      <c r="C109" s="18">
        <v>0.7</v>
      </c>
      <c r="D109" s="416">
        <v>6</v>
      </c>
      <c r="E109" s="18">
        <v>0.6</v>
      </c>
      <c r="F109" s="416">
        <v>7</v>
      </c>
      <c r="G109" s="18">
        <v>0.7</v>
      </c>
      <c r="H109" s="416">
        <v>7</v>
      </c>
      <c r="I109" s="18">
        <v>0.7</v>
      </c>
    </row>
    <row r="110" spans="1:9">
      <c r="A110" s="284">
        <v>46061</v>
      </c>
      <c r="B110" s="416">
        <v>3</v>
      </c>
      <c r="C110" s="18">
        <v>0.75</v>
      </c>
      <c r="D110" s="416">
        <v>1</v>
      </c>
      <c r="E110" s="18">
        <v>0.25</v>
      </c>
      <c r="F110" s="416">
        <v>1</v>
      </c>
      <c r="G110" s="18">
        <v>0.25</v>
      </c>
      <c r="H110" s="416">
        <v>2</v>
      </c>
      <c r="I110" s="18">
        <v>0.5</v>
      </c>
    </row>
    <row r="111" spans="1:9">
      <c r="A111" s="284">
        <v>46062</v>
      </c>
      <c r="B111" s="416">
        <v>4</v>
      </c>
      <c r="C111" s="18">
        <v>0.4</v>
      </c>
      <c r="D111" s="416">
        <v>5</v>
      </c>
      <c r="E111" s="18">
        <v>0.5</v>
      </c>
      <c r="F111" s="416">
        <v>4</v>
      </c>
      <c r="G111" s="18">
        <v>0.4</v>
      </c>
      <c r="H111" s="416">
        <v>7</v>
      </c>
      <c r="I111" s="18">
        <v>0.7</v>
      </c>
    </row>
    <row r="112" spans="1:9">
      <c r="A112" s="284">
        <v>46063</v>
      </c>
      <c r="B112" s="416">
        <v>3</v>
      </c>
      <c r="C112" s="18">
        <v>0.75</v>
      </c>
      <c r="D112" s="416">
        <v>2</v>
      </c>
      <c r="E112" s="18">
        <v>0.5</v>
      </c>
      <c r="F112" s="416">
        <v>3</v>
      </c>
      <c r="G112" s="18">
        <v>0.75</v>
      </c>
      <c r="H112" s="416">
        <v>2</v>
      </c>
      <c r="I112" s="18">
        <v>0.5</v>
      </c>
    </row>
    <row r="113" spans="1:9">
      <c r="A113" s="284">
        <v>46064</v>
      </c>
      <c r="B113" s="416">
        <v>9</v>
      </c>
      <c r="C113" s="18">
        <v>0.6428571428571429</v>
      </c>
      <c r="D113" s="416">
        <v>5</v>
      </c>
      <c r="E113" s="18">
        <v>0.35714285714285715</v>
      </c>
      <c r="F113" s="416">
        <v>8</v>
      </c>
      <c r="G113" s="18">
        <v>0.5714285714285714</v>
      </c>
      <c r="H113" s="416">
        <v>6</v>
      </c>
      <c r="I113" s="18">
        <v>0.42857142857142855</v>
      </c>
    </row>
    <row r="114" spans="1:9">
      <c r="A114" s="284" t="s">
        <v>766</v>
      </c>
      <c r="B114" s="416">
        <v>398</v>
      </c>
      <c r="C114" s="18">
        <v>0.48714810281517745</v>
      </c>
      <c r="D114" s="416">
        <v>363</v>
      </c>
      <c r="E114" s="18">
        <v>0.44430844553243576</v>
      </c>
      <c r="F114" s="416">
        <v>373</v>
      </c>
      <c r="G114" s="18">
        <v>0.45654834761321911</v>
      </c>
      <c r="H114" s="416">
        <v>427</v>
      </c>
      <c r="I114" s="18">
        <v>0.52264381884944922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C35D-7FCD-44F6-94A6-461FCEADFB99}">
  <dimension ref="A1:C53"/>
  <sheetViews>
    <sheetView workbookViewId="0">
      <selection activeCell="D4" sqref="D4"/>
    </sheetView>
  </sheetViews>
  <sheetFormatPr defaultRowHeight="15"/>
  <cols>
    <col min="1" max="1" width="12" bestFit="1" customWidth="1"/>
    <col min="2" max="2" width="18.7109375" bestFit="1" customWidth="1"/>
    <col min="3" max="3" width="11.85546875" bestFit="1" customWidth="1"/>
  </cols>
  <sheetData>
    <row r="1" spans="1:3">
      <c r="A1" s="42" t="s">
        <v>767</v>
      </c>
      <c r="B1" s="42" t="s">
        <v>768</v>
      </c>
      <c r="C1" s="42" t="s">
        <v>415</v>
      </c>
    </row>
    <row r="2" spans="1:3">
      <c r="A2">
        <v>43</v>
      </c>
      <c r="B2" t="s">
        <v>383</v>
      </c>
      <c r="C2" t="str">
        <f>TEXT(tblResultadosNBA[[#This Row],[Fecha]],"mmm")</f>
        <v>oct</v>
      </c>
    </row>
    <row r="3" spans="1:3">
      <c r="A3">
        <v>44</v>
      </c>
      <c r="B3" t="s">
        <v>384</v>
      </c>
      <c r="C3" t="s">
        <v>769</v>
      </c>
    </row>
    <row r="4" spans="1:3">
      <c r="A4">
        <v>45</v>
      </c>
      <c r="B4" t="s">
        <v>385</v>
      </c>
      <c r="C4" t="s">
        <v>770</v>
      </c>
    </row>
    <row r="5" spans="1:3">
      <c r="A5">
        <v>46</v>
      </c>
      <c r="B5" t="s">
        <v>387</v>
      </c>
      <c r="C5" t="s">
        <v>771</v>
      </c>
    </row>
    <row r="6" spans="1:3">
      <c r="A6">
        <v>47</v>
      </c>
      <c r="B6" t="s">
        <v>388</v>
      </c>
      <c r="C6" t="s">
        <v>757</v>
      </c>
    </row>
    <row r="7" spans="1:3">
      <c r="A7">
        <v>48</v>
      </c>
      <c r="B7" t="s">
        <v>389</v>
      </c>
      <c r="C7" t="s">
        <v>772</v>
      </c>
    </row>
    <row r="8" spans="1:3">
      <c r="A8">
        <v>49</v>
      </c>
      <c r="B8" t="s">
        <v>390</v>
      </c>
      <c r="C8" t="s">
        <v>773</v>
      </c>
    </row>
    <row r="9" spans="1:3">
      <c r="A9">
        <v>50</v>
      </c>
      <c r="B9" t="s">
        <v>391</v>
      </c>
      <c r="C9" t="s">
        <v>774</v>
      </c>
    </row>
    <row r="10" spans="1:3">
      <c r="A10">
        <v>51</v>
      </c>
      <c r="B10" t="s">
        <v>392</v>
      </c>
      <c r="C10" t="s">
        <v>775</v>
      </c>
    </row>
    <row r="11" spans="1:3">
      <c r="A11">
        <v>52</v>
      </c>
      <c r="B11" t="s">
        <v>393</v>
      </c>
      <c r="C11" t="s">
        <v>776</v>
      </c>
    </row>
    <row r="12" spans="1:3">
      <c r="A12">
        <v>1</v>
      </c>
      <c r="B12" t="s">
        <v>394</v>
      </c>
      <c r="C12" t="s">
        <v>777</v>
      </c>
    </row>
    <row r="13" spans="1:3">
      <c r="A13">
        <v>2</v>
      </c>
      <c r="B13" t="s">
        <v>395</v>
      </c>
      <c r="C13" t="s">
        <v>778</v>
      </c>
    </row>
    <row r="14" spans="1:3">
      <c r="A14">
        <v>3</v>
      </c>
      <c r="B14" t="s">
        <v>396</v>
      </c>
    </row>
    <row r="15" spans="1:3">
      <c r="A15">
        <v>4</v>
      </c>
      <c r="B15" t="s">
        <v>397</v>
      </c>
    </row>
    <row r="16" spans="1:3">
      <c r="A16">
        <v>5</v>
      </c>
      <c r="B16" t="s">
        <v>779</v>
      </c>
    </row>
    <row r="17" spans="1:2">
      <c r="A17">
        <v>6</v>
      </c>
      <c r="B17" t="s">
        <v>780</v>
      </c>
    </row>
    <row r="18" spans="1:2">
      <c r="A18">
        <v>7</v>
      </c>
      <c r="B18" t="s">
        <v>750</v>
      </c>
    </row>
    <row r="19" spans="1:2">
      <c r="A19">
        <v>8</v>
      </c>
      <c r="B19" t="s">
        <v>781</v>
      </c>
    </row>
    <row r="20" spans="1:2">
      <c r="A20">
        <v>9</v>
      </c>
      <c r="B20" t="s">
        <v>782</v>
      </c>
    </row>
    <row r="21" spans="1:2">
      <c r="A21">
        <v>10</v>
      </c>
      <c r="B21" t="s">
        <v>783</v>
      </c>
    </row>
    <row r="22" spans="1:2">
      <c r="A22">
        <v>11</v>
      </c>
      <c r="B22" t="s">
        <v>784</v>
      </c>
    </row>
    <row r="23" spans="1:2">
      <c r="A23">
        <v>12</v>
      </c>
      <c r="B23" t="s">
        <v>785</v>
      </c>
    </row>
    <row r="24" spans="1:2">
      <c r="A24">
        <v>13</v>
      </c>
      <c r="B24" t="s">
        <v>786</v>
      </c>
    </row>
    <row r="25" spans="1:2">
      <c r="A25">
        <v>14</v>
      </c>
      <c r="B25" t="s">
        <v>787</v>
      </c>
    </row>
    <row r="26" spans="1:2">
      <c r="A26">
        <v>15</v>
      </c>
      <c r="B26" t="s">
        <v>788</v>
      </c>
    </row>
    <row r="27" spans="1:2">
      <c r="A27">
        <v>16</v>
      </c>
      <c r="B27" t="s">
        <v>789</v>
      </c>
    </row>
    <row r="28" spans="1:2">
      <c r="A28">
        <v>17</v>
      </c>
      <c r="B28" t="s">
        <v>790</v>
      </c>
    </row>
    <row r="29" spans="1:2">
      <c r="A29">
        <v>18</v>
      </c>
      <c r="B29" t="s">
        <v>791</v>
      </c>
    </row>
    <row r="30" spans="1:2">
      <c r="A30">
        <v>19</v>
      </c>
      <c r="B30" t="s">
        <v>792</v>
      </c>
    </row>
    <row r="31" spans="1:2">
      <c r="A31">
        <v>20</v>
      </c>
      <c r="B31" t="s">
        <v>793</v>
      </c>
    </row>
    <row r="32" spans="1:2">
      <c r="A32">
        <v>21</v>
      </c>
      <c r="B32" t="s">
        <v>794</v>
      </c>
    </row>
    <row r="33" spans="1:2">
      <c r="A33">
        <v>22</v>
      </c>
      <c r="B33" t="s">
        <v>795</v>
      </c>
    </row>
    <row r="34" spans="1:2">
      <c r="A34">
        <v>23</v>
      </c>
      <c r="B34" t="s">
        <v>796</v>
      </c>
    </row>
    <row r="35" spans="1:2">
      <c r="A35">
        <v>24</v>
      </c>
      <c r="B35" t="s">
        <v>797</v>
      </c>
    </row>
    <row r="36" spans="1:2">
      <c r="A36">
        <v>25</v>
      </c>
      <c r="B36" t="s">
        <v>798</v>
      </c>
    </row>
    <row r="37" spans="1:2">
      <c r="A37">
        <v>26</v>
      </c>
      <c r="B37" t="s">
        <v>799</v>
      </c>
    </row>
    <row r="38" spans="1:2">
      <c r="A38">
        <v>27</v>
      </c>
      <c r="B38" t="s">
        <v>800</v>
      </c>
    </row>
    <row r="39" spans="1:2">
      <c r="A39">
        <v>28</v>
      </c>
      <c r="B39" t="s">
        <v>801</v>
      </c>
    </row>
    <row r="40" spans="1:2">
      <c r="A40">
        <v>29</v>
      </c>
      <c r="B40" t="s">
        <v>802</v>
      </c>
    </row>
    <row r="41" spans="1:2">
      <c r="A41">
        <v>30</v>
      </c>
      <c r="B41" t="s">
        <v>803</v>
      </c>
    </row>
    <row r="42" spans="1:2">
      <c r="A42">
        <v>31</v>
      </c>
      <c r="B42" t="s">
        <v>804</v>
      </c>
    </row>
    <row r="43" spans="1:2">
      <c r="A43">
        <v>32</v>
      </c>
      <c r="B43" t="s">
        <v>805</v>
      </c>
    </row>
    <row r="44" spans="1:2">
      <c r="A44">
        <v>33</v>
      </c>
      <c r="B44" t="s">
        <v>806</v>
      </c>
    </row>
    <row r="45" spans="1:2">
      <c r="A45">
        <v>34</v>
      </c>
      <c r="B45" t="s">
        <v>807</v>
      </c>
    </row>
    <row r="46" spans="1:2">
      <c r="A46">
        <v>35</v>
      </c>
      <c r="B46" t="s">
        <v>808</v>
      </c>
    </row>
    <row r="47" spans="1:2">
      <c r="A47">
        <v>36</v>
      </c>
      <c r="B47" t="s">
        <v>809</v>
      </c>
    </row>
    <row r="48" spans="1:2">
      <c r="A48">
        <v>37</v>
      </c>
      <c r="B48" t="s">
        <v>810</v>
      </c>
    </row>
    <row r="49" spans="1:2">
      <c r="A49">
        <v>38</v>
      </c>
      <c r="B49" t="s">
        <v>811</v>
      </c>
    </row>
    <row r="50" spans="1:2">
      <c r="A50">
        <v>39</v>
      </c>
      <c r="B50" t="s">
        <v>812</v>
      </c>
    </row>
    <row r="51" spans="1:2">
      <c r="A51">
        <v>40</v>
      </c>
      <c r="B51" t="s">
        <v>813</v>
      </c>
    </row>
    <row r="52" spans="1:2">
      <c r="A52">
        <v>41</v>
      </c>
      <c r="B52" t="s">
        <v>814</v>
      </c>
    </row>
    <row r="53" spans="1:2">
      <c r="A53">
        <v>42</v>
      </c>
      <c r="B53" t="s">
        <v>815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9539-D078-4CF6-A821-474EFBC8661B}">
  <sheetPr>
    <tabColor rgb="FF00B0F0"/>
  </sheetPr>
  <dimension ref="A1:AE226"/>
  <sheetViews>
    <sheetView topLeftCell="A152" workbookViewId="0">
      <selection activeCell="A156" sqref="A156:XFD156"/>
    </sheetView>
  </sheetViews>
  <sheetFormatPr defaultColWidth="9.140625" defaultRowHeight="15"/>
  <cols>
    <col min="1" max="1" width="33"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17" ht="15.75" thickBot="1">
      <c r="A1" s="131" t="s">
        <v>0</v>
      </c>
      <c r="B1" s="114" t="s">
        <v>1</v>
      </c>
      <c r="C1" s="114" t="s">
        <v>2</v>
      </c>
      <c r="D1" s="114" t="s">
        <v>3</v>
      </c>
      <c r="E1" s="115" t="s">
        <v>4</v>
      </c>
      <c r="F1" s="133" t="s">
        <v>5</v>
      </c>
      <c r="G1" s="222" t="s">
        <v>1</v>
      </c>
      <c r="H1" t="s">
        <v>6</v>
      </c>
      <c r="I1" t="s">
        <v>7</v>
      </c>
      <c r="J1" t="s">
        <v>8</v>
      </c>
      <c r="K1" s="250"/>
      <c r="M1" s="636" t="s">
        <v>816</v>
      </c>
      <c r="N1" s="636"/>
      <c r="O1" s="636"/>
      <c r="P1" s="636"/>
      <c r="Q1"/>
    </row>
    <row r="2" spans="1:17" ht="15.75" thickBot="1">
      <c r="A2" s="641">
        <v>45905</v>
      </c>
      <c r="B2" s="181">
        <v>1</v>
      </c>
      <c r="C2" s="164">
        <v>3.04</v>
      </c>
      <c r="D2" s="164">
        <f>(B2*C2)-B2</f>
        <v>2.04</v>
      </c>
      <c r="E2" s="215">
        <f>SUM($D$2:D2)/SUM($B$2:B2)</f>
        <v>2.04</v>
      </c>
      <c r="F2" s="164">
        <f>D2</f>
        <v>2.04</v>
      </c>
      <c r="G2" s="216" t="s">
        <v>817</v>
      </c>
      <c r="H2" s="185"/>
      <c r="I2" s="186"/>
      <c r="J2" s="186"/>
      <c r="Q2"/>
    </row>
    <row r="3" spans="1:17">
      <c r="A3" s="642"/>
      <c r="B3" s="167">
        <v>1</v>
      </c>
      <c r="C3" s="163">
        <v>1.93</v>
      </c>
      <c r="D3" s="163">
        <f t="shared" ref="D3:D66" si="0">(B3*C3)-B3</f>
        <v>0.92999999999999994</v>
      </c>
      <c r="E3" s="193">
        <f>SUM($D$2:D3)/SUM($B$2:B3)</f>
        <v>1.4849999999999999</v>
      </c>
      <c r="F3" s="163">
        <f>F2+D3</f>
        <v>2.9699999999999998</v>
      </c>
      <c r="G3" s="171" t="s">
        <v>818</v>
      </c>
      <c r="H3" s="185"/>
      <c r="I3" s="186"/>
      <c r="J3" s="186"/>
      <c r="Q3"/>
    </row>
    <row r="4" spans="1:17">
      <c r="A4" s="642"/>
      <c r="B4" s="170">
        <v>1</v>
      </c>
      <c r="C4" s="152">
        <v>1.86</v>
      </c>
      <c r="D4" s="152">
        <f t="shared" si="0"/>
        <v>0.8600000000000001</v>
      </c>
      <c r="E4" s="192">
        <f>SUM($D$2:D4)/SUM($B$2:B4)</f>
        <v>1.2766666666666666</v>
      </c>
      <c r="F4" s="152">
        <f t="shared" ref="F4:F67" si="1">F3+D4</f>
        <v>3.83</v>
      </c>
      <c r="G4" s="194" t="s">
        <v>819</v>
      </c>
      <c r="H4" s="185"/>
      <c r="I4" s="186"/>
      <c r="J4" s="186"/>
      <c r="Q4"/>
    </row>
    <row r="5" spans="1:17">
      <c r="A5" s="642"/>
      <c r="B5" s="169">
        <v>1</v>
      </c>
      <c r="C5" s="151">
        <v>2.0099999999999998</v>
      </c>
      <c r="D5" s="151">
        <f t="shared" si="0"/>
        <v>1.0099999999999998</v>
      </c>
      <c r="E5" s="156">
        <f>SUM($D$2:D5)/SUM($B$2:B5)</f>
        <v>1.21</v>
      </c>
      <c r="F5" s="151">
        <f t="shared" si="1"/>
        <v>4.84</v>
      </c>
      <c r="G5" s="191" t="s">
        <v>820</v>
      </c>
      <c r="H5" s="185"/>
      <c r="I5" s="186"/>
      <c r="J5" s="186"/>
      <c r="Q5"/>
    </row>
    <row r="6" spans="1:17" ht="15.75" thickBot="1">
      <c r="A6" s="642"/>
      <c r="B6" s="172">
        <v>1</v>
      </c>
      <c r="C6" s="165"/>
      <c r="D6" s="165">
        <f t="shared" si="0"/>
        <v>-1</v>
      </c>
      <c r="E6" s="195">
        <f>SUM($D$2:D6)/SUM($B$2:B6)</f>
        <v>0.76800000000000002</v>
      </c>
      <c r="F6" s="165">
        <f t="shared" si="1"/>
        <v>3.84</v>
      </c>
      <c r="G6" s="196" t="s">
        <v>821</v>
      </c>
      <c r="H6" s="185"/>
      <c r="I6" s="186"/>
      <c r="J6" s="186"/>
      <c r="Q6"/>
    </row>
    <row r="7" spans="1:17" ht="15.75" thickBot="1">
      <c r="A7" s="641">
        <v>45906</v>
      </c>
      <c r="B7" s="235">
        <v>1</v>
      </c>
      <c r="C7" s="235"/>
      <c r="D7" s="235">
        <f t="shared" si="0"/>
        <v>-1</v>
      </c>
      <c r="E7" s="253">
        <f>SUM($D$2:D7)/SUM($B$2:B7)</f>
        <v>0.47333333333333333</v>
      </c>
      <c r="F7" s="236">
        <f t="shared" si="1"/>
        <v>2.84</v>
      </c>
      <c r="G7" s="254" t="s">
        <v>822</v>
      </c>
      <c r="H7" s="185"/>
      <c r="I7" s="186"/>
      <c r="J7" s="186"/>
      <c r="K7" s="58"/>
      <c r="M7" s="2"/>
      <c r="Q7"/>
    </row>
    <row r="8" spans="1:17">
      <c r="A8" s="643"/>
      <c r="B8" s="167">
        <v>1</v>
      </c>
      <c r="C8" s="206"/>
      <c r="D8" s="206">
        <f t="shared" si="0"/>
        <v>-1</v>
      </c>
      <c r="E8" s="193">
        <f>SUM($D$2:D8)/SUM($B$2:B8)</f>
        <v>0.26285714285714284</v>
      </c>
      <c r="F8" s="163">
        <f t="shared" si="1"/>
        <v>1.8399999999999999</v>
      </c>
      <c r="G8" s="212" t="s">
        <v>819</v>
      </c>
      <c r="H8" s="185"/>
      <c r="I8" s="186"/>
      <c r="J8" s="186"/>
      <c r="K8" s="18"/>
      <c r="M8" s="2"/>
      <c r="N8" s="18"/>
      <c r="Q8"/>
    </row>
    <row r="9" spans="1:17">
      <c r="A9" s="643"/>
      <c r="B9" s="169">
        <v>1</v>
      </c>
      <c r="C9" s="207"/>
      <c r="D9" s="207">
        <f t="shared" si="0"/>
        <v>-1</v>
      </c>
      <c r="E9" s="156">
        <f>SUM($D$2:D9)/SUM($B$2:B9)</f>
        <v>0.10499999999999998</v>
      </c>
      <c r="F9" s="151">
        <f t="shared" si="1"/>
        <v>0.83999999999999986</v>
      </c>
      <c r="G9" s="203" t="s">
        <v>823</v>
      </c>
      <c r="H9" s="185"/>
      <c r="I9" s="186"/>
      <c r="J9" s="186"/>
      <c r="K9" s="18"/>
      <c r="M9" s="2"/>
      <c r="N9" s="18"/>
      <c r="Q9"/>
    </row>
    <row r="10" spans="1:17">
      <c r="A10" s="643"/>
      <c r="B10" s="169">
        <v>1</v>
      </c>
      <c r="C10" s="207"/>
      <c r="D10" s="207">
        <f t="shared" si="0"/>
        <v>-1</v>
      </c>
      <c r="E10" s="156">
        <f>SUM($D$2:D10)/SUM($B$2:B10)</f>
        <v>-1.7777777777777795E-2</v>
      </c>
      <c r="F10" s="151">
        <f t="shared" si="1"/>
        <v>-0.16000000000000014</v>
      </c>
      <c r="G10" s="203" t="s">
        <v>824</v>
      </c>
      <c r="H10" s="185"/>
      <c r="I10" s="186"/>
      <c r="J10" s="186"/>
      <c r="K10" s="18"/>
      <c r="M10" s="2"/>
      <c r="N10" s="18"/>
      <c r="Q10"/>
    </row>
    <row r="11" spans="1:17">
      <c r="A11" s="643"/>
      <c r="B11" s="169">
        <v>1</v>
      </c>
      <c r="C11" s="207"/>
      <c r="D11" s="207">
        <f t="shared" si="0"/>
        <v>-1</v>
      </c>
      <c r="E11" s="156">
        <f>SUM($D$2:D11)/SUM($B$2:B11)</f>
        <v>-0.11600000000000002</v>
      </c>
      <c r="F11" s="151">
        <f t="shared" si="1"/>
        <v>-1.1600000000000001</v>
      </c>
      <c r="G11" s="203" t="s">
        <v>818</v>
      </c>
      <c r="H11" s="185"/>
      <c r="I11" s="186"/>
      <c r="J11" s="186"/>
      <c r="K11" s="18"/>
      <c r="M11" s="2"/>
      <c r="N11" s="18"/>
      <c r="Q11"/>
    </row>
    <row r="12" spans="1:17">
      <c r="A12" s="643"/>
      <c r="B12" s="169">
        <v>1</v>
      </c>
      <c r="C12" s="207"/>
      <c r="D12" s="207">
        <f t="shared" si="0"/>
        <v>-1</v>
      </c>
      <c r="E12" s="156">
        <f>SUM($D$2:D12)/SUM($B$2:B12)</f>
        <v>-0.19636363636363638</v>
      </c>
      <c r="F12" s="151">
        <f t="shared" si="1"/>
        <v>-2.16</v>
      </c>
      <c r="G12" s="203" t="s">
        <v>825</v>
      </c>
      <c r="H12" s="185"/>
      <c r="I12" s="186"/>
      <c r="J12" s="186"/>
      <c r="K12" s="18"/>
      <c r="M12" s="2"/>
      <c r="N12" s="18"/>
      <c r="Q12"/>
    </row>
    <row r="13" spans="1:17" ht="15.75" thickBot="1">
      <c r="A13" s="643"/>
      <c r="B13" s="172">
        <v>1</v>
      </c>
      <c r="C13" s="208">
        <v>1.97</v>
      </c>
      <c r="D13" s="208">
        <f t="shared" si="0"/>
        <v>0.97</v>
      </c>
      <c r="E13" s="195">
        <f>SUM($D$2:D13)/SUM($B$2:B13)</f>
        <v>-9.9166666666666681E-2</v>
      </c>
      <c r="F13" s="165">
        <f t="shared" si="1"/>
        <v>-1.1900000000000002</v>
      </c>
      <c r="G13" s="205" t="s">
        <v>826</v>
      </c>
      <c r="H13" s="185"/>
      <c r="I13" s="186"/>
      <c r="J13" s="186"/>
      <c r="K13" s="18"/>
      <c r="M13" s="2"/>
      <c r="N13" s="18"/>
      <c r="Q13"/>
    </row>
    <row r="14" spans="1:17" ht="15.75" thickBot="1">
      <c r="A14" s="641">
        <v>45907</v>
      </c>
      <c r="B14" s="209">
        <v>1</v>
      </c>
      <c r="C14" s="209"/>
      <c r="D14" s="209">
        <f t="shared" si="0"/>
        <v>-1</v>
      </c>
      <c r="E14" s="215">
        <f>SUM($D$2:D14)/SUM($B$2:B14)</f>
        <v>-0.1684615384615385</v>
      </c>
      <c r="F14" s="164">
        <f t="shared" si="1"/>
        <v>-2.1900000000000004</v>
      </c>
      <c r="G14" s="217" t="s">
        <v>827</v>
      </c>
      <c r="H14" s="185"/>
      <c r="I14" s="186"/>
      <c r="J14" s="186"/>
      <c r="K14" s="58"/>
      <c r="M14" s="2"/>
      <c r="Q14"/>
    </row>
    <row r="15" spans="1:17">
      <c r="A15" s="642"/>
      <c r="B15" s="206">
        <v>1</v>
      </c>
      <c r="C15" s="206"/>
      <c r="D15" s="206">
        <f t="shared" si="0"/>
        <v>-1</v>
      </c>
      <c r="E15" s="193">
        <f>SUM($D$2:D15)/SUM($B$2:B15)</f>
        <v>-0.2278571428571429</v>
      </c>
      <c r="F15" s="163">
        <f t="shared" si="1"/>
        <v>-3.1900000000000004</v>
      </c>
      <c r="G15" s="212" t="s">
        <v>828</v>
      </c>
      <c r="H15" s="185"/>
      <c r="I15" s="186"/>
      <c r="J15" s="186"/>
      <c r="K15" s="18"/>
      <c r="M15" s="2"/>
      <c r="N15" s="18"/>
      <c r="Q15"/>
    </row>
    <row r="16" spans="1:17">
      <c r="A16" s="642"/>
      <c r="B16" s="207">
        <v>1</v>
      </c>
      <c r="C16" s="207"/>
      <c r="D16" s="207">
        <f t="shared" si="0"/>
        <v>-1</v>
      </c>
      <c r="E16" s="156">
        <f>SUM($D$2:D16)/SUM($B$2:B16)</f>
        <v>-0.27933333333333338</v>
      </c>
      <c r="F16" s="151">
        <f t="shared" si="1"/>
        <v>-4.1900000000000004</v>
      </c>
      <c r="G16" s="203" t="s">
        <v>823</v>
      </c>
      <c r="H16" s="185"/>
      <c r="I16" s="186"/>
      <c r="J16" s="186"/>
      <c r="K16" s="18"/>
      <c r="M16" s="2"/>
      <c r="N16" s="18"/>
      <c r="Q16"/>
    </row>
    <row r="17" spans="1:17">
      <c r="A17" s="642"/>
      <c r="B17" s="207">
        <v>1</v>
      </c>
      <c r="C17" s="207">
        <v>1.9</v>
      </c>
      <c r="D17" s="207">
        <f t="shared" si="0"/>
        <v>0.89999999999999991</v>
      </c>
      <c r="E17" s="156">
        <f>SUM($D$2:D17)/SUM($B$2:B17)</f>
        <v>-0.20562500000000003</v>
      </c>
      <c r="F17" s="151">
        <f t="shared" si="1"/>
        <v>-3.2900000000000005</v>
      </c>
      <c r="G17" s="203" t="s">
        <v>819</v>
      </c>
      <c r="H17" s="185"/>
      <c r="I17" s="186"/>
      <c r="J17" s="186"/>
      <c r="K17" s="18"/>
      <c r="M17" s="2"/>
      <c r="N17" s="18"/>
      <c r="Q17"/>
    </row>
    <row r="18" spans="1:17">
      <c r="A18" s="642"/>
      <c r="B18" s="207">
        <v>1</v>
      </c>
      <c r="C18" s="207">
        <v>1.88</v>
      </c>
      <c r="D18" s="207">
        <f t="shared" si="0"/>
        <v>0.87999999999999989</v>
      </c>
      <c r="E18" s="156">
        <f>SUM($D$2:D18)/SUM($B$2:B18)</f>
        <v>-0.14176470588235299</v>
      </c>
      <c r="F18" s="151">
        <f t="shared" si="1"/>
        <v>-2.4100000000000006</v>
      </c>
      <c r="G18" s="203" t="s">
        <v>829</v>
      </c>
      <c r="H18" s="185"/>
      <c r="I18" s="186"/>
      <c r="J18" s="186"/>
      <c r="K18" s="18"/>
      <c r="M18" s="2"/>
      <c r="N18" s="18"/>
      <c r="Q18"/>
    </row>
    <row r="19" spans="1:17" ht="15.75" thickBot="1">
      <c r="A19" s="642"/>
      <c r="B19" s="155">
        <v>1</v>
      </c>
      <c r="C19" s="155"/>
      <c r="D19" s="155">
        <f t="shared" si="0"/>
        <v>-1</v>
      </c>
      <c r="E19" s="192">
        <f>SUM($D$2:D19)/SUM($B$2:B19)</f>
        <v>-0.18944444444444447</v>
      </c>
      <c r="F19" s="152">
        <f t="shared" si="1"/>
        <v>-3.4100000000000006</v>
      </c>
      <c r="G19" s="213" t="s">
        <v>825</v>
      </c>
      <c r="H19" s="185"/>
      <c r="I19" s="186"/>
      <c r="J19" s="186"/>
      <c r="K19" s="58"/>
      <c r="M19" s="2"/>
      <c r="N19" s="18"/>
      <c r="Q19"/>
    </row>
    <row r="20" spans="1:17">
      <c r="A20" s="586">
        <v>45908</v>
      </c>
      <c r="B20" s="206">
        <v>1</v>
      </c>
      <c r="C20" s="206"/>
      <c r="D20" s="206">
        <f t="shared" si="0"/>
        <v>-1</v>
      </c>
      <c r="E20" s="193">
        <f>SUM($D$2:D20)/SUM($B$2:B20)</f>
        <v>-0.23210526315789473</v>
      </c>
      <c r="F20" s="163">
        <f t="shared" si="1"/>
        <v>-4.41</v>
      </c>
      <c r="G20" s="212" t="s">
        <v>830</v>
      </c>
      <c r="H20" s="185"/>
      <c r="I20" s="186"/>
      <c r="J20" s="186"/>
      <c r="K20" s="18"/>
      <c r="M20" s="2"/>
      <c r="N20" s="18"/>
      <c r="Q20"/>
    </row>
    <row r="21" spans="1:17">
      <c r="A21" s="587"/>
      <c r="B21" s="207">
        <v>1</v>
      </c>
      <c r="C21" s="207"/>
      <c r="D21" s="207">
        <f t="shared" si="0"/>
        <v>-1</v>
      </c>
      <c r="E21" s="156">
        <f>SUM($D$2:D21)/SUM($B$2:B21)</f>
        <v>-0.27050000000000002</v>
      </c>
      <c r="F21" s="151">
        <f t="shared" si="1"/>
        <v>-5.41</v>
      </c>
      <c r="G21" s="203" t="s">
        <v>831</v>
      </c>
      <c r="H21" s="185"/>
      <c r="I21" s="186"/>
      <c r="J21" s="186"/>
      <c r="K21" s="18"/>
      <c r="M21" s="2"/>
      <c r="N21" s="18"/>
      <c r="Q21"/>
    </row>
    <row r="22" spans="1:17">
      <c r="A22" s="587"/>
      <c r="B22" s="207">
        <v>1</v>
      </c>
      <c r="C22" s="207">
        <v>1.909</v>
      </c>
      <c r="D22" s="207">
        <f t="shared" si="0"/>
        <v>0.90900000000000003</v>
      </c>
      <c r="E22" s="156">
        <f>SUM($D$2:D22)/SUM($B$2:B22)</f>
        <v>-0.21433333333333335</v>
      </c>
      <c r="F22" s="151">
        <f t="shared" si="1"/>
        <v>-4.5010000000000003</v>
      </c>
      <c r="G22" s="203" t="s">
        <v>832</v>
      </c>
      <c r="H22" s="185"/>
      <c r="I22" s="186"/>
      <c r="J22" s="186"/>
      <c r="K22" s="18"/>
      <c r="M22" s="2"/>
      <c r="N22" s="18"/>
      <c r="Q22"/>
    </row>
    <row r="23" spans="1:17" ht="15.75" thickBot="1">
      <c r="A23" s="587"/>
      <c r="B23" s="155">
        <v>1</v>
      </c>
      <c r="C23" s="155"/>
      <c r="D23" s="155">
        <f t="shared" si="0"/>
        <v>-1</v>
      </c>
      <c r="E23" s="192">
        <f>SUM($D$2:D23)/SUM($B$2:B23)</f>
        <v>-0.25004545454545457</v>
      </c>
      <c r="F23" s="152">
        <f t="shared" si="1"/>
        <v>-5.5010000000000003</v>
      </c>
      <c r="G23" s="213" t="s">
        <v>833</v>
      </c>
      <c r="H23" s="185"/>
      <c r="I23" s="186"/>
      <c r="J23" s="186"/>
      <c r="K23" s="18"/>
      <c r="M23" s="2"/>
      <c r="N23" s="18"/>
      <c r="Q23"/>
    </row>
    <row r="24" spans="1:17">
      <c r="A24" s="603">
        <v>45909</v>
      </c>
      <c r="B24" s="167">
        <v>1</v>
      </c>
      <c r="C24" s="206">
        <v>1.74</v>
      </c>
      <c r="D24" s="206">
        <f t="shared" si="0"/>
        <v>0.74</v>
      </c>
      <c r="E24" s="193">
        <f>SUM($D$2:D24)/SUM($B$2:B24)</f>
        <v>-0.20700000000000002</v>
      </c>
      <c r="F24" s="163">
        <f t="shared" si="1"/>
        <v>-4.7610000000000001</v>
      </c>
      <c r="G24" s="212" t="s">
        <v>834</v>
      </c>
      <c r="H24" s="185"/>
      <c r="I24" s="186"/>
      <c r="J24" s="186"/>
      <c r="K24" s="18"/>
      <c r="M24" s="2"/>
      <c r="N24" s="18"/>
      <c r="Q24"/>
    </row>
    <row r="25" spans="1:17">
      <c r="A25" s="604"/>
      <c r="B25" s="169">
        <v>1</v>
      </c>
      <c r="C25" s="207">
        <v>1.89</v>
      </c>
      <c r="D25" s="207">
        <f t="shared" si="0"/>
        <v>0.8899999999999999</v>
      </c>
      <c r="E25" s="156">
        <f>SUM($D$2:D25)/SUM($B$2:B25)</f>
        <v>-0.16129166666666669</v>
      </c>
      <c r="F25" s="151">
        <f t="shared" si="1"/>
        <v>-3.8710000000000004</v>
      </c>
      <c r="G25" s="203" t="s">
        <v>835</v>
      </c>
      <c r="H25" s="185"/>
      <c r="I25" s="186"/>
      <c r="J25" s="186"/>
      <c r="K25" s="18"/>
      <c r="M25" s="2"/>
      <c r="N25" s="18"/>
      <c r="Q25"/>
    </row>
    <row r="26" spans="1:17" ht="15.75" thickBot="1">
      <c r="A26" s="604"/>
      <c r="B26" s="172">
        <v>1</v>
      </c>
      <c r="C26" s="208"/>
      <c r="D26" s="208">
        <f t="shared" si="0"/>
        <v>-1</v>
      </c>
      <c r="E26" s="195">
        <f>SUM($D$2:D26)/SUM($B$2:B26)</f>
        <v>-0.19484000000000001</v>
      </c>
      <c r="F26" s="165">
        <f t="shared" si="1"/>
        <v>-4.8710000000000004</v>
      </c>
      <c r="G26" s="205" t="s">
        <v>833</v>
      </c>
      <c r="H26" s="185"/>
      <c r="I26" s="186"/>
      <c r="J26" s="186"/>
      <c r="K26" s="18"/>
      <c r="M26" s="2"/>
      <c r="N26" s="18"/>
      <c r="Q26"/>
    </row>
    <row r="27" spans="1:17" ht="15.75" thickBot="1">
      <c r="A27" s="627">
        <v>45910</v>
      </c>
      <c r="B27" s="255">
        <v>1</v>
      </c>
      <c r="C27" s="255">
        <v>2.85</v>
      </c>
      <c r="D27" s="255">
        <f t="shared" si="0"/>
        <v>1.85</v>
      </c>
      <c r="E27" s="256">
        <f>SUM($D$2:D27)/SUM($B$2:B27)</f>
        <v>-0.11619230769230771</v>
      </c>
      <c r="F27" s="257">
        <f t="shared" si="1"/>
        <v>-3.0210000000000004</v>
      </c>
      <c r="G27" s="258" t="s">
        <v>836</v>
      </c>
      <c r="H27" s="185"/>
      <c r="I27" s="186"/>
      <c r="J27" s="186"/>
      <c r="K27" s="18"/>
      <c r="Q27"/>
    </row>
    <row r="28" spans="1:17">
      <c r="A28" s="628"/>
      <c r="B28" s="206">
        <v>1</v>
      </c>
      <c r="C28" s="206">
        <v>1.7270000000000001</v>
      </c>
      <c r="D28" s="206">
        <f t="shared" si="0"/>
        <v>0.72700000000000009</v>
      </c>
      <c r="E28" s="193">
        <f>SUM($D$2:D28)/SUM($B$2:B28)</f>
        <v>-8.4962962962962976E-2</v>
      </c>
      <c r="F28" s="163">
        <f t="shared" si="1"/>
        <v>-2.2940000000000005</v>
      </c>
      <c r="G28" s="212" t="s">
        <v>834</v>
      </c>
      <c r="H28" s="185"/>
      <c r="I28" s="186"/>
      <c r="J28" s="186"/>
      <c r="K28" s="18"/>
      <c r="Q28"/>
    </row>
    <row r="29" spans="1:17">
      <c r="A29" s="628"/>
      <c r="B29" s="207">
        <v>1</v>
      </c>
      <c r="C29" s="207"/>
      <c r="D29" s="207">
        <f t="shared" si="0"/>
        <v>-1</v>
      </c>
      <c r="E29" s="156">
        <f>SUM($D$2:D29)/SUM($B$2:B29)</f>
        <v>-0.11764285714285716</v>
      </c>
      <c r="F29" s="151">
        <f t="shared" si="1"/>
        <v>-3.2940000000000005</v>
      </c>
      <c r="G29" s="203" t="s">
        <v>832</v>
      </c>
      <c r="H29" s="185"/>
      <c r="I29" s="186"/>
      <c r="J29" s="186"/>
      <c r="K29" s="18"/>
      <c r="Q29"/>
    </row>
    <row r="30" spans="1:17" ht="15.75" thickBot="1">
      <c r="A30" s="628"/>
      <c r="B30" s="208">
        <v>1</v>
      </c>
      <c r="C30" s="208"/>
      <c r="D30" s="208">
        <f t="shared" si="0"/>
        <v>-1</v>
      </c>
      <c r="E30" s="195">
        <f>SUM($D$2:D30)/SUM($B$2:B30)</f>
        <v>-0.14806896551724139</v>
      </c>
      <c r="F30" s="165">
        <f t="shared" si="1"/>
        <v>-4.2940000000000005</v>
      </c>
      <c r="G30" s="213" t="s">
        <v>835</v>
      </c>
      <c r="H30" s="185"/>
      <c r="I30" s="186"/>
      <c r="J30" s="186"/>
      <c r="K30" s="18"/>
      <c r="Q30"/>
    </row>
    <row r="31" spans="1:17" ht="15.75" thickBot="1">
      <c r="A31" s="627">
        <v>45911</v>
      </c>
      <c r="B31" s="208">
        <v>1</v>
      </c>
      <c r="C31" s="208">
        <v>2.99</v>
      </c>
      <c r="D31" s="208">
        <f t="shared" si="0"/>
        <v>1.9900000000000002</v>
      </c>
      <c r="E31" s="195">
        <f>SUM($D$2:D31)/SUM($B$2:B31)</f>
        <v>-7.6800000000000007E-2</v>
      </c>
      <c r="F31" s="165">
        <f t="shared" si="1"/>
        <v>-2.3040000000000003</v>
      </c>
      <c r="G31" s="205" t="s">
        <v>837</v>
      </c>
      <c r="H31" s="185"/>
      <c r="I31" s="186"/>
      <c r="J31" s="186"/>
      <c r="K31" s="18"/>
      <c r="Q31"/>
    </row>
    <row r="32" spans="1:17">
      <c r="A32" s="628"/>
      <c r="B32" s="206">
        <v>1</v>
      </c>
      <c r="C32" s="206">
        <v>1.92</v>
      </c>
      <c r="D32" s="206">
        <f t="shared" si="0"/>
        <v>0.91999999999999993</v>
      </c>
      <c r="E32" s="193">
        <f>SUM($D$2:D32)/SUM($B$2:B32)</f>
        <v>-4.4645161290322595E-2</v>
      </c>
      <c r="F32" s="163">
        <f t="shared" si="1"/>
        <v>-1.3840000000000003</v>
      </c>
      <c r="G32" s="212" t="s">
        <v>838</v>
      </c>
      <c r="H32" s="185"/>
      <c r="I32" s="186"/>
      <c r="J32" s="186"/>
      <c r="K32" s="18"/>
      <c r="Q32"/>
    </row>
    <row r="33" spans="1:17" ht="15.75" thickBot="1">
      <c r="A33" s="629"/>
      <c r="B33" s="208">
        <v>1</v>
      </c>
      <c r="C33" s="208">
        <v>1.98</v>
      </c>
      <c r="D33" s="208">
        <f t="shared" si="0"/>
        <v>0.98</v>
      </c>
      <c r="E33" s="195">
        <f>SUM($D$2:D33)/SUM($B$2:B33)</f>
        <v>-1.2625000000000011E-2</v>
      </c>
      <c r="F33" s="165">
        <f t="shared" si="1"/>
        <v>-0.40400000000000036</v>
      </c>
      <c r="G33" s="213" t="s">
        <v>839</v>
      </c>
      <c r="H33" s="185"/>
      <c r="I33" s="186"/>
      <c r="J33" s="186"/>
      <c r="K33" s="18"/>
      <c r="Q33"/>
    </row>
    <row r="34" spans="1:17">
      <c r="A34" s="627">
        <v>45912</v>
      </c>
      <c r="B34" s="206">
        <v>1</v>
      </c>
      <c r="C34" s="206">
        <v>1.76</v>
      </c>
      <c r="D34" s="206">
        <f t="shared" si="0"/>
        <v>0.76</v>
      </c>
      <c r="E34" s="193">
        <f>SUM($D$2:D34)/SUM($B$2:B34)</f>
        <v>1.0787878787878777E-2</v>
      </c>
      <c r="F34" s="163">
        <f t="shared" si="1"/>
        <v>0.35599999999999965</v>
      </c>
      <c r="G34" s="212" t="s">
        <v>840</v>
      </c>
      <c r="H34" s="185"/>
      <c r="I34" s="186"/>
      <c r="J34" s="186"/>
      <c r="K34" s="18"/>
      <c r="Q34"/>
    </row>
    <row r="35" spans="1:17">
      <c r="A35" s="628"/>
      <c r="B35" s="207">
        <v>1</v>
      </c>
      <c r="C35" s="207"/>
      <c r="D35" s="207">
        <f t="shared" si="0"/>
        <v>-1</v>
      </c>
      <c r="E35" s="156">
        <f>SUM($D$2:D35)/SUM($B$2:B35)</f>
        <v>-1.8941176470588246E-2</v>
      </c>
      <c r="F35" s="151">
        <f t="shared" si="1"/>
        <v>-0.64400000000000035</v>
      </c>
      <c r="G35" s="203" t="s">
        <v>841</v>
      </c>
      <c r="H35" s="185"/>
      <c r="I35" s="186"/>
      <c r="J35" s="186"/>
      <c r="K35" s="18"/>
      <c r="Q35"/>
    </row>
    <row r="36" spans="1:17">
      <c r="A36" s="628"/>
      <c r="B36" s="207">
        <v>1</v>
      </c>
      <c r="C36" s="207">
        <v>1.93</v>
      </c>
      <c r="D36" s="207">
        <f t="shared" si="0"/>
        <v>0.92999999999999994</v>
      </c>
      <c r="E36" s="156">
        <f>SUM($D$2:D36)/SUM($B$2:B36)</f>
        <v>8.1714285714285604E-3</v>
      </c>
      <c r="F36" s="151">
        <f t="shared" si="1"/>
        <v>0.28599999999999959</v>
      </c>
      <c r="G36" s="203" t="s">
        <v>842</v>
      </c>
      <c r="H36" s="185"/>
      <c r="I36" s="186"/>
      <c r="J36" s="186"/>
      <c r="K36" s="18"/>
      <c r="Q36"/>
    </row>
    <row r="37" spans="1:17">
      <c r="A37" s="628"/>
      <c r="B37" s="207">
        <v>1</v>
      </c>
      <c r="C37" s="207"/>
      <c r="D37" s="207">
        <f t="shared" si="0"/>
        <v>-1</v>
      </c>
      <c r="E37" s="156">
        <f>SUM($D$2:D37)/SUM($B$2:B37)</f>
        <v>-1.9833333333333345E-2</v>
      </c>
      <c r="F37" s="151">
        <f t="shared" si="1"/>
        <v>-0.71400000000000041</v>
      </c>
      <c r="G37" s="203" t="s">
        <v>843</v>
      </c>
      <c r="H37" s="185"/>
      <c r="I37" s="186"/>
      <c r="J37" s="186"/>
      <c r="K37" s="18"/>
      <c r="Q37"/>
    </row>
    <row r="38" spans="1:17" ht="15.75" thickBot="1">
      <c r="A38" s="628"/>
      <c r="B38" s="208">
        <v>1</v>
      </c>
      <c r="C38" s="208">
        <v>1.89</v>
      </c>
      <c r="D38" s="208">
        <f t="shared" si="0"/>
        <v>0.8899999999999999</v>
      </c>
      <c r="E38" s="195">
        <f>SUM($D$2:D38)/SUM($B$2:B38)</f>
        <v>4.7567567567567432E-3</v>
      </c>
      <c r="F38" s="165">
        <f t="shared" si="1"/>
        <v>0.17599999999999949</v>
      </c>
      <c r="G38" s="204" t="s">
        <v>844</v>
      </c>
      <c r="H38" s="185"/>
      <c r="I38" s="186"/>
      <c r="J38" s="186"/>
      <c r="K38" s="18"/>
      <c r="Q38"/>
    </row>
    <row r="39" spans="1:17">
      <c r="A39" s="627">
        <v>45913</v>
      </c>
      <c r="B39" s="206">
        <v>1</v>
      </c>
      <c r="C39" s="206">
        <v>1.89</v>
      </c>
      <c r="D39" s="206">
        <f t="shared" si="0"/>
        <v>0.8899999999999999</v>
      </c>
      <c r="E39" s="193">
        <f>SUM($D$2:D39)/SUM($B$2:B39)</f>
        <v>2.8052631578947353E-2</v>
      </c>
      <c r="F39" s="163">
        <f t="shared" si="1"/>
        <v>1.0659999999999994</v>
      </c>
      <c r="G39" s="212" t="s">
        <v>845</v>
      </c>
      <c r="H39" s="185"/>
      <c r="I39" s="186"/>
      <c r="J39" s="186"/>
      <c r="K39" s="18"/>
      <c r="Q39"/>
    </row>
    <row r="40" spans="1:17">
      <c r="A40" s="628"/>
      <c r="B40" s="207">
        <v>1</v>
      </c>
      <c r="C40" s="207">
        <v>2.02</v>
      </c>
      <c r="D40" s="207">
        <f t="shared" si="0"/>
        <v>1.02</v>
      </c>
      <c r="E40" s="156">
        <f>SUM($D$2:D40)/SUM($B$2:B40)</f>
        <v>5.3487179487179473E-2</v>
      </c>
      <c r="F40" s="151">
        <f t="shared" si="1"/>
        <v>2.0859999999999994</v>
      </c>
      <c r="G40" s="203" t="s">
        <v>846</v>
      </c>
      <c r="H40" s="185"/>
      <c r="I40" s="186"/>
      <c r="J40" s="186"/>
      <c r="K40" s="18"/>
      <c r="Q40"/>
    </row>
    <row r="41" spans="1:17">
      <c r="A41" s="628"/>
      <c r="B41" s="207">
        <v>1</v>
      </c>
      <c r="C41" s="207">
        <v>1.92</v>
      </c>
      <c r="D41" s="207">
        <f t="shared" si="0"/>
        <v>0.91999999999999993</v>
      </c>
      <c r="E41" s="156">
        <f>SUM($D$2:D41)/SUM($B$2:B41)</f>
        <v>7.5149999999999981E-2</v>
      </c>
      <c r="F41" s="151">
        <f t="shared" si="1"/>
        <v>3.0059999999999993</v>
      </c>
      <c r="G41" s="203" t="s">
        <v>844</v>
      </c>
      <c r="H41" s="185"/>
      <c r="I41" s="186"/>
      <c r="J41" s="186"/>
      <c r="K41" s="18"/>
      <c r="Q41"/>
    </row>
    <row r="42" spans="1:17">
      <c r="A42" s="628"/>
      <c r="B42" s="207">
        <v>1</v>
      </c>
      <c r="C42" s="207"/>
      <c r="D42" s="207">
        <f t="shared" si="0"/>
        <v>-1</v>
      </c>
      <c r="E42" s="156">
        <f>SUM($D$2:D42)/SUM($B$2:B42)</f>
        <v>4.8926829268292664E-2</v>
      </c>
      <c r="F42" s="151">
        <f t="shared" si="1"/>
        <v>2.0059999999999993</v>
      </c>
      <c r="G42" s="203" t="s">
        <v>840</v>
      </c>
      <c r="H42" s="185"/>
      <c r="I42" s="186"/>
      <c r="J42" s="186"/>
      <c r="K42" s="18"/>
      <c r="Q42"/>
    </row>
    <row r="43" spans="1:17">
      <c r="A43" s="628"/>
      <c r="B43" s="207">
        <v>1</v>
      </c>
      <c r="C43" s="207"/>
      <c r="D43" s="207">
        <f t="shared" si="0"/>
        <v>-1</v>
      </c>
      <c r="E43" s="156">
        <f>SUM($D$2:D43)/SUM($B$2:B43)</f>
        <v>2.3952380952380937E-2</v>
      </c>
      <c r="F43" s="151">
        <f t="shared" si="1"/>
        <v>1.0059999999999993</v>
      </c>
      <c r="G43" s="203" t="s">
        <v>847</v>
      </c>
      <c r="H43" s="185"/>
      <c r="I43" s="186"/>
      <c r="J43" s="186"/>
      <c r="K43" s="18"/>
      <c r="Q43"/>
    </row>
    <row r="44" spans="1:17">
      <c r="A44" s="628"/>
      <c r="B44" s="207">
        <v>1</v>
      </c>
      <c r="C44" s="207">
        <v>1.98</v>
      </c>
      <c r="D44" s="207">
        <f t="shared" si="0"/>
        <v>0.98</v>
      </c>
      <c r="E44" s="156">
        <f>SUM($D$2:D44)/SUM($B$2:B44)</f>
        <v>4.6186046511627894E-2</v>
      </c>
      <c r="F44" s="151">
        <f t="shared" si="1"/>
        <v>1.9859999999999993</v>
      </c>
      <c r="G44" s="203" t="s">
        <v>848</v>
      </c>
      <c r="H44" s="185"/>
      <c r="I44" s="186"/>
      <c r="J44" s="186"/>
      <c r="K44" s="18"/>
      <c r="Q44"/>
    </row>
    <row r="45" spans="1:17" ht="15.75" thickBot="1">
      <c r="A45" s="628"/>
      <c r="B45" s="208">
        <v>1</v>
      </c>
      <c r="C45" s="208">
        <v>1.9</v>
      </c>
      <c r="D45" s="208">
        <f t="shared" si="0"/>
        <v>0.89999999999999991</v>
      </c>
      <c r="E45" s="195">
        <f>SUM($D$2:D45)/SUM($B$2:B45)</f>
        <v>6.5590909090909075E-2</v>
      </c>
      <c r="F45" s="165">
        <f t="shared" si="1"/>
        <v>2.8859999999999992</v>
      </c>
      <c r="G45" s="204" t="s">
        <v>849</v>
      </c>
      <c r="H45" s="185"/>
      <c r="I45" s="186"/>
      <c r="J45" s="186"/>
      <c r="K45" s="18"/>
      <c r="Q45"/>
    </row>
    <row r="46" spans="1:17">
      <c r="A46" s="627">
        <v>45914</v>
      </c>
      <c r="B46" s="206">
        <v>1</v>
      </c>
      <c r="C46" s="206"/>
      <c r="D46" s="206">
        <f t="shared" si="0"/>
        <v>-1</v>
      </c>
      <c r="E46" s="193">
        <f>SUM($D$2:D46)/SUM($B$2:B46)</f>
        <v>4.1911111111111093E-2</v>
      </c>
      <c r="F46" s="163">
        <f t="shared" si="1"/>
        <v>1.8859999999999992</v>
      </c>
      <c r="G46" s="212" t="s">
        <v>849</v>
      </c>
      <c r="H46" s="185"/>
      <c r="I46" s="186"/>
      <c r="J46" s="186"/>
      <c r="K46" s="18"/>
      <c r="Q46"/>
    </row>
    <row r="47" spans="1:17">
      <c r="A47" s="628"/>
      <c r="B47" s="207">
        <v>1</v>
      </c>
      <c r="C47" s="207">
        <v>1.88</v>
      </c>
      <c r="D47" s="207">
        <f t="shared" si="0"/>
        <v>0.87999999999999989</v>
      </c>
      <c r="E47" s="156">
        <f>SUM($D$2:D47)/SUM($B$2:B47)</f>
        <v>6.0130434782608676E-2</v>
      </c>
      <c r="F47" s="151">
        <f t="shared" si="1"/>
        <v>2.7659999999999991</v>
      </c>
      <c r="G47" s="203" t="s">
        <v>850</v>
      </c>
      <c r="H47" s="185"/>
      <c r="I47" s="186"/>
      <c r="J47" s="186"/>
      <c r="K47" s="18"/>
      <c r="Q47"/>
    </row>
    <row r="48" spans="1:17">
      <c r="A48" s="628"/>
      <c r="B48" s="207">
        <v>1</v>
      </c>
      <c r="C48" s="207">
        <v>2</v>
      </c>
      <c r="D48" s="207">
        <f t="shared" si="0"/>
        <v>1</v>
      </c>
      <c r="E48" s="156">
        <f>SUM($D$2:D48)/SUM($B$2:B48)</f>
        <v>8.012765957446806E-2</v>
      </c>
      <c r="F48" s="151">
        <f t="shared" si="1"/>
        <v>3.7659999999999991</v>
      </c>
      <c r="G48" s="203" t="s">
        <v>844</v>
      </c>
      <c r="H48" s="185"/>
      <c r="I48" s="186"/>
      <c r="J48" s="186"/>
      <c r="K48" s="18"/>
      <c r="Q48"/>
    </row>
    <row r="49" spans="1:17">
      <c r="A49" s="628"/>
      <c r="B49" s="207">
        <v>1</v>
      </c>
      <c r="C49" s="207">
        <v>1.81</v>
      </c>
      <c r="D49" s="207">
        <f t="shared" si="0"/>
        <v>0.81</v>
      </c>
      <c r="E49" s="156">
        <f>SUM($D$2:D49)/SUM($B$2:B49)</f>
        <v>9.5333333333333312E-2</v>
      </c>
      <c r="F49" s="151">
        <f t="shared" si="1"/>
        <v>4.5759999999999987</v>
      </c>
      <c r="G49" s="203" t="s">
        <v>840</v>
      </c>
      <c r="H49" s="185"/>
      <c r="I49" s="186"/>
      <c r="J49" s="186"/>
      <c r="K49" s="18"/>
      <c r="Q49"/>
    </row>
    <row r="50" spans="1:17">
      <c r="A50" s="628"/>
      <c r="B50" s="207">
        <v>1</v>
      </c>
      <c r="C50" s="207"/>
      <c r="D50" s="207">
        <f t="shared" si="0"/>
        <v>-1</v>
      </c>
      <c r="E50" s="156">
        <f>SUM($D$2:D50)/SUM($B$2:B50)</f>
        <v>7.2979591836734664E-2</v>
      </c>
      <c r="F50" s="151">
        <f t="shared" si="1"/>
        <v>3.5759999999999987</v>
      </c>
      <c r="G50" s="203" t="s">
        <v>843</v>
      </c>
      <c r="H50" s="185"/>
      <c r="I50" s="186"/>
      <c r="J50" s="186"/>
      <c r="K50" s="18"/>
      <c r="Q50"/>
    </row>
    <row r="51" spans="1:17" ht="15.75" thickBot="1">
      <c r="A51" s="629"/>
      <c r="B51" s="208">
        <v>1</v>
      </c>
      <c r="C51" s="208"/>
      <c r="D51" s="208">
        <f t="shared" si="0"/>
        <v>-1</v>
      </c>
      <c r="E51" s="195">
        <f>SUM($D$2:D51)/SUM($B$2:B51)</f>
        <v>5.1519999999999976E-2</v>
      </c>
      <c r="F51" s="165">
        <f t="shared" si="1"/>
        <v>2.5759999999999987</v>
      </c>
      <c r="G51" s="204" t="s">
        <v>848</v>
      </c>
      <c r="H51" s="185"/>
      <c r="I51" s="186"/>
      <c r="J51" s="186"/>
      <c r="K51" s="18"/>
      <c r="Q51"/>
    </row>
    <row r="52" spans="1:17">
      <c r="A52" s="627">
        <v>45915</v>
      </c>
      <c r="B52" s="207">
        <v>1</v>
      </c>
      <c r="C52" s="207">
        <v>1.84</v>
      </c>
      <c r="D52" s="207">
        <f t="shared" si="0"/>
        <v>0.84000000000000008</v>
      </c>
      <c r="E52" s="156">
        <f>SUM($D$2:D52)/SUM($B$2:B52)</f>
        <v>6.6980392156862717E-2</v>
      </c>
      <c r="F52" s="151">
        <f t="shared" si="1"/>
        <v>3.4159999999999986</v>
      </c>
      <c r="G52" s="203" t="s">
        <v>851</v>
      </c>
      <c r="H52" s="185"/>
      <c r="I52" s="186"/>
      <c r="J52" s="186"/>
      <c r="K52" s="18"/>
      <c r="Q52"/>
    </row>
    <row r="53" spans="1:17">
      <c r="A53" s="628"/>
      <c r="B53" s="207">
        <v>1</v>
      </c>
      <c r="C53" s="207">
        <v>1.97</v>
      </c>
      <c r="D53" s="207">
        <f t="shared" si="0"/>
        <v>0.97</v>
      </c>
      <c r="E53" s="156">
        <f>SUM($D$2:D53)/SUM($B$2:B53)</f>
        <v>8.4346153846153821E-2</v>
      </c>
      <c r="F53" s="151">
        <f t="shared" si="1"/>
        <v>4.3859999999999983</v>
      </c>
      <c r="G53" s="203" t="s">
        <v>852</v>
      </c>
      <c r="H53" s="185"/>
      <c r="I53" s="186"/>
      <c r="J53" s="186"/>
      <c r="K53" s="18"/>
      <c r="Q53"/>
    </row>
    <row r="54" spans="1:17" ht="15.75" thickBot="1">
      <c r="A54" s="629"/>
      <c r="B54" s="208">
        <v>1</v>
      </c>
      <c r="C54" s="208">
        <v>1.909</v>
      </c>
      <c r="D54" s="208">
        <f t="shared" si="0"/>
        <v>0.90900000000000003</v>
      </c>
      <c r="E54" s="195">
        <f>SUM($D$2:D54)/SUM($B$2:B54)</f>
        <v>9.9905660377358457E-2</v>
      </c>
      <c r="F54" s="165">
        <f t="shared" si="1"/>
        <v>5.2949999999999982</v>
      </c>
      <c r="G54" s="204" t="s">
        <v>853</v>
      </c>
      <c r="H54" s="185"/>
      <c r="I54" s="186"/>
      <c r="J54" s="186"/>
      <c r="K54" s="18"/>
      <c r="Q54"/>
    </row>
    <row r="55" spans="1:17">
      <c r="A55" s="627">
        <v>45916</v>
      </c>
      <c r="B55" s="207">
        <v>1</v>
      </c>
      <c r="C55" s="207">
        <v>1.86</v>
      </c>
      <c r="D55" s="207">
        <f t="shared" si="0"/>
        <v>0.8600000000000001</v>
      </c>
      <c r="E55" s="156">
        <f>SUM($D$2:D55)/SUM($B$2:B55)</f>
        <v>0.11398148148148145</v>
      </c>
      <c r="F55" s="151">
        <f t="shared" si="1"/>
        <v>6.1549999999999985</v>
      </c>
      <c r="G55" s="277" t="s">
        <v>851</v>
      </c>
      <c r="H55" s="185"/>
      <c r="I55" s="186"/>
      <c r="J55" s="186"/>
      <c r="K55" s="18"/>
      <c r="Q55"/>
    </row>
    <row r="56" spans="1:17">
      <c r="A56" s="628"/>
      <c r="B56" s="207">
        <v>1</v>
      </c>
      <c r="C56" s="207"/>
      <c r="D56" s="207">
        <f t="shared" si="0"/>
        <v>-1</v>
      </c>
      <c r="E56" s="156">
        <f>SUM($D$2:D56)/SUM($B$2:B56)</f>
        <v>9.3727272727272701E-2</v>
      </c>
      <c r="F56" s="151">
        <f t="shared" si="1"/>
        <v>5.1549999999999985</v>
      </c>
      <c r="G56" s="203" t="s">
        <v>854</v>
      </c>
      <c r="H56" s="185"/>
      <c r="I56" s="186"/>
      <c r="J56" s="186"/>
      <c r="K56" s="18"/>
      <c r="Q56"/>
    </row>
    <row r="57" spans="1:17">
      <c r="A57" s="628"/>
      <c r="B57" s="207">
        <v>1</v>
      </c>
      <c r="C57" s="207">
        <v>1.95</v>
      </c>
      <c r="D57" s="207">
        <f t="shared" si="0"/>
        <v>0.95</v>
      </c>
      <c r="E57" s="156">
        <f>SUM($D$2:D57)/SUM($B$2:B57)</f>
        <v>0.10901785714285712</v>
      </c>
      <c r="F57" s="151">
        <f t="shared" si="1"/>
        <v>6.1049999999999986</v>
      </c>
      <c r="G57" s="203" t="s">
        <v>853</v>
      </c>
      <c r="H57" s="185"/>
      <c r="I57" s="186"/>
      <c r="J57" s="186"/>
      <c r="K57" s="18"/>
      <c r="Q57"/>
    </row>
    <row r="58" spans="1:17">
      <c r="A58" s="628"/>
      <c r="B58" s="207">
        <v>1</v>
      </c>
      <c r="C58" s="207">
        <v>1.98</v>
      </c>
      <c r="D58" s="207">
        <f t="shared" si="0"/>
        <v>0.98</v>
      </c>
      <c r="E58" s="156">
        <f>SUM($D$2:D58)/SUM($B$2:B58)</f>
        <v>0.12429824561403507</v>
      </c>
      <c r="F58" s="151">
        <f t="shared" si="1"/>
        <v>7.0849999999999991</v>
      </c>
      <c r="G58" s="203" t="s">
        <v>852</v>
      </c>
      <c r="H58" s="185"/>
      <c r="I58" s="186"/>
      <c r="J58" s="186"/>
      <c r="K58" s="18"/>
      <c r="Q58"/>
    </row>
    <row r="59" spans="1:17">
      <c r="A59" s="628"/>
      <c r="B59" s="207">
        <v>1</v>
      </c>
      <c r="C59" s="207">
        <v>1.87</v>
      </c>
      <c r="D59" s="207">
        <f t="shared" si="0"/>
        <v>0.87000000000000011</v>
      </c>
      <c r="E59" s="156">
        <f>SUM($D$2:D59)/SUM($B$2:B59)</f>
        <v>0.1371551724137931</v>
      </c>
      <c r="F59" s="151">
        <f t="shared" si="1"/>
        <v>7.9549999999999992</v>
      </c>
      <c r="G59" s="203" t="s">
        <v>855</v>
      </c>
      <c r="H59" s="185"/>
      <c r="I59" s="186"/>
      <c r="J59" s="186"/>
      <c r="K59" s="18"/>
      <c r="Q59"/>
    </row>
    <row r="60" spans="1:17" ht="15.75" thickBot="1">
      <c r="A60" s="629"/>
      <c r="B60" s="208">
        <v>1</v>
      </c>
      <c r="C60" s="208"/>
      <c r="D60" s="208">
        <f t="shared" si="0"/>
        <v>-1</v>
      </c>
      <c r="E60" s="195">
        <f>SUM($D$2:D60)/SUM($B$2:B60)</f>
        <v>0.11788135593220338</v>
      </c>
      <c r="F60" s="165">
        <f t="shared" si="1"/>
        <v>6.9549999999999992</v>
      </c>
      <c r="G60" s="204" t="s">
        <v>856</v>
      </c>
      <c r="H60" s="185"/>
      <c r="I60" s="186"/>
      <c r="J60" s="186"/>
      <c r="K60" s="18"/>
      <c r="Q60"/>
    </row>
    <row r="61" spans="1:17">
      <c r="A61" s="627">
        <v>45917</v>
      </c>
      <c r="B61" s="167">
        <v>1</v>
      </c>
      <c r="C61" s="206">
        <v>3.14</v>
      </c>
      <c r="D61" s="206">
        <f t="shared" si="0"/>
        <v>2.14</v>
      </c>
      <c r="E61" s="193">
        <f>SUM($D$2:D61)/SUM($B$2:B61)</f>
        <v>0.15158333333333332</v>
      </c>
      <c r="F61" s="163">
        <f t="shared" si="1"/>
        <v>9.0949999999999989</v>
      </c>
      <c r="G61" s="202" t="s">
        <v>857</v>
      </c>
      <c r="H61" s="185"/>
      <c r="I61" s="186"/>
      <c r="J61" s="186"/>
      <c r="K61" s="18"/>
      <c r="Q61"/>
    </row>
    <row r="62" spans="1:17" ht="15.75" thickBot="1">
      <c r="A62" s="628"/>
      <c r="B62" s="172">
        <v>1</v>
      </c>
      <c r="C62" s="208">
        <v>2.81</v>
      </c>
      <c r="D62" s="208">
        <f t="shared" si="0"/>
        <v>1.81</v>
      </c>
      <c r="E62" s="195">
        <f>SUM($D$2:D62)/SUM($B$2:B62)</f>
        <v>0.17877049180327867</v>
      </c>
      <c r="F62" s="165">
        <f t="shared" si="1"/>
        <v>10.904999999999999</v>
      </c>
      <c r="G62" s="204" t="s">
        <v>858</v>
      </c>
      <c r="H62" s="185"/>
      <c r="I62" s="186"/>
      <c r="J62" s="186"/>
      <c r="K62" s="18"/>
      <c r="Q62"/>
    </row>
    <row r="63" spans="1:17">
      <c r="A63" s="628"/>
      <c r="B63" s="209">
        <v>1</v>
      </c>
      <c r="C63" s="209">
        <v>2.0099999999999998</v>
      </c>
      <c r="D63" s="209">
        <f t="shared" si="0"/>
        <v>1.0099999999999998</v>
      </c>
      <c r="E63" s="197">
        <f>SUM($D$2:D63)/SUM($B$2:B63)</f>
        <v>0.1921774193548387</v>
      </c>
      <c r="F63" s="164">
        <f t="shared" si="1"/>
        <v>11.914999999999999</v>
      </c>
      <c r="G63" s="279" t="s">
        <v>859</v>
      </c>
      <c r="H63" s="185"/>
      <c r="I63" s="186"/>
      <c r="J63" s="186"/>
      <c r="K63" s="18"/>
      <c r="Q63"/>
    </row>
    <row r="64" spans="1:17">
      <c r="A64" s="628"/>
      <c r="B64" s="207">
        <v>1</v>
      </c>
      <c r="C64" s="207">
        <v>1.87</v>
      </c>
      <c r="D64" s="207">
        <f t="shared" si="0"/>
        <v>0.87000000000000011</v>
      </c>
      <c r="E64" s="156">
        <f>SUM($D$2:D64)/SUM($B$2:B64)</f>
        <v>0.20293650793650794</v>
      </c>
      <c r="F64" s="151">
        <f t="shared" si="1"/>
        <v>12.785</v>
      </c>
      <c r="G64" s="203" t="s">
        <v>860</v>
      </c>
      <c r="H64" s="185"/>
      <c r="I64" s="186"/>
      <c r="J64" s="186"/>
      <c r="K64" s="18"/>
      <c r="Q64"/>
    </row>
    <row r="65" spans="1:17">
      <c r="A65" s="628"/>
      <c r="B65" s="207">
        <v>1</v>
      </c>
      <c r="C65" s="207"/>
      <c r="D65" s="207">
        <f t="shared" si="0"/>
        <v>-1</v>
      </c>
      <c r="E65" s="156">
        <f>SUM($D$2:D65)/SUM($B$2:B65)</f>
        <v>0.184140625</v>
      </c>
      <c r="F65" s="151">
        <f t="shared" si="1"/>
        <v>11.785</v>
      </c>
      <c r="G65" s="203" t="s">
        <v>851</v>
      </c>
      <c r="H65" s="185"/>
      <c r="I65" s="186"/>
      <c r="J65" s="186"/>
      <c r="K65" s="18"/>
      <c r="Q65"/>
    </row>
    <row r="66" spans="1:17">
      <c r="A66" s="628"/>
      <c r="B66" s="207">
        <v>1</v>
      </c>
      <c r="C66" s="207">
        <v>1.93</v>
      </c>
      <c r="D66" s="207">
        <f t="shared" si="0"/>
        <v>0.92999999999999994</v>
      </c>
      <c r="E66" s="156">
        <f>SUM($D$2:D66)/SUM($B$2:B66)</f>
        <v>0.19561538461538461</v>
      </c>
      <c r="F66" s="151">
        <f t="shared" si="1"/>
        <v>12.715</v>
      </c>
      <c r="G66" s="203" t="s">
        <v>861</v>
      </c>
      <c r="H66" s="185"/>
      <c r="I66" s="186"/>
      <c r="J66" s="186"/>
      <c r="K66" s="18"/>
      <c r="Q66"/>
    </row>
    <row r="67" spans="1:17">
      <c r="A67" s="628"/>
      <c r="B67" s="207">
        <v>1</v>
      </c>
      <c r="C67" s="207"/>
      <c r="D67" s="207">
        <f t="shared" ref="D67:D119" si="2">(B67*C67)-B67</f>
        <v>-1</v>
      </c>
      <c r="E67" s="156">
        <f>SUM($D$2:D67)/SUM($B$2:B67)</f>
        <v>0.17749999999999999</v>
      </c>
      <c r="F67" s="151">
        <f t="shared" si="1"/>
        <v>11.715</v>
      </c>
      <c r="G67" s="203" t="s">
        <v>862</v>
      </c>
      <c r="H67" s="185"/>
      <c r="I67" s="186"/>
      <c r="J67" s="186"/>
      <c r="K67" s="18"/>
      <c r="Q67"/>
    </row>
    <row r="68" spans="1:17" ht="15.75" thickBot="1">
      <c r="A68" s="629"/>
      <c r="B68" s="208">
        <v>1</v>
      </c>
      <c r="C68" s="208">
        <v>1.87</v>
      </c>
      <c r="D68" s="208">
        <f t="shared" si="2"/>
        <v>0.87000000000000011</v>
      </c>
      <c r="E68" s="195">
        <f>SUM($D$2:D68)/SUM($B$2:B68)</f>
        <v>0.18783582089552239</v>
      </c>
      <c r="F68" s="165">
        <f t="shared" ref="F68:F119" si="3">F67+D68</f>
        <v>12.585000000000001</v>
      </c>
      <c r="G68" s="204" t="s">
        <v>855</v>
      </c>
      <c r="H68" s="185"/>
      <c r="I68" s="186"/>
      <c r="J68" s="186"/>
      <c r="K68" s="18"/>
      <c r="Q68"/>
    </row>
    <row r="69" spans="1:17">
      <c r="A69" s="627">
        <v>45918</v>
      </c>
      <c r="B69" s="206">
        <v>1</v>
      </c>
      <c r="C69" s="206"/>
      <c r="D69" s="206">
        <f t="shared" si="2"/>
        <v>-1</v>
      </c>
      <c r="E69" s="193">
        <f>SUM($D$2:D69)/SUM($B$2:B69)</f>
        <v>0.17036764705882354</v>
      </c>
      <c r="F69" s="163">
        <f t="shared" si="3"/>
        <v>11.585000000000001</v>
      </c>
      <c r="G69" s="203" t="s">
        <v>853</v>
      </c>
      <c r="H69" s="185"/>
      <c r="I69" s="186"/>
      <c r="J69" s="186"/>
      <c r="K69" s="18"/>
      <c r="Q69"/>
    </row>
    <row r="70" spans="1:17">
      <c r="A70" s="628"/>
      <c r="B70" s="207">
        <v>1</v>
      </c>
      <c r="C70" s="207">
        <v>1.87</v>
      </c>
      <c r="D70" s="207">
        <f t="shared" si="2"/>
        <v>0.87000000000000011</v>
      </c>
      <c r="E70" s="156">
        <f>SUM($D$2:D70)/SUM($B$2:B70)</f>
        <v>0.18050724637681162</v>
      </c>
      <c r="F70" s="151">
        <f t="shared" si="3"/>
        <v>12.455000000000002</v>
      </c>
      <c r="G70" s="203" t="s">
        <v>863</v>
      </c>
      <c r="H70" s="185"/>
      <c r="I70" s="186"/>
      <c r="J70" s="186"/>
      <c r="K70" s="18"/>
      <c r="Q70"/>
    </row>
    <row r="71" spans="1:17">
      <c r="A71" s="628"/>
      <c r="B71" s="207">
        <v>1</v>
      </c>
      <c r="C71" s="207">
        <v>1.9</v>
      </c>
      <c r="D71" s="207">
        <f t="shared" si="2"/>
        <v>0.89999999999999991</v>
      </c>
      <c r="E71" s="156">
        <f>SUM($D$2:D71)/SUM($B$2:B71)</f>
        <v>0.19078571428571431</v>
      </c>
      <c r="F71" s="151">
        <f t="shared" si="3"/>
        <v>13.355000000000002</v>
      </c>
      <c r="G71" s="203" t="s">
        <v>864</v>
      </c>
      <c r="H71" s="185"/>
      <c r="I71" s="186"/>
      <c r="J71" s="186"/>
      <c r="K71" s="18"/>
      <c r="Q71"/>
    </row>
    <row r="72" spans="1:17">
      <c r="A72" s="628"/>
      <c r="B72" s="207">
        <v>1</v>
      </c>
      <c r="C72" s="207"/>
      <c r="D72" s="207">
        <f t="shared" si="2"/>
        <v>-1</v>
      </c>
      <c r="E72" s="156">
        <f>SUM($D$2:D72)/SUM($B$2:B72)</f>
        <v>0.17401408450704228</v>
      </c>
      <c r="F72" s="151">
        <f t="shared" si="3"/>
        <v>12.355000000000002</v>
      </c>
      <c r="G72" s="203" t="s">
        <v>865</v>
      </c>
      <c r="H72" s="185"/>
      <c r="I72" s="186"/>
      <c r="J72" s="186"/>
      <c r="K72" s="18"/>
      <c r="Q72"/>
    </row>
    <row r="73" spans="1:17">
      <c r="A73" s="628"/>
      <c r="B73" s="207">
        <v>1</v>
      </c>
      <c r="C73" s="207"/>
      <c r="D73" s="207">
        <f t="shared" si="2"/>
        <v>-1</v>
      </c>
      <c r="E73" s="156">
        <f>SUM($D$2:D73)/SUM($B$2:B73)</f>
        <v>0.15770833333333337</v>
      </c>
      <c r="F73" s="151">
        <f t="shared" si="3"/>
        <v>11.355000000000002</v>
      </c>
      <c r="G73" s="203" t="s">
        <v>866</v>
      </c>
      <c r="H73" s="185"/>
      <c r="I73" s="186"/>
      <c r="J73" s="186"/>
      <c r="K73" s="18"/>
      <c r="Q73"/>
    </row>
    <row r="74" spans="1:17" ht="15.75" thickBot="1">
      <c r="A74" s="629"/>
      <c r="B74" s="208">
        <v>1</v>
      </c>
      <c r="C74" s="208"/>
      <c r="D74" s="208">
        <f t="shared" si="2"/>
        <v>-1</v>
      </c>
      <c r="E74" s="195">
        <f>SUM($D$2:D74)/SUM($B$2:B74)</f>
        <v>0.14184931506849319</v>
      </c>
      <c r="F74" s="165">
        <f t="shared" si="3"/>
        <v>10.355000000000002</v>
      </c>
      <c r="G74" s="204" t="s">
        <v>867</v>
      </c>
      <c r="H74" s="185"/>
      <c r="I74" s="186"/>
      <c r="J74" s="186"/>
      <c r="K74" s="18"/>
      <c r="Q74"/>
    </row>
    <row r="75" spans="1:17">
      <c r="A75" s="627">
        <v>45919</v>
      </c>
      <c r="B75" s="206">
        <v>1</v>
      </c>
      <c r="C75" s="206">
        <v>2.0099999999999998</v>
      </c>
      <c r="D75" s="206">
        <f t="shared" si="2"/>
        <v>1.0099999999999998</v>
      </c>
      <c r="E75" s="193">
        <f>SUM($D$2:D75)/SUM($B$2:B75)</f>
        <v>0.15358108108108109</v>
      </c>
      <c r="F75" s="163">
        <f t="shared" si="3"/>
        <v>11.365000000000002</v>
      </c>
      <c r="G75" s="203" t="s">
        <v>868</v>
      </c>
      <c r="H75" s="185"/>
      <c r="I75" s="186"/>
      <c r="J75" s="186"/>
      <c r="K75" s="18"/>
      <c r="Q75"/>
    </row>
    <row r="76" spans="1:17">
      <c r="A76" s="628"/>
      <c r="B76" s="207">
        <v>1</v>
      </c>
      <c r="C76" s="207">
        <v>1.615</v>
      </c>
      <c r="D76" s="207">
        <f t="shared" si="2"/>
        <v>0.61499999999999999</v>
      </c>
      <c r="E76" s="156">
        <f>SUM($D$2:D76)/SUM($B$2:B76)</f>
        <v>0.15973333333333337</v>
      </c>
      <c r="F76" s="151">
        <f t="shared" si="3"/>
        <v>11.980000000000002</v>
      </c>
      <c r="G76" s="203" t="s">
        <v>869</v>
      </c>
      <c r="H76" s="185"/>
      <c r="I76" s="186"/>
      <c r="J76" s="186"/>
      <c r="K76" s="18"/>
      <c r="Q76"/>
    </row>
    <row r="77" spans="1:17">
      <c r="A77" s="628"/>
      <c r="B77" s="207">
        <v>1</v>
      </c>
      <c r="C77" s="207">
        <v>1.92</v>
      </c>
      <c r="D77" s="207">
        <f t="shared" si="2"/>
        <v>0.91999999999999993</v>
      </c>
      <c r="E77" s="156">
        <f>SUM($D$2:D77)/SUM($B$2:B77)</f>
        <v>0.16973684210526319</v>
      </c>
      <c r="F77" s="151">
        <f t="shared" si="3"/>
        <v>12.900000000000002</v>
      </c>
      <c r="G77" s="203" t="s">
        <v>866</v>
      </c>
      <c r="H77" s="185"/>
      <c r="I77" s="186"/>
      <c r="J77" s="186"/>
      <c r="K77" s="18"/>
      <c r="Q77"/>
    </row>
    <row r="78" spans="1:17">
      <c r="A78" s="628"/>
      <c r="B78" s="207">
        <v>1</v>
      </c>
      <c r="C78" s="207">
        <v>1.84</v>
      </c>
      <c r="D78" s="207">
        <f t="shared" si="2"/>
        <v>0.84000000000000008</v>
      </c>
      <c r="E78" s="156">
        <f>SUM($D$2:D78)/SUM($B$2:B78)</f>
        <v>0.17844155844155846</v>
      </c>
      <c r="F78" s="151">
        <f t="shared" si="3"/>
        <v>13.740000000000002</v>
      </c>
      <c r="G78" s="203" t="s">
        <v>870</v>
      </c>
      <c r="H78" s="185"/>
      <c r="I78" s="186"/>
      <c r="J78" s="186"/>
      <c r="K78" s="18"/>
      <c r="Q78"/>
    </row>
    <row r="79" spans="1:17">
      <c r="A79" s="628"/>
      <c r="B79" s="207">
        <v>1</v>
      </c>
      <c r="C79" s="207">
        <v>1.909</v>
      </c>
      <c r="D79" s="207">
        <f t="shared" si="2"/>
        <v>0.90900000000000003</v>
      </c>
      <c r="E79" s="156">
        <f>SUM($D$2:D79)/SUM($B$2:B79)</f>
        <v>0.18780769230769234</v>
      </c>
      <c r="F79" s="151">
        <f t="shared" si="3"/>
        <v>14.649000000000003</v>
      </c>
      <c r="G79" s="203" t="s">
        <v>871</v>
      </c>
      <c r="H79" s="185"/>
      <c r="I79" s="186"/>
      <c r="J79" s="186"/>
      <c r="K79" s="18"/>
      <c r="Q79"/>
    </row>
    <row r="80" spans="1:17">
      <c r="A80" s="628"/>
      <c r="B80" s="207">
        <v>1</v>
      </c>
      <c r="C80" s="207">
        <v>1.98</v>
      </c>
      <c r="D80" s="207">
        <f t="shared" si="2"/>
        <v>0.98</v>
      </c>
      <c r="E80" s="156">
        <f>SUM($D$2:D80)/SUM($B$2:B80)</f>
        <v>0.19783544303797473</v>
      </c>
      <c r="F80" s="151">
        <f t="shared" si="3"/>
        <v>15.629000000000003</v>
      </c>
      <c r="G80" s="203" t="s">
        <v>872</v>
      </c>
      <c r="H80" s="185"/>
      <c r="I80" s="186"/>
      <c r="J80" s="186"/>
      <c r="K80" s="18"/>
      <c r="Q80"/>
    </row>
    <row r="81" spans="1:17">
      <c r="A81" s="628"/>
      <c r="B81" s="207">
        <v>1</v>
      </c>
      <c r="C81" s="207">
        <v>1.909</v>
      </c>
      <c r="D81" s="207">
        <f t="shared" si="2"/>
        <v>0.90900000000000003</v>
      </c>
      <c r="E81" s="156">
        <f>SUM($D$2:D81)/SUM($B$2:B81)</f>
        <v>0.20672500000000005</v>
      </c>
      <c r="F81" s="151">
        <f t="shared" si="3"/>
        <v>16.538000000000004</v>
      </c>
      <c r="G81" s="203" t="s">
        <v>867</v>
      </c>
      <c r="H81" s="185"/>
      <c r="I81" s="186"/>
      <c r="J81" s="186"/>
      <c r="K81" s="18"/>
      <c r="Q81"/>
    </row>
    <row r="82" spans="1:17">
      <c r="A82" s="628"/>
      <c r="B82" s="207">
        <v>1</v>
      </c>
      <c r="C82" s="207">
        <v>2.06</v>
      </c>
      <c r="D82" s="207">
        <f t="shared" si="2"/>
        <v>1.06</v>
      </c>
      <c r="E82" s="156">
        <f>SUM($D$2:D82)/SUM($B$2:B82)</f>
        <v>0.21725925925925929</v>
      </c>
      <c r="F82" s="151">
        <f t="shared" si="3"/>
        <v>17.598000000000003</v>
      </c>
      <c r="G82" s="203" t="s">
        <v>873</v>
      </c>
      <c r="H82" s="185"/>
      <c r="I82" s="186"/>
      <c r="J82" s="186"/>
      <c r="K82" s="18"/>
      <c r="Q82"/>
    </row>
    <row r="83" spans="1:17">
      <c r="A83" s="628"/>
      <c r="B83" s="207">
        <v>1</v>
      </c>
      <c r="C83" s="207"/>
      <c r="D83" s="207">
        <f t="shared" si="2"/>
        <v>-1</v>
      </c>
      <c r="E83" s="156">
        <f>SUM($D$2:D83)/SUM($B$2:B83)</f>
        <v>0.2024146341463415</v>
      </c>
      <c r="F83" s="151">
        <f t="shared" si="3"/>
        <v>16.598000000000003</v>
      </c>
      <c r="G83" s="203" t="s">
        <v>864</v>
      </c>
      <c r="H83" s="185"/>
      <c r="I83" s="186"/>
      <c r="J83" s="186"/>
      <c r="K83" s="18"/>
      <c r="Q83"/>
    </row>
    <row r="84" spans="1:17" ht="15.75" thickBot="1">
      <c r="A84" s="629"/>
      <c r="B84" s="208">
        <v>1</v>
      </c>
      <c r="C84" s="208">
        <v>2.13</v>
      </c>
      <c r="D84" s="208">
        <f t="shared" si="2"/>
        <v>1.1299999999999999</v>
      </c>
      <c r="E84" s="195">
        <f>SUM($D$2:D84)/SUM($B$2:B84)</f>
        <v>0.21359036144578314</v>
      </c>
      <c r="F84" s="165">
        <f t="shared" si="3"/>
        <v>17.728000000000002</v>
      </c>
      <c r="G84" s="204" t="s">
        <v>874</v>
      </c>
      <c r="H84" s="185"/>
      <c r="I84" s="186"/>
      <c r="J84" s="186"/>
      <c r="K84" s="18"/>
      <c r="Q84"/>
    </row>
    <row r="85" spans="1:17">
      <c r="A85" s="627">
        <v>45920</v>
      </c>
      <c r="B85" s="207">
        <v>1</v>
      </c>
      <c r="C85" s="207">
        <v>1.93</v>
      </c>
      <c r="D85" s="207">
        <f t="shared" si="2"/>
        <v>0.92999999999999994</v>
      </c>
      <c r="E85" s="156">
        <f>SUM($D$2:D85)/SUM($B$2:B85)</f>
        <v>0.22211904761904763</v>
      </c>
      <c r="F85" s="151">
        <f t="shared" si="3"/>
        <v>18.658000000000001</v>
      </c>
      <c r="G85" s="203" t="s">
        <v>872</v>
      </c>
      <c r="H85" s="185"/>
      <c r="I85" s="186"/>
      <c r="J85" s="186"/>
      <c r="K85" s="18"/>
      <c r="Q85"/>
    </row>
    <row r="86" spans="1:17">
      <c r="A86" s="628"/>
      <c r="B86" s="207">
        <v>1</v>
      </c>
      <c r="C86" s="207">
        <v>1.88</v>
      </c>
      <c r="D86" s="207">
        <f t="shared" si="2"/>
        <v>0.87999999999999989</v>
      </c>
      <c r="E86" s="156">
        <f>SUM($D$2:D86)/SUM($B$2:B86)</f>
        <v>0.22985882352941175</v>
      </c>
      <c r="F86" s="151">
        <f t="shared" si="3"/>
        <v>19.538</v>
      </c>
      <c r="G86" s="203" t="s">
        <v>864</v>
      </c>
      <c r="H86" s="185"/>
      <c r="I86" s="186"/>
      <c r="J86" s="186"/>
      <c r="K86" s="18"/>
      <c r="Q86"/>
    </row>
    <row r="87" spans="1:17">
      <c r="A87" s="628"/>
      <c r="B87" s="207">
        <v>1</v>
      </c>
      <c r="C87" s="207">
        <v>1.87</v>
      </c>
      <c r="D87" s="207">
        <f t="shared" si="2"/>
        <v>0.87000000000000011</v>
      </c>
      <c r="E87" s="156">
        <f>SUM($D$2:D87)/SUM($B$2:B87)</f>
        <v>0.23730232558139536</v>
      </c>
      <c r="F87" s="151">
        <f t="shared" si="3"/>
        <v>20.408000000000001</v>
      </c>
      <c r="G87" s="203" t="s">
        <v>870</v>
      </c>
      <c r="H87" s="185"/>
      <c r="I87" s="186"/>
      <c r="J87" s="186"/>
      <c r="K87" s="18"/>
      <c r="Q87"/>
    </row>
    <row r="88" spans="1:17">
      <c r="A88" s="628"/>
      <c r="B88" s="207">
        <v>1</v>
      </c>
      <c r="C88" s="207">
        <v>1.87</v>
      </c>
      <c r="D88" s="207">
        <f t="shared" si="2"/>
        <v>0.87000000000000011</v>
      </c>
      <c r="E88" s="156">
        <f>SUM($D$2:D88)/SUM($B$2:B88)</f>
        <v>0.24457471264367819</v>
      </c>
      <c r="F88" s="151">
        <f t="shared" si="3"/>
        <v>21.278000000000002</v>
      </c>
      <c r="G88" s="203" t="s">
        <v>867</v>
      </c>
      <c r="H88" s="185"/>
      <c r="I88" s="186"/>
      <c r="J88" s="186"/>
      <c r="K88" s="18"/>
      <c r="Q88"/>
    </row>
    <row r="89" spans="1:17">
      <c r="A89" s="628"/>
      <c r="B89" s="207">
        <v>1</v>
      </c>
      <c r="C89" s="207"/>
      <c r="D89" s="207">
        <f t="shared" si="2"/>
        <v>-1</v>
      </c>
      <c r="E89" s="156">
        <f>SUM($D$2:D89)/SUM($B$2:B89)</f>
        <v>0.23043181818181821</v>
      </c>
      <c r="F89" s="151">
        <f t="shared" si="3"/>
        <v>20.278000000000002</v>
      </c>
      <c r="G89" s="203" t="s">
        <v>875</v>
      </c>
      <c r="H89" s="185"/>
      <c r="I89" s="186"/>
      <c r="J89" s="186"/>
      <c r="K89" s="18"/>
      <c r="Q89"/>
    </row>
    <row r="90" spans="1:17">
      <c r="A90" s="628"/>
      <c r="B90" s="207">
        <v>1</v>
      </c>
      <c r="C90" s="207"/>
      <c r="D90" s="207">
        <f t="shared" si="2"/>
        <v>-1</v>
      </c>
      <c r="E90" s="156">
        <f>SUM($D$2:D90)/SUM($B$2:B90)</f>
        <v>0.21660674157303372</v>
      </c>
      <c r="F90" s="151">
        <f t="shared" si="3"/>
        <v>19.278000000000002</v>
      </c>
      <c r="G90" s="203" t="s">
        <v>866</v>
      </c>
      <c r="H90" s="185"/>
      <c r="I90" s="186"/>
      <c r="J90" s="186"/>
      <c r="K90" s="18"/>
      <c r="Q90"/>
    </row>
    <row r="91" spans="1:17">
      <c r="A91" s="628"/>
      <c r="B91" s="207">
        <v>1</v>
      </c>
      <c r="C91" s="207"/>
      <c r="D91" s="207">
        <f t="shared" si="2"/>
        <v>-1</v>
      </c>
      <c r="E91" s="156">
        <f>SUM($D$2:D91)/SUM($B$2:B91)</f>
        <v>0.2030888888888889</v>
      </c>
      <c r="F91" s="151">
        <f t="shared" si="3"/>
        <v>18.278000000000002</v>
      </c>
      <c r="G91" s="203" t="s">
        <v>871</v>
      </c>
      <c r="H91" s="185"/>
      <c r="I91" s="186"/>
      <c r="J91" s="186"/>
      <c r="K91" s="18"/>
      <c r="Q91"/>
    </row>
    <row r="92" spans="1:17" ht="15.75" thickBot="1">
      <c r="A92" s="629"/>
      <c r="B92" s="208">
        <v>1</v>
      </c>
      <c r="C92" s="208">
        <v>2</v>
      </c>
      <c r="D92" s="208">
        <f t="shared" si="2"/>
        <v>1</v>
      </c>
      <c r="E92" s="195">
        <f>SUM($D$2:D92)/SUM($B$2:B92)</f>
        <v>0.21184615384615388</v>
      </c>
      <c r="F92" s="165">
        <f t="shared" si="3"/>
        <v>19.278000000000002</v>
      </c>
      <c r="G92" s="204" t="s">
        <v>873</v>
      </c>
      <c r="H92" s="185"/>
      <c r="I92" s="186"/>
      <c r="J92" s="186"/>
      <c r="K92" s="18"/>
      <c r="Q92"/>
    </row>
    <row r="93" spans="1:17">
      <c r="A93" s="627">
        <v>45921</v>
      </c>
      <c r="B93" s="167">
        <v>1</v>
      </c>
      <c r="C93" s="206"/>
      <c r="D93" s="206">
        <f t="shared" si="2"/>
        <v>-1</v>
      </c>
      <c r="E93" s="184">
        <f>SUM($D$2:D93)/SUM($B$2:B93)</f>
        <v>0.19867391304347828</v>
      </c>
      <c r="F93" s="163">
        <f t="shared" si="3"/>
        <v>18.278000000000002</v>
      </c>
      <c r="G93" s="202" t="s">
        <v>876</v>
      </c>
      <c r="H93" s="185"/>
      <c r="I93" s="186"/>
      <c r="J93" s="186"/>
      <c r="K93" s="18"/>
      <c r="Q93"/>
    </row>
    <row r="94" spans="1:17" ht="15.75" thickBot="1">
      <c r="A94" s="628"/>
      <c r="B94" s="234">
        <v>1</v>
      </c>
      <c r="C94" s="235"/>
      <c r="D94" s="235">
        <f t="shared" si="2"/>
        <v>-1</v>
      </c>
      <c r="E94" s="253">
        <f>SUM($D$2:D94)/SUM($B$2:B94)</f>
        <v>0.18578494623655917</v>
      </c>
      <c r="F94" s="236">
        <f t="shared" si="3"/>
        <v>17.278000000000002</v>
      </c>
      <c r="G94" s="254" t="s">
        <v>877</v>
      </c>
      <c r="H94" s="185"/>
      <c r="I94" s="186"/>
      <c r="J94" s="186"/>
      <c r="K94" s="18"/>
      <c r="Q94"/>
    </row>
    <row r="95" spans="1:17">
      <c r="A95" s="630"/>
      <c r="B95" s="167">
        <v>1</v>
      </c>
      <c r="C95" s="206"/>
      <c r="D95" s="206">
        <f t="shared" si="2"/>
        <v>-1</v>
      </c>
      <c r="E95" s="193">
        <f>SUM($D$2:D95)/SUM($B$2:B95)</f>
        <v>0.17317021276595748</v>
      </c>
      <c r="F95" s="163">
        <f t="shared" si="3"/>
        <v>16.278000000000002</v>
      </c>
      <c r="G95" s="202" t="s">
        <v>864</v>
      </c>
      <c r="H95" s="185"/>
      <c r="I95" s="186"/>
      <c r="J95" s="186"/>
      <c r="K95" s="18"/>
      <c r="Q95"/>
    </row>
    <row r="96" spans="1:17">
      <c r="A96" s="630"/>
      <c r="B96" s="169">
        <v>1</v>
      </c>
      <c r="C96" s="207"/>
      <c r="D96" s="207">
        <f t="shared" si="2"/>
        <v>-1</v>
      </c>
      <c r="E96" s="156">
        <f>SUM($D$2:D96)/SUM($B$2:B96)</f>
        <v>0.16082105263157898</v>
      </c>
      <c r="F96" s="151">
        <f t="shared" si="3"/>
        <v>15.278000000000002</v>
      </c>
      <c r="G96" s="203" t="s">
        <v>878</v>
      </c>
      <c r="H96" s="185"/>
      <c r="I96" s="186"/>
      <c r="J96" s="186"/>
      <c r="K96" s="18"/>
      <c r="Q96"/>
    </row>
    <row r="97" spans="1:17">
      <c r="A97" s="630"/>
      <c r="B97" s="169">
        <v>1</v>
      </c>
      <c r="C97" s="207"/>
      <c r="D97" s="207">
        <f t="shared" si="2"/>
        <v>-1</v>
      </c>
      <c r="E97" s="156">
        <f>SUM($D$2:D97)/SUM($B$2:B97)</f>
        <v>0.14872916666666669</v>
      </c>
      <c r="F97" s="151">
        <f t="shared" si="3"/>
        <v>14.278000000000002</v>
      </c>
      <c r="G97" s="203" t="s">
        <v>872</v>
      </c>
      <c r="H97" s="185"/>
      <c r="I97" s="186"/>
      <c r="J97" s="186"/>
      <c r="K97" s="18"/>
      <c r="Q97"/>
    </row>
    <row r="98" spans="1:17">
      <c r="A98" s="630"/>
      <c r="B98" s="169">
        <v>1</v>
      </c>
      <c r="C98" s="207">
        <v>1.87</v>
      </c>
      <c r="D98" s="207">
        <f t="shared" si="2"/>
        <v>0.87000000000000011</v>
      </c>
      <c r="E98" s="156">
        <f>SUM($D$2:D98)/SUM($B$2:B98)</f>
        <v>0.15616494845360829</v>
      </c>
      <c r="F98" s="151">
        <f t="shared" si="3"/>
        <v>15.148000000000003</v>
      </c>
      <c r="G98" s="203" t="s">
        <v>870</v>
      </c>
      <c r="H98" s="185"/>
      <c r="I98" s="186"/>
      <c r="J98" s="186"/>
      <c r="K98" s="18"/>
      <c r="Q98"/>
    </row>
    <row r="99" spans="1:17" ht="15.75" thickBot="1">
      <c r="A99" s="630"/>
      <c r="B99" s="170">
        <v>1</v>
      </c>
      <c r="C99" s="155">
        <v>1.64</v>
      </c>
      <c r="D99" s="155">
        <f t="shared" si="2"/>
        <v>0.6399999999999999</v>
      </c>
      <c r="E99" s="192">
        <f>SUM($D$2:D99)/SUM($B$2:B99)</f>
        <v>0.16110204081632656</v>
      </c>
      <c r="F99" s="152">
        <f t="shared" si="3"/>
        <v>15.788000000000004</v>
      </c>
      <c r="G99" s="211" t="s">
        <v>869</v>
      </c>
      <c r="H99" s="185"/>
      <c r="I99" s="186"/>
      <c r="J99" s="186"/>
      <c r="K99" s="18"/>
      <c r="Q99"/>
    </row>
    <row r="100" spans="1:17" ht="15.75" thickBot="1">
      <c r="A100" s="268">
        <v>45922</v>
      </c>
      <c r="B100" s="261">
        <v>1</v>
      </c>
      <c r="C100" s="265">
        <v>1.98</v>
      </c>
      <c r="D100" s="265">
        <f t="shared" si="2"/>
        <v>0.98</v>
      </c>
      <c r="E100" s="269">
        <f>SUM($D$2:D100)/SUM($B$2:B100)</f>
        <v>0.16937373737373743</v>
      </c>
      <c r="F100" s="262">
        <f t="shared" si="3"/>
        <v>16.768000000000004</v>
      </c>
      <c r="G100" s="266" t="s">
        <v>879</v>
      </c>
      <c r="H100" s="185"/>
      <c r="I100" s="186"/>
      <c r="J100" s="186"/>
      <c r="K100" s="18"/>
      <c r="Q100"/>
    </row>
    <row r="101" spans="1:17">
      <c r="A101" s="631">
        <v>45923</v>
      </c>
      <c r="B101" s="167">
        <v>1</v>
      </c>
      <c r="C101" s="206">
        <v>2.81</v>
      </c>
      <c r="D101" s="206">
        <f t="shared" si="2"/>
        <v>1.81</v>
      </c>
      <c r="E101" s="193">
        <f>SUM($D$2:D101)/SUM($B$2:B101)</f>
        <v>0.18578000000000003</v>
      </c>
      <c r="F101" s="163">
        <f t="shared" si="3"/>
        <v>18.578000000000003</v>
      </c>
      <c r="G101" s="202" t="s">
        <v>836</v>
      </c>
      <c r="H101" s="185"/>
      <c r="I101" s="186"/>
      <c r="J101" s="186"/>
      <c r="K101" s="18"/>
      <c r="Q101"/>
    </row>
    <row r="102" spans="1:17" ht="15.75" thickBot="1">
      <c r="A102" s="630"/>
      <c r="B102" s="172">
        <v>1</v>
      </c>
      <c r="C102" s="208">
        <v>2.85</v>
      </c>
      <c r="D102" s="208">
        <f t="shared" si="2"/>
        <v>1.85</v>
      </c>
      <c r="E102" s="195">
        <f>SUM($D$2:D102)/SUM($B$2:B102)</f>
        <v>0.2022574257425743</v>
      </c>
      <c r="F102" s="165">
        <f t="shared" si="3"/>
        <v>20.428000000000004</v>
      </c>
      <c r="G102" s="204" t="s">
        <v>880</v>
      </c>
      <c r="H102" s="185"/>
      <c r="I102" s="186"/>
      <c r="J102" s="186"/>
      <c r="K102" s="18"/>
      <c r="Q102"/>
    </row>
    <row r="103" spans="1:17">
      <c r="A103" s="630"/>
      <c r="B103" s="169">
        <v>1</v>
      </c>
      <c r="C103" s="207">
        <v>1.75</v>
      </c>
      <c r="D103" s="207">
        <f t="shared" si="2"/>
        <v>0.75</v>
      </c>
      <c r="E103" s="156">
        <f>SUM($D$2:D103)/SUM($B$2:B103)</f>
        <v>0.2076274509803922</v>
      </c>
      <c r="F103" s="151">
        <f t="shared" si="3"/>
        <v>21.178000000000004</v>
      </c>
      <c r="G103" s="203" t="s">
        <v>881</v>
      </c>
      <c r="H103" s="185"/>
      <c r="I103" s="186"/>
      <c r="J103" s="186"/>
      <c r="K103" s="18"/>
      <c r="Q103"/>
    </row>
    <row r="104" spans="1:17">
      <c r="A104" s="630"/>
      <c r="B104" s="169">
        <v>1</v>
      </c>
      <c r="C104" s="207"/>
      <c r="D104" s="207">
        <f t="shared" si="2"/>
        <v>-1</v>
      </c>
      <c r="E104" s="156">
        <f>SUM($D$2:D104)/SUM($B$2:B104)</f>
        <v>0.19590291262135925</v>
      </c>
      <c r="F104" s="151">
        <f t="shared" si="3"/>
        <v>20.178000000000004</v>
      </c>
      <c r="G104" s="203" t="s">
        <v>882</v>
      </c>
      <c r="H104" s="185"/>
      <c r="I104" s="186"/>
      <c r="J104" s="186"/>
      <c r="K104" s="18"/>
      <c r="Q104"/>
    </row>
    <row r="105" spans="1:17">
      <c r="A105" s="630"/>
      <c r="B105" s="169">
        <v>1</v>
      </c>
      <c r="C105" s="207">
        <v>1.95</v>
      </c>
      <c r="D105" s="207">
        <f t="shared" si="2"/>
        <v>0.95</v>
      </c>
      <c r="E105" s="156">
        <f>SUM($D$2:D105)/SUM($B$2:B105)</f>
        <v>0.20315384615384618</v>
      </c>
      <c r="F105" s="151">
        <f t="shared" si="3"/>
        <v>21.128000000000004</v>
      </c>
      <c r="G105" s="203" t="s">
        <v>883</v>
      </c>
      <c r="H105" s="185"/>
      <c r="I105" s="186"/>
      <c r="J105" s="186"/>
      <c r="K105" s="18"/>
      <c r="Q105"/>
    </row>
    <row r="106" spans="1:17">
      <c r="A106" s="630"/>
      <c r="B106" s="169">
        <v>1</v>
      </c>
      <c r="C106" s="207"/>
      <c r="D106" s="207">
        <f t="shared" si="2"/>
        <v>-1</v>
      </c>
      <c r="E106" s="156">
        <f>SUM($D$2:D106)/SUM($B$2:B106)</f>
        <v>0.19169523809523814</v>
      </c>
      <c r="F106" s="151">
        <f t="shared" si="3"/>
        <v>20.128000000000004</v>
      </c>
      <c r="G106" s="276" t="s">
        <v>884</v>
      </c>
      <c r="H106" s="185"/>
      <c r="I106" s="186"/>
      <c r="J106" s="186"/>
      <c r="K106" s="18"/>
      <c r="Q106"/>
    </row>
    <row r="107" spans="1:17">
      <c r="A107" s="630"/>
      <c r="B107" s="169">
        <v>1</v>
      </c>
      <c r="C107" s="207"/>
      <c r="D107" s="207">
        <f t="shared" si="2"/>
        <v>-1</v>
      </c>
      <c r="E107" s="156">
        <f>SUM($D$2:D107)/SUM($B$2:B107)</f>
        <v>0.18045283018867928</v>
      </c>
      <c r="F107" s="151">
        <f t="shared" si="3"/>
        <v>19.128000000000004</v>
      </c>
      <c r="G107" s="203" t="s">
        <v>885</v>
      </c>
      <c r="H107" s="185"/>
      <c r="I107" s="186"/>
      <c r="J107" s="186"/>
      <c r="K107" s="18"/>
      <c r="Q107"/>
    </row>
    <row r="108" spans="1:17" ht="15.75" thickBot="1">
      <c r="A108" s="632"/>
      <c r="B108" s="170">
        <v>1</v>
      </c>
      <c r="C108" s="155"/>
      <c r="D108" s="155">
        <f t="shared" si="2"/>
        <v>-1</v>
      </c>
      <c r="E108" s="192">
        <f>SUM($D$2:D108)/SUM($B$2:B108)</f>
        <v>0.1694205607476636</v>
      </c>
      <c r="F108" s="152">
        <f t="shared" si="3"/>
        <v>18.128000000000004</v>
      </c>
      <c r="G108" s="211" t="s">
        <v>886</v>
      </c>
      <c r="H108" s="185"/>
      <c r="I108" s="186"/>
      <c r="J108" s="186"/>
      <c r="K108" s="18"/>
      <c r="Q108"/>
    </row>
    <row r="109" spans="1:17">
      <c r="A109" s="631">
        <v>45924</v>
      </c>
      <c r="B109" s="167">
        <v>1</v>
      </c>
      <c r="C109" s="206"/>
      <c r="D109" s="206">
        <f t="shared" si="2"/>
        <v>-1</v>
      </c>
      <c r="E109" s="193">
        <f>SUM($D$2:D109)/SUM($B$2:B109)</f>
        <v>0.15859259259259262</v>
      </c>
      <c r="F109" s="163">
        <f t="shared" si="3"/>
        <v>17.128000000000004</v>
      </c>
      <c r="G109" s="202" t="s">
        <v>882</v>
      </c>
      <c r="H109" s="185"/>
      <c r="I109" s="186"/>
      <c r="J109" s="186"/>
      <c r="K109" s="18"/>
      <c r="Q109"/>
    </row>
    <row r="110" spans="1:17">
      <c r="A110" s="630"/>
      <c r="B110" s="169">
        <v>1</v>
      </c>
      <c r="C110" s="207">
        <v>1.833</v>
      </c>
      <c r="D110" s="207">
        <f t="shared" si="2"/>
        <v>0.83299999999999996</v>
      </c>
      <c r="E110" s="156">
        <f>SUM($D$2:D110)/SUM($B$2:B110)</f>
        <v>0.16477981651376147</v>
      </c>
      <c r="F110" s="151">
        <f t="shared" si="3"/>
        <v>17.961000000000002</v>
      </c>
      <c r="G110" s="203" t="s">
        <v>887</v>
      </c>
      <c r="H110" s="185"/>
      <c r="I110" s="186"/>
      <c r="J110" s="186"/>
      <c r="K110" s="18"/>
      <c r="Q110"/>
    </row>
    <row r="111" spans="1:17">
      <c r="A111" s="630"/>
      <c r="B111" s="169">
        <v>1</v>
      </c>
      <c r="C111" s="207">
        <v>2</v>
      </c>
      <c r="D111" s="207">
        <f t="shared" si="2"/>
        <v>1</v>
      </c>
      <c r="E111" s="156">
        <f>SUM($D$2:D111)/SUM($B$2:B111)</f>
        <v>0.17237272727272729</v>
      </c>
      <c r="F111" s="151">
        <f t="shared" si="3"/>
        <v>18.961000000000002</v>
      </c>
      <c r="G111" s="203" t="s">
        <v>884</v>
      </c>
      <c r="H111" s="185"/>
      <c r="I111" s="186"/>
      <c r="J111" s="186"/>
      <c r="K111" s="18"/>
      <c r="Q111"/>
    </row>
    <row r="112" spans="1:17">
      <c r="A112" s="630"/>
      <c r="B112" s="169">
        <v>1</v>
      </c>
      <c r="C112" s="207">
        <v>2.06</v>
      </c>
      <c r="D112" s="207">
        <f t="shared" si="2"/>
        <v>1.06</v>
      </c>
      <c r="E112" s="156">
        <f>SUM($D$2:D112)/SUM($B$2:B112)</f>
        <v>0.18036936936936937</v>
      </c>
      <c r="F112" s="151">
        <f t="shared" si="3"/>
        <v>20.021000000000001</v>
      </c>
      <c r="G112" s="203" t="s">
        <v>888</v>
      </c>
      <c r="H112" s="185"/>
      <c r="I112" s="186"/>
      <c r="J112" s="186"/>
      <c r="K112" s="18"/>
      <c r="Q112"/>
    </row>
    <row r="113" spans="1:17" ht="15.75" thickBot="1">
      <c r="A113" s="632"/>
      <c r="B113" s="172">
        <v>1</v>
      </c>
      <c r="C113" s="208"/>
      <c r="D113" s="208">
        <f t="shared" si="2"/>
        <v>-1</v>
      </c>
      <c r="E113" s="195">
        <f>SUM($D$2:D113)/SUM($B$2:B113)</f>
        <v>0.16983035714285716</v>
      </c>
      <c r="F113" s="165">
        <f t="shared" si="3"/>
        <v>19.021000000000001</v>
      </c>
      <c r="G113" s="204" t="s">
        <v>879</v>
      </c>
      <c r="H113" s="185"/>
      <c r="I113" s="186"/>
      <c r="J113" s="186"/>
      <c r="K113" s="18"/>
      <c r="Q113"/>
    </row>
    <row r="114" spans="1:17">
      <c r="A114" s="631">
        <v>45925</v>
      </c>
      <c r="B114" s="167">
        <v>1</v>
      </c>
      <c r="C114" s="206">
        <v>1.88</v>
      </c>
      <c r="D114" s="206">
        <f t="shared" si="2"/>
        <v>0.87999999999999989</v>
      </c>
      <c r="E114" s="193">
        <f>SUM($D$2:D114)/SUM($B$2:B114)</f>
        <v>0.17611504424778762</v>
      </c>
      <c r="F114" s="163">
        <f t="shared" si="3"/>
        <v>19.901</v>
      </c>
      <c r="G114" s="202" t="s">
        <v>882</v>
      </c>
      <c r="H114" s="185"/>
      <c r="I114" s="186"/>
      <c r="J114" s="186"/>
      <c r="K114" s="18"/>
      <c r="Q114"/>
    </row>
    <row r="115" spans="1:17">
      <c r="A115" s="630"/>
      <c r="B115" s="169">
        <v>1</v>
      </c>
      <c r="C115" s="207">
        <v>1.8</v>
      </c>
      <c r="D115" s="207">
        <f t="shared" si="2"/>
        <v>0.8</v>
      </c>
      <c r="E115" s="156">
        <f>SUM($D$2:D115)/SUM($B$2:B115)</f>
        <v>0.18158771929824563</v>
      </c>
      <c r="F115" s="151">
        <f t="shared" si="3"/>
        <v>20.701000000000001</v>
      </c>
      <c r="G115" s="203" t="s">
        <v>881</v>
      </c>
      <c r="H115" s="185"/>
      <c r="I115" s="186"/>
      <c r="J115" s="186"/>
      <c r="K115" s="18"/>
      <c r="Q115"/>
    </row>
    <row r="116" spans="1:17">
      <c r="A116" s="630"/>
      <c r="B116" s="169">
        <v>1</v>
      </c>
      <c r="C116" s="207"/>
      <c r="D116" s="207">
        <f t="shared" si="2"/>
        <v>-1</v>
      </c>
      <c r="E116" s="156">
        <f>SUM($D$2:D116)/SUM($B$2:B116)</f>
        <v>0.17131304347826087</v>
      </c>
      <c r="F116" s="151">
        <f t="shared" si="3"/>
        <v>19.701000000000001</v>
      </c>
      <c r="G116" s="203" t="s">
        <v>884</v>
      </c>
      <c r="H116" s="185"/>
      <c r="I116" s="186"/>
      <c r="J116" s="186"/>
      <c r="K116" s="18"/>
      <c r="Q116"/>
    </row>
    <row r="117" spans="1:17">
      <c r="A117" s="630"/>
      <c r="B117" s="169">
        <v>1</v>
      </c>
      <c r="C117" s="207">
        <v>1.98</v>
      </c>
      <c r="D117" s="207">
        <f t="shared" si="2"/>
        <v>0.98</v>
      </c>
      <c r="E117" s="156">
        <f>SUM($D$2:D117)/SUM($B$2:B117)</f>
        <v>0.17828448275862069</v>
      </c>
      <c r="F117" s="151">
        <f t="shared" si="3"/>
        <v>20.681000000000001</v>
      </c>
      <c r="G117" s="203" t="s">
        <v>889</v>
      </c>
      <c r="H117" s="185"/>
      <c r="I117" s="186"/>
      <c r="J117" s="186"/>
      <c r="K117" s="18"/>
      <c r="Q117"/>
    </row>
    <row r="118" spans="1:17">
      <c r="A118" s="630"/>
      <c r="B118" s="169">
        <v>1</v>
      </c>
      <c r="C118" s="207"/>
      <c r="D118" s="207">
        <f t="shared" si="2"/>
        <v>-1</v>
      </c>
      <c r="E118" s="156">
        <f>SUM($D$2:D118)/SUM($B$2:B118)</f>
        <v>0.16821367521367522</v>
      </c>
      <c r="F118" s="151">
        <f t="shared" si="3"/>
        <v>19.681000000000001</v>
      </c>
      <c r="G118" s="203" t="s">
        <v>890</v>
      </c>
      <c r="H118" s="185"/>
      <c r="I118" s="186"/>
      <c r="J118" s="186"/>
      <c r="K118" s="18"/>
      <c r="Q118"/>
    </row>
    <row r="119" spans="1:17" ht="15.75" thickBot="1">
      <c r="A119" s="630"/>
      <c r="B119" s="172">
        <v>1</v>
      </c>
      <c r="C119" s="208">
        <v>2.0299999999999998</v>
      </c>
      <c r="D119" s="208">
        <f t="shared" si="2"/>
        <v>1.0299999999999998</v>
      </c>
      <c r="E119" s="195">
        <f>SUM($D$2:D119)/SUM($B$2:B119)</f>
        <v>0.1755169491525424</v>
      </c>
      <c r="F119" s="165">
        <f t="shared" si="3"/>
        <v>20.711000000000002</v>
      </c>
      <c r="G119" s="204" t="s">
        <v>891</v>
      </c>
      <c r="H119" s="185"/>
      <c r="I119" s="186"/>
      <c r="J119" s="186"/>
      <c r="K119" s="18"/>
      <c r="Q119"/>
    </row>
    <row r="120" spans="1:17">
      <c r="A120" s="627">
        <v>45926</v>
      </c>
      <c r="B120" s="281">
        <v>1</v>
      </c>
      <c r="C120" s="218"/>
      <c r="D120" s="218">
        <f>(B120*C120)-B120</f>
        <v>-1</v>
      </c>
      <c r="E120" s="96">
        <f>SUM($D$2:D120)/SUM($B$2:B120)</f>
        <v>0.1656386554621849</v>
      </c>
      <c r="F120" s="97">
        <f>F119+D120</f>
        <v>19.711000000000002</v>
      </c>
      <c r="G120" s="219" t="s">
        <v>892</v>
      </c>
      <c r="H120" s="185"/>
      <c r="I120" s="186"/>
      <c r="J120" s="186"/>
      <c r="K120" s="18"/>
      <c r="Q120"/>
    </row>
    <row r="121" spans="1:17">
      <c r="A121" s="628"/>
      <c r="B121" s="103">
        <v>1</v>
      </c>
      <c r="C121" s="41"/>
      <c r="D121" s="41">
        <f>(B121*C121)-B121</f>
        <v>-1</v>
      </c>
      <c r="E121" s="47">
        <f>SUM($D$2:D121)/SUM($B$2:B121)</f>
        <v>0.15592500000000001</v>
      </c>
      <c r="F121" s="37">
        <f>F120+D121</f>
        <v>18.711000000000002</v>
      </c>
      <c r="G121" s="129" t="s">
        <v>893</v>
      </c>
      <c r="H121" s="185"/>
      <c r="I121" s="186"/>
      <c r="J121" s="186"/>
      <c r="K121" s="18"/>
      <c r="Q121"/>
    </row>
    <row r="122" spans="1:17">
      <c r="A122" s="628"/>
      <c r="B122" s="103">
        <v>1</v>
      </c>
      <c r="C122" s="41">
        <v>1.93</v>
      </c>
      <c r="D122" s="41">
        <f>(B122*C122)-B122</f>
        <v>0.92999999999999994</v>
      </c>
      <c r="E122" s="47">
        <f>SUM($D$2:D122)/SUM($B$2:B122)</f>
        <v>0.1623223140495868</v>
      </c>
      <c r="F122" s="37">
        <f>F121+D122</f>
        <v>19.641000000000002</v>
      </c>
      <c r="G122" s="129" t="s">
        <v>894</v>
      </c>
      <c r="H122" s="185"/>
      <c r="I122" s="186"/>
      <c r="J122" s="186"/>
      <c r="K122" s="18"/>
      <c r="Q122"/>
    </row>
    <row r="123" spans="1:17">
      <c r="A123" s="628"/>
      <c r="B123" s="103">
        <v>1</v>
      </c>
      <c r="C123" s="41">
        <v>2.06</v>
      </c>
      <c r="D123" s="41">
        <f>(B123*C123)-B123</f>
        <v>1.06</v>
      </c>
      <c r="E123" s="47">
        <f>SUM($D$2:D123)/SUM($B$2:B123)</f>
        <v>0.16968032786885245</v>
      </c>
      <c r="F123" s="37">
        <f>F122+D123</f>
        <v>20.701000000000001</v>
      </c>
      <c r="G123" s="129" t="s">
        <v>895</v>
      </c>
      <c r="H123" s="185"/>
      <c r="I123" s="186"/>
      <c r="J123" s="186"/>
      <c r="K123" s="18"/>
      <c r="Q123"/>
    </row>
    <row r="124" spans="1:17">
      <c r="A124" s="628"/>
      <c r="B124" s="103">
        <v>1</v>
      </c>
      <c r="C124" s="41">
        <v>1.87</v>
      </c>
      <c r="D124" s="41">
        <f>(B124*C124)-B124</f>
        <v>0.87000000000000011</v>
      </c>
      <c r="E124" s="47">
        <f>SUM($D$2:D124)/SUM($B$2:B124)</f>
        <v>0.1753739837398374</v>
      </c>
      <c r="F124" s="37">
        <f>F123+D124</f>
        <v>21.571000000000002</v>
      </c>
      <c r="G124" s="129" t="s">
        <v>896</v>
      </c>
      <c r="H124" s="185"/>
      <c r="I124" s="186"/>
      <c r="J124" s="186"/>
      <c r="K124" s="18"/>
      <c r="Q124"/>
    </row>
    <row r="125" spans="1:17">
      <c r="A125" s="628"/>
      <c r="B125" s="103">
        <v>1</v>
      </c>
      <c r="C125" s="41">
        <v>2.0099999999999998</v>
      </c>
      <c r="D125" s="41">
        <f>(B125*C125)-B125</f>
        <v>1.0099999999999998</v>
      </c>
      <c r="E125" s="47">
        <f>SUM($D$2:D125)/SUM($B$2:B125)</f>
        <v>0.18210483870967745</v>
      </c>
      <c r="F125" s="37">
        <f>F124+D125</f>
        <v>22.581000000000003</v>
      </c>
      <c r="G125" s="129" t="s">
        <v>897</v>
      </c>
      <c r="H125" s="185"/>
      <c r="I125" s="186"/>
      <c r="J125" s="186"/>
      <c r="K125" s="18"/>
      <c r="Q125"/>
    </row>
    <row r="126" spans="1:17" ht="15.75" thickBot="1">
      <c r="A126" s="629"/>
      <c r="B126" s="105">
        <v>1</v>
      </c>
      <c r="C126" s="220">
        <v>1.97</v>
      </c>
      <c r="D126" s="220">
        <f>(B126*C126)-B126</f>
        <v>0.97</v>
      </c>
      <c r="E126" s="59">
        <f>SUM($D$2:D126)/SUM($B$2:B126)</f>
        <v>0.18840800000000002</v>
      </c>
      <c r="F126" s="38">
        <f>F125+D126</f>
        <v>23.551000000000002</v>
      </c>
      <c r="G126" s="141" t="s">
        <v>898</v>
      </c>
      <c r="H126" s="185"/>
      <c r="I126" s="186"/>
      <c r="J126" s="186"/>
      <c r="K126" s="18"/>
      <c r="Q126"/>
    </row>
    <row r="127" spans="1:17">
      <c r="A127" s="627">
        <v>45927</v>
      </c>
      <c r="B127" s="167">
        <v>1</v>
      </c>
      <c r="C127" s="206"/>
      <c r="D127" s="206">
        <f>(B127*C127)-B127</f>
        <v>-1</v>
      </c>
      <c r="E127" s="193">
        <f>SUM($D$2:D127)/SUM($B$2:B127)</f>
        <v>0.17897619047619048</v>
      </c>
      <c r="F127" s="163">
        <f>F126+D127</f>
        <v>22.551000000000002</v>
      </c>
      <c r="G127" s="168" t="s">
        <v>899</v>
      </c>
      <c r="H127" s="185"/>
      <c r="I127" s="186"/>
      <c r="J127" s="186"/>
      <c r="K127" s="18"/>
      <c r="Q127"/>
    </row>
    <row r="128" spans="1:17">
      <c r="A128" s="628"/>
      <c r="B128" s="169">
        <v>1</v>
      </c>
      <c r="C128" s="207">
        <v>1.88</v>
      </c>
      <c r="D128" s="207">
        <f>(B128*C128)-B128</f>
        <v>0.87999999999999989</v>
      </c>
      <c r="E128" s="156">
        <f>SUM($D$2:D128)/SUM($B$2:B128)</f>
        <v>0.18449606299212598</v>
      </c>
      <c r="F128" s="151">
        <f>F127+D128</f>
        <v>23.431000000000001</v>
      </c>
      <c r="G128" s="191" t="s">
        <v>900</v>
      </c>
      <c r="H128" s="185"/>
      <c r="I128" s="186"/>
      <c r="J128" s="186"/>
      <c r="K128" s="18"/>
      <c r="Q128"/>
    </row>
    <row r="129" spans="1:17">
      <c r="A129" s="628"/>
      <c r="B129" s="169">
        <v>1</v>
      </c>
      <c r="C129" s="207">
        <v>1.77</v>
      </c>
      <c r="D129" s="207">
        <f>(B129*C129)-B129</f>
        <v>0.77</v>
      </c>
      <c r="E129" s="156">
        <f>SUM($D$2:D129)/SUM($B$2:B129)</f>
        <v>0.1890703125</v>
      </c>
      <c r="F129" s="151">
        <f>F128+D129</f>
        <v>24.201000000000001</v>
      </c>
      <c r="G129" s="191" t="s">
        <v>893</v>
      </c>
      <c r="H129" s="185"/>
      <c r="I129" s="186"/>
      <c r="J129" s="186"/>
      <c r="K129" s="18"/>
      <c r="Q129"/>
    </row>
    <row r="130" spans="1:17">
      <c r="A130" s="628"/>
      <c r="B130" s="169">
        <v>1</v>
      </c>
      <c r="C130" s="207">
        <v>2</v>
      </c>
      <c r="D130" s="207">
        <f>(B130*C130)-B130</f>
        <v>1</v>
      </c>
      <c r="E130" s="156">
        <f>SUM($D$2:D130)/SUM($B$2:B130)</f>
        <v>0.19535658914728682</v>
      </c>
      <c r="F130" s="151">
        <f>F129+D130</f>
        <v>25.201000000000001</v>
      </c>
      <c r="G130" s="191" t="s">
        <v>897</v>
      </c>
      <c r="H130" s="185"/>
      <c r="I130" s="186"/>
      <c r="J130" s="186"/>
      <c r="K130" s="18"/>
      <c r="Q130"/>
    </row>
    <row r="131" spans="1:17">
      <c r="A131" s="628"/>
      <c r="B131" s="169">
        <v>1</v>
      </c>
      <c r="C131" s="207"/>
      <c r="D131" s="207">
        <f>(B131*C131)-B131</f>
        <v>-1</v>
      </c>
      <c r="E131" s="156">
        <f>SUM($D$2:D131)/SUM($B$2:B131)</f>
        <v>0.18616153846153846</v>
      </c>
      <c r="F131" s="151">
        <f>F130+D131</f>
        <v>24.201000000000001</v>
      </c>
      <c r="G131" s="191" t="s">
        <v>898</v>
      </c>
      <c r="H131" s="185"/>
      <c r="I131" s="186"/>
      <c r="J131" s="186"/>
      <c r="K131" s="18"/>
      <c r="Q131"/>
    </row>
    <row r="132" spans="1:17">
      <c r="A132" s="628"/>
      <c r="B132" s="169">
        <v>1</v>
      </c>
      <c r="C132" s="207">
        <v>1.83</v>
      </c>
      <c r="D132" s="207">
        <f>(B132*C132)-B132</f>
        <v>0.83000000000000007</v>
      </c>
      <c r="E132" s="156">
        <f>SUM($D$2:D132)/SUM($B$2:B132)</f>
        <v>0.19107633587786257</v>
      </c>
      <c r="F132" s="151">
        <f>F131+D132</f>
        <v>25.030999999999999</v>
      </c>
      <c r="G132" s="191" t="s">
        <v>896</v>
      </c>
      <c r="H132" s="185"/>
      <c r="I132" s="186"/>
      <c r="J132" s="186"/>
      <c r="K132" s="18"/>
      <c r="Q132"/>
    </row>
    <row r="133" spans="1:17">
      <c r="A133" s="628"/>
      <c r="B133" s="169">
        <v>1</v>
      </c>
      <c r="C133" s="207">
        <v>1.96</v>
      </c>
      <c r="D133" s="207">
        <f>(B133*C133)-B133</f>
        <v>0.96</v>
      </c>
      <c r="E133" s="156">
        <f>SUM($D$2:D133)/SUM($B$2:B133)</f>
        <v>0.19690151515151516</v>
      </c>
      <c r="F133" s="151">
        <f>F132+D133</f>
        <v>25.991</v>
      </c>
      <c r="G133" s="191" t="s">
        <v>901</v>
      </c>
      <c r="H133" s="185"/>
      <c r="I133" s="186"/>
      <c r="J133" s="186"/>
      <c r="K133" s="18"/>
      <c r="Q133"/>
    </row>
    <row r="134" spans="1:17" ht="15.75" thickBot="1">
      <c r="A134" s="629"/>
      <c r="B134" s="172">
        <v>1</v>
      </c>
      <c r="C134" s="208">
        <v>2.06</v>
      </c>
      <c r="D134" s="208">
        <f>(B134*C134)-B134</f>
        <v>1.06</v>
      </c>
      <c r="E134" s="195">
        <f>SUM($D$2:D134)/SUM($B$2:B134)</f>
        <v>0.20339097744360901</v>
      </c>
      <c r="F134" s="165">
        <f>F133+D134</f>
        <v>27.050999999999998</v>
      </c>
      <c r="G134" s="196" t="s">
        <v>902</v>
      </c>
      <c r="H134" s="185"/>
      <c r="I134" s="186"/>
      <c r="J134" s="186"/>
      <c r="K134" s="18"/>
      <c r="Q134"/>
    </row>
    <row r="135" spans="1:17" ht="15.75" thickBot="1">
      <c r="A135" s="633">
        <v>45928</v>
      </c>
      <c r="B135" s="225">
        <v>1</v>
      </c>
      <c r="C135" s="226">
        <v>2.85</v>
      </c>
      <c r="D135" s="226">
        <f>(B135*C135)-B135</f>
        <v>1.85</v>
      </c>
      <c r="E135" s="227">
        <f>SUM($D$2:D135)/SUM($B$2:B135)</f>
        <v>0.21567910447761193</v>
      </c>
      <c r="F135" s="228">
        <f>F134+D135</f>
        <v>28.901</v>
      </c>
      <c r="G135" s="278" t="s">
        <v>903</v>
      </c>
      <c r="H135" s="185"/>
      <c r="I135" s="186"/>
      <c r="J135" s="186"/>
      <c r="K135" s="18"/>
      <c r="Q135"/>
    </row>
    <row r="136" spans="1:17">
      <c r="A136" s="634"/>
      <c r="B136" s="181">
        <v>1</v>
      </c>
      <c r="C136" s="209">
        <v>1.87</v>
      </c>
      <c r="D136" s="209">
        <f>(B136*C136)-B136</f>
        <v>0.87000000000000011</v>
      </c>
      <c r="E136" s="197">
        <f>SUM($D$2:D136)/SUM($B$2:B136)</f>
        <v>0.22052592592592593</v>
      </c>
      <c r="F136" s="164">
        <f>F135+D136</f>
        <v>29.771000000000001</v>
      </c>
      <c r="G136" s="216" t="s">
        <v>900</v>
      </c>
      <c r="H136" s="185"/>
      <c r="I136" s="186"/>
      <c r="J136" s="186"/>
      <c r="K136" s="18"/>
      <c r="Q136"/>
    </row>
    <row r="137" spans="1:17">
      <c r="A137" s="634"/>
      <c r="B137" s="169">
        <v>1</v>
      </c>
      <c r="C137" s="207"/>
      <c r="D137" s="207">
        <f>(B137*C137)-B137</f>
        <v>-1</v>
      </c>
      <c r="E137" s="156">
        <f>SUM($D$2:D137)/SUM($B$2:B137)</f>
        <v>0.21155147058823531</v>
      </c>
      <c r="F137" s="151">
        <f>F136+D137</f>
        <v>28.771000000000001</v>
      </c>
      <c r="G137" s="191" t="s">
        <v>904</v>
      </c>
      <c r="H137" s="185"/>
      <c r="I137" s="186"/>
      <c r="J137" s="186"/>
      <c r="K137" s="18"/>
      <c r="Q137"/>
    </row>
    <row r="138" spans="1:17">
      <c r="A138" s="634"/>
      <c r="B138" s="169">
        <v>1</v>
      </c>
      <c r="C138" s="207">
        <v>1.81</v>
      </c>
      <c r="D138" s="207">
        <f>(B138*C138)-B138</f>
        <v>0.81</v>
      </c>
      <c r="E138" s="156">
        <f>SUM($D$2:D138)/SUM($B$2:B138)</f>
        <v>0.21591970802919708</v>
      </c>
      <c r="F138" s="151">
        <f>F137+D138</f>
        <v>29.581</v>
      </c>
      <c r="G138" s="191" t="s">
        <v>905</v>
      </c>
      <c r="H138" s="185"/>
      <c r="I138" s="186"/>
      <c r="J138" s="186"/>
      <c r="K138" s="18"/>
      <c r="Q138"/>
    </row>
    <row r="139" spans="1:17">
      <c r="A139" s="634"/>
      <c r="B139" s="169">
        <v>1</v>
      </c>
      <c r="C139" s="207">
        <v>1.87</v>
      </c>
      <c r="D139" s="207">
        <f>(B139*C139)-B139</f>
        <v>0.87000000000000011</v>
      </c>
      <c r="E139" s="156">
        <f>SUM($D$2:D139)/SUM($B$2:B139)</f>
        <v>0.22065942028985508</v>
      </c>
      <c r="F139" s="151">
        <f>F138+D139</f>
        <v>30.451000000000001</v>
      </c>
      <c r="G139" s="191" t="s">
        <v>892</v>
      </c>
      <c r="H139" s="185"/>
      <c r="I139" s="186"/>
      <c r="J139" s="186"/>
      <c r="K139" s="18"/>
      <c r="Q139"/>
    </row>
    <row r="140" spans="1:17">
      <c r="A140" s="634"/>
      <c r="B140" s="169">
        <v>1</v>
      </c>
      <c r="C140" s="207">
        <v>1.98</v>
      </c>
      <c r="D140" s="207">
        <f>(B140*C140)-B140</f>
        <v>0.98</v>
      </c>
      <c r="E140" s="156">
        <f>SUM($D$2:D140)/SUM($B$2:B140)</f>
        <v>0.22612230215827339</v>
      </c>
      <c r="F140" s="151">
        <f>F139+D140</f>
        <v>31.431000000000001</v>
      </c>
      <c r="G140" s="191" t="s">
        <v>897</v>
      </c>
      <c r="H140" s="185"/>
      <c r="I140" s="186"/>
      <c r="J140" s="186"/>
      <c r="K140" s="18"/>
      <c r="Q140"/>
    </row>
    <row r="141" spans="1:17">
      <c r="A141" s="634"/>
      <c r="B141" s="169">
        <v>1</v>
      </c>
      <c r="C141" s="207">
        <v>2.02</v>
      </c>
      <c r="D141" s="207">
        <f>(B141*C141)-B141</f>
        <v>1.02</v>
      </c>
      <c r="E141" s="156">
        <f>SUM($D$2:D141)/SUM($B$2:B141)</f>
        <v>0.23179285714285713</v>
      </c>
      <c r="F141" s="151">
        <f>F140+D141</f>
        <v>32.451000000000001</v>
      </c>
      <c r="G141" s="191" t="s">
        <v>902</v>
      </c>
      <c r="H141" s="185"/>
      <c r="I141" s="186"/>
      <c r="J141" s="186"/>
      <c r="K141" s="18"/>
      <c r="Q141"/>
    </row>
    <row r="142" spans="1:17" ht="15.75" thickBot="1">
      <c r="A142" s="635"/>
      <c r="B142" s="172">
        <v>1</v>
      </c>
      <c r="C142" s="208">
        <v>2</v>
      </c>
      <c r="D142" s="208">
        <f>(B142*C142)-B142</f>
        <v>1</v>
      </c>
      <c r="E142" s="195">
        <f>SUM($D$2:D142)/SUM($B$2:B142)</f>
        <v>0.23724113475177305</v>
      </c>
      <c r="F142" s="165">
        <f>F141+D142</f>
        <v>33.451000000000001</v>
      </c>
      <c r="G142" s="196" t="s">
        <v>898</v>
      </c>
      <c r="H142" s="185"/>
      <c r="I142" s="186"/>
      <c r="J142" s="186"/>
      <c r="K142" s="18"/>
      <c r="Q142"/>
    </row>
    <row r="143" spans="1:17" s="186" customFormat="1">
      <c r="A143" s="627">
        <v>45930</v>
      </c>
      <c r="B143" s="103">
        <v>1</v>
      </c>
      <c r="C143" s="41"/>
      <c r="D143" s="41">
        <f>(B143*C143)-B143</f>
        <v>-1</v>
      </c>
      <c r="E143" s="47">
        <f>SUM($D$2:D143)/SUM($B$2:B143)</f>
        <v>0.22852816901408451</v>
      </c>
      <c r="F143" s="37">
        <f>F142+D143</f>
        <v>32.451000000000001</v>
      </c>
      <c r="G143" s="129" t="s">
        <v>906</v>
      </c>
      <c r="H143" s="185"/>
      <c r="K143" s="238"/>
    </row>
    <row r="144" spans="1:17" s="186" customFormat="1" ht="15.75" thickBot="1">
      <c r="A144" s="629"/>
      <c r="B144" s="105">
        <v>1</v>
      </c>
      <c r="C144" s="220"/>
      <c r="D144" s="220">
        <f>(B144*C144)-B144</f>
        <v>-1</v>
      </c>
      <c r="E144" s="59">
        <f>SUM($D$2:D144)/SUM($B$2:B144)</f>
        <v>0.21993706293706294</v>
      </c>
      <c r="F144" s="38">
        <f>F143+D144</f>
        <v>31.451000000000001</v>
      </c>
      <c r="G144" s="141" t="s">
        <v>907</v>
      </c>
      <c r="H144" s="185"/>
      <c r="K144" s="238"/>
    </row>
    <row r="145" spans="1:18" s="186" customFormat="1">
      <c r="A145" s="627">
        <v>45931</v>
      </c>
      <c r="B145" s="41">
        <v>1</v>
      </c>
      <c r="C145" s="41">
        <v>2.0699999999999998</v>
      </c>
      <c r="D145" s="41">
        <f>(B145*C145)-B145</f>
        <v>1.0699999999999998</v>
      </c>
      <c r="E145" s="47">
        <f>SUM($D$2:D145)/SUM($B$2:B145)</f>
        <v>0.22584027777777779</v>
      </c>
      <c r="F145" s="37">
        <f>F144+D145</f>
        <v>32.521000000000001</v>
      </c>
      <c r="G145" s="129" t="s">
        <v>906</v>
      </c>
      <c r="H145" s="185"/>
      <c r="K145" s="238"/>
    </row>
    <row r="146" spans="1:18" s="186" customFormat="1" ht="15.75" thickBot="1">
      <c r="A146" s="629"/>
      <c r="B146" s="220">
        <v>1</v>
      </c>
      <c r="C146" s="220">
        <v>2.2200000000000002</v>
      </c>
      <c r="D146" s="220">
        <f>(B146*C146)-B146</f>
        <v>1.2200000000000002</v>
      </c>
      <c r="E146" s="59">
        <f>SUM($D$2:D146)/SUM($B$2:B146)</f>
        <v>0.23269655172413792</v>
      </c>
      <c r="F146" s="38">
        <f>F145+D146</f>
        <v>33.741</v>
      </c>
      <c r="G146" s="141" t="s">
        <v>907</v>
      </c>
      <c r="H146" s="185"/>
      <c r="K146" s="238"/>
    </row>
    <row r="147" spans="1:18" s="186" customFormat="1">
      <c r="A147" s="627">
        <v>45932</v>
      </c>
      <c r="B147" s="41">
        <v>1</v>
      </c>
      <c r="C147" s="41"/>
      <c r="D147" s="41">
        <f>(B147*C147)-B147</f>
        <v>-1</v>
      </c>
      <c r="E147" s="47">
        <f>SUM($D$2:D147)/SUM($B$2:B147)</f>
        <v>0.22425342465753426</v>
      </c>
      <c r="F147" s="37">
        <f>F146+D147</f>
        <v>32.741</v>
      </c>
      <c r="G147" s="129" t="s">
        <v>906</v>
      </c>
      <c r="H147" s="185"/>
      <c r="K147" s="238"/>
    </row>
    <row r="148" spans="1:18" s="186" customFormat="1">
      <c r="A148" s="629"/>
      <c r="B148" s="220">
        <v>1</v>
      </c>
      <c r="C148" s="220"/>
      <c r="D148" s="220">
        <f>(B148*C148)-B148</f>
        <v>-1</v>
      </c>
      <c r="E148" s="59">
        <f>SUM($D$2:D148)/SUM($B$2:B148)</f>
        <v>0.21592517006802722</v>
      </c>
      <c r="F148" s="38">
        <f>F147+D148</f>
        <v>31.741</v>
      </c>
      <c r="G148" s="141" t="s">
        <v>907</v>
      </c>
      <c r="H148" s="185"/>
      <c r="K148" s="238"/>
    </row>
    <row r="149" spans="1:18" s="186" customFormat="1">
      <c r="A149" s="574">
        <v>45934</v>
      </c>
      <c r="B149" s="225">
        <v>1</v>
      </c>
      <c r="C149" s="226">
        <v>1.97</v>
      </c>
      <c r="D149" s="226">
        <f>(B149*C149)-B149</f>
        <v>0.97</v>
      </c>
      <c r="E149" s="227">
        <f>SUM($D$2:D149)/SUM($B$2:B149)</f>
        <v>0.22102027027027027</v>
      </c>
      <c r="F149" s="228">
        <f t="shared" ref="F149:F156" si="4">F148+D149</f>
        <v>32.710999999999999</v>
      </c>
      <c r="G149" s="278" t="s">
        <v>908</v>
      </c>
      <c r="H149" s="185"/>
      <c r="K149" s="238"/>
    </row>
    <row r="150" spans="1:18" s="186" customFormat="1">
      <c r="A150" s="574">
        <v>45936</v>
      </c>
      <c r="B150" s="225">
        <v>1</v>
      </c>
      <c r="C150" s="226"/>
      <c r="D150" s="226">
        <f>(B150*C150)-B150</f>
        <v>-1</v>
      </c>
      <c r="E150" s="227">
        <f>SUM($D$2:D150)/SUM($B$2:B150)</f>
        <v>0.21282550335570469</v>
      </c>
      <c r="F150" s="228">
        <f t="shared" si="4"/>
        <v>31.710999999999999</v>
      </c>
      <c r="G150" s="229" t="s">
        <v>909</v>
      </c>
      <c r="H150" s="185"/>
      <c r="K150" s="238"/>
    </row>
    <row r="151" spans="1:18" s="186" customFormat="1">
      <c r="A151" s="574">
        <v>45937</v>
      </c>
      <c r="B151" s="225">
        <v>1</v>
      </c>
      <c r="C151" s="226"/>
      <c r="D151" s="226">
        <f>(B151*C151)-B151</f>
        <v>-1</v>
      </c>
      <c r="E151" s="227">
        <f>SUM($D$2:D151)/SUM($B$2:B151)</f>
        <v>0.20473999999999998</v>
      </c>
      <c r="F151" s="228">
        <f t="shared" si="4"/>
        <v>30.710999999999999</v>
      </c>
      <c r="G151" s="229" t="s">
        <v>910</v>
      </c>
      <c r="H151" s="185"/>
      <c r="K151" s="238"/>
    </row>
    <row r="152" spans="1:18" s="186" customFormat="1">
      <c r="A152" s="627">
        <v>45938</v>
      </c>
      <c r="B152" s="167">
        <v>1</v>
      </c>
      <c r="C152" s="206"/>
      <c r="D152" s="206">
        <f>(B152*C152)-B152</f>
        <v>-1</v>
      </c>
      <c r="E152" s="193">
        <f>SUM($D$2:D152)/SUM($B$2:B152)</f>
        <v>0.19676158940397351</v>
      </c>
      <c r="F152" s="163">
        <f t="shared" si="4"/>
        <v>29.710999999999999</v>
      </c>
      <c r="G152" s="171" t="s">
        <v>856</v>
      </c>
      <c r="H152" s="185"/>
      <c r="K152" s="238"/>
    </row>
    <row r="153" spans="1:18" s="186" customFormat="1">
      <c r="A153" s="628"/>
      <c r="B153" s="169">
        <v>1</v>
      </c>
      <c r="C153" s="207">
        <v>1.92</v>
      </c>
      <c r="D153" s="207">
        <f>(B153*C153)-B153</f>
        <v>0.91999999999999993</v>
      </c>
      <c r="E153" s="156">
        <f>SUM($D$2:D153)/SUM($B$2:B153)</f>
        <v>0.20151973684210525</v>
      </c>
      <c r="F153" s="151">
        <f t="shared" si="4"/>
        <v>30.631</v>
      </c>
      <c r="G153" s="157" t="s">
        <v>819</v>
      </c>
      <c r="H153" s="185"/>
      <c r="K153" s="238"/>
    </row>
    <row r="154" spans="1:18" s="186" customFormat="1">
      <c r="A154" s="629"/>
      <c r="B154" s="172">
        <v>1</v>
      </c>
      <c r="C154" s="208"/>
      <c r="D154" s="208">
        <f>(B154*C154)-B154</f>
        <v>-1</v>
      </c>
      <c r="E154" s="195">
        <f>SUM($D$2:D154)/SUM($B$2:B154)</f>
        <v>0.19366666666666668</v>
      </c>
      <c r="F154" s="165">
        <f t="shared" si="4"/>
        <v>29.631</v>
      </c>
      <c r="G154" s="196" t="s">
        <v>910</v>
      </c>
      <c r="H154" s="185"/>
      <c r="K154" s="238"/>
    </row>
    <row r="155" spans="1:18" s="186" customFormat="1">
      <c r="A155" s="574">
        <v>45942</v>
      </c>
      <c r="B155" s="225">
        <v>1</v>
      </c>
      <c r="C155" s="228">
        <v>1.97</v>
      </c>
      <c r="D155" s="228">
        <f t="shared" ref="D155" si="5">(B155*C155)-B155</f>
        <v>0.97</v>
      </c>
      <c r="E155" s="227">
        <f>SUM($D$2:D155)/SUM($B$2:B155)</f>
        <v>0.19870779220779219</v>
      </c>
      <c r="F155" s="228">
        <f t="shared" si="4"/>
        <v>30.600999999999999</v>
      </c>
      <c r="G155" s="229" t="s">
        <v>911</v>
      </c>
      <c r="H155" s="185"/>
      <c r="K155" s="238"/>
    </row>
    <row r="156" spans="1:18" s="186" customFormat="1">
      <c r="A156" s="574">
        <v>45946</v>
      </c>
      <c r="B156" s="255">
        <v>1</v>
      </c>
      <c r="C156" s="255"/>
      <c r="D156" s="255">
        <f>(B156*C156)-B156</f>
        <v>-1</v>
      </c>
      <c r="E156" s="256">
        <f>SUM($D$2:D156)/SUM($B$2:B156)</f>
        <v>0.1909741935483871</v>
      </c>
      <c r="F156" s="257">
        <f t="shared" si="4"/>
        <v>29.600999999999999</v>
      </c>
      <c r="G156" s="283" t="s">
        <v>912</v>
      </c>
      <c r="H156" s="185"/>
      <c r="K156" s="238"/>
    </row>
    <row r="157" spans="1:18">
      <c r="A157" s="569"/>
      <c r="B157" s="255"/>
      <c r="C157" s="255"/>
      <c r="D157" s="255"/>
      <c r="E157" s="256"/>
      <c r="F157" s="257"/>
      <c r="G157" s="258"/>
      <c r="H157" s="185"/>
      <c r="I157" s="186"/>
      <c r="J157" s="186"/>
      <c r="K157" s="18"/>
      <c r="Q157"/>
    </row>
    <row r="158" spans="1:18" ht="15.75" thickBot="1">
      <c r="B158" s="130">
        <f>SUM(B2:B157)</f>
        <v>155</v>
      </c>
      <c r="D158" s="13">
        <f>SUM(D2:D157)</f>
        <v>29.600999999999999</v>
      </c>
      <c r="E158" s="14"/>
      <c r="F158" s="43">
        <f>D158-MAX(F2:F157)</f>
        <v>-4.1400000000000006</v>
      </c>
      <c r="H158" s="11">
        <f>D158-SUM(H2:H157)</f>
        <v>29.600999999999999</v>
      </c>
      <c r="I158" s="11">
        <f>D158-SUM(I2:I157)</f>
        <v>29.600999999999999</v>
      </c>
      <c r="J158" s="12">
        <f>D158-SUM(J2:J157)</f>
        <v>29.600999999999999</v>
      </c>
      <c r="O158" s="58"/>
      <c r="R158" s="18"/>
    </row>
    <row r="159" spans="1:18">
      <c r="D159" s="2"/>
      <c r="E159" s="2"/>
      <c r="O159" s="58"/>
      <c r="P159" s="58"/>
    </row>
    <row r="160" spans="1:18" ht="15.75" customHeight="1">
      <c r="A160" t="s">
        <v>367</v>
      </c>
      <c r="C160" s="644" t="s">
        <v>368</v>
      </c>
      <c r="D160" s="645"/>
      <c r="E160" s="646"/>
      <c r="H160" s="581">
        <f>100</f>
        <v>100</v>
      </c>
      <c r="I160" s="647"/>
      <c r="J160" s="16" t="s">
        <v>913</v>
      </c>
      <c r="K160" s="581">
        <v>100</v>
      </c>
      <c r="L160" s="647"/>
      <c r="M160" s="16" t="s">
        <v>913</v>
      </c>
      <c r="N160" s="19"/>
      <c r="O160" s="138"/>
      <c r="P160" s="58"/>
    </row>
    <row r="161" spans="1:16" ht="15" customHeight="1">
      <c r="A161">
        <f>COUNT(B2:B157)</f>
        <v>155</v>
      </c>
      <c r="B161" s="1"/>
      <c r="C161" s="158">
        <f>I161</f>
        <v>5</v>
      </c>
      <c r="D161" s="625">
        <v>1.32</v>
      </c>
      <c r="E161" s="159">
        <f>C161*D161-C161</f>
        <v>1.6000000000000005</v>
      </c>
      <c r="F161" s="15"/>
      <c r="G161" s="148" t="s">
        <v>370</v>
      </c>
      <c r="H161" s="75">
        <f>H164/100</f>
        <v>1</v>
      </c>
      <c r="I161" s="150">
        <f>H161*5</f>
        <v>5</v>
      </c>
      <c r="J161" s="3" t="s">
        <v>371</v>
      </c>
      <c r="K161" s="75">
        <f>K164/100</f>
        <v>1.2960099999999999</v>
      </c>
      <c r="L161" s="150">
        <f>K161*5</f>
        <v>6.4800499999999994</v>
      </c>
      <c r="M161" s="3" t="s">
        <v>371</v>
      </c>
    </row>
    <row r="162" spans="1:16" ht="15" customHeight="1">
      <c r="A162" t="s">
        <v>372</v>
      </c>
      <c r="B162" s="99"/>
      <c r="C162" s="135">
        <f>E162/(D161-1)</f>
        <v>9.3749999999999982</v>
      </c>
      <c r="D162" s="626"/>
      <c r="E162" s="136">
        <v>3</v>
      </c>
      <c r="F162" s="15"/>
      <c r="G162" s="148" t="s">
        <v>373</v>
      </c>
      <c r="H162" s="127">
        <f>SUM(H2:H157)</f>
        <v>0</v>
      </c>
      <c r="I162" s="149"/>
      <c r="J162" s="3" t="s">
        <v>374</v>
      </c>
      <c r="K162" s="127">
        <f>D158</f>
        <v>29.600999999999999</v>
      </c>
      <c r="L162" s="149"/>
      <c r="M162" s="3" t="s">
        <v>374</v>
      </c>
    </row>
    <row r="163" spans="1:16">
      <c r="A163" s="18">
        <f>COUNT(C2:C157)/A161</f>
        <v>0.59354838709677415</v>
      </c>
      <c r="B163" s="18"/>
      <c r="D163" s="15">
        <f>1/A163</f>
        <v>1.6847826086956523</v>
      </c>
      <c r="E163" s="15"/>
      <c r="F163" s="15"/>
      <c r="G163" s="148" t="s">
        <v>375</v>
      </c>
      <c r="H163" s="637">
        <f>(H162-I162)</f>
        <v>0</v>
      </c>
      <c r="I163" s="638"/>
      <c r="J163" s="128"/>
      <c r="K163" s="637">
        <f>(K162-L162)</f>
        <v>29.600999999999999</v>
      </c>
      <c r="L163" s="638"/>
      <c r="M163" s="128"/>
    </row>
    <row r="164" spans="1:16">
      <c r="A164" t="s">
        <v>4</v>
      </c>
      <c r="G164" s="148" t="s">
        <v>376</v>
      </c>
      <c r="H164" s="639">
        <f>H160+H163</f>
        <v>100</v>
      </c>
      <c r="I164" s="640"/>
      <c r="J164" s="128">
        <f>130-H164</f>
        <v>30</v>
      </c>
      <c r="K164" s="639">
        <f>K160+K163</f>
        <v>129.601</v>
      </c>
      <c r="L164" s="640"/>
      <c r="M164" s="128"/>
      <c r="O164" s="239">
        <v>74.147999999999996</v>
      </c>
      <c r="P164" s="18"/>
    </row>
    <row r="165" spans="1:16">
      <c r="A165" s="18">
        <f>D158/B158</f>
        <v>0.1909741935483871</v>
      </c>
      <c r="F165" s="160"/>
      <c r="G165" s="148" t="s">
        <v>377</v>
      </c>
      <c r="H165" s="45">
        <f>(H164-H160)/H160</f>
        <v>0</v>
      </c>
      <c r="I165" s="46">
        <f>B158/H160</f>
        <v>1.55</v>
      </c>
      <c r="J165" t="s">
        <v>378</v>
      </c>
      <c r="K165" s="45">
        <f>(K164-K160)/K160</f>
        <v>0.29601</v>
      </c>
      <c r="L165" s="46">
        <f>B158/K160</f>
        <v>1.55</v>
      </c>
      <c r="M165" t="s">
        <v>378</v>
      </c>
    </row>
    <row r="166" spans="1:16">
      <c r="A166" s="18"/>
      <c r="G166" s="148"/>
      <c r="H166" s="18"/>
      <c r="I166" s="2"/>
      <c r="K166" s="3"/>
      <c r="L166" s="3"/>
      <c r="N166" s="19"/>
      <c r="O166" s="58"/>
      <c r="P166" s="58"/>
    </row>
    <row r="167" spans="1:16">
      <c r="K167" s="3"/>
      <c r="L167" s="3"/>
      <c r="N167" s="19"/>
      <c r="O167" s="58"/>
      <c r="P167" s="58"/>
    </row>
    <row r="168" spans="1:16">
      <c r="N168" s="19"/>
      <c r="O168" s="58"/>
      <c r="P168" s="58"/>
    </row>
    <row r="169" spans="1:16">
      <c r="H169" s="20"/>
      <c r="K169" s="3"/>
      <c r="L169" s="3"/>
      <c r="N169" s="19"/>
      <c r="O169" s="58"/>
      <c r="P169" s="58"/>
    </row>
    <row r="170" spans="1:16">
      <c r="K170" s="2"/>
      <c r="L170" s="2"/>
      <c r="N170" s="19"/>
      <c r="O170" s="58"/>
      <c r="P170" s="58"/>
    </row>
    <row r="171" spans="1:16">
      <c r="K171" s="18"/>
      <c r="L171" s="18"/>
      <c r="N171" s="19"/>
      <c r="O171" s="58"/>
      <c r="P171" s="58"/>
    </row>
    <row r="172" spans="1:16">
      <c r="N172" s="19"/>
      <c r="O172" s="58"/>
      <c r="P172" s="58"/>
    </row>
    <row r="173" spans="1:16">
      <c r="P173" s="58"/>
    </row>
    <row r="174" spans="1:16">
      <c r="P174" s="58"/>
    </row>
    <row r="175" spans="1:16">
      <c r="P175" s="58"/>
    </row>
    <row r="176" spans="1:16">
      <c r="P176" s="58"/>
    </row>
    <row r="182" spans="1:31">
      <c r="A182" s="186"/>
      <c r="G182"/>
      <c r="K182" s="2"/>
      <c r="Q182"/>
    </row>
    <row r="183" spans="1:31">
      <c r="A183" s="186"/>
      <c r="G183"/>
      <c r="K183" s="2"/>
      <c r="Q183"/>
    </row>
    <row r="184" spans="1:31">
      <c r="A184" s="186"/>
      <c r="G184"/>
      <c r="K184" s="2"/>
      <c r="Q184"/>
    </row>
    <row r="185" spans="1:31">
      <c r="A185" s="186"/>
      <c r="G185"/>
      <c r="K185" s="2"/>
      <c r="Q185"/>
    </row>
    <row r="186" spans="1:31">
      <c r="A186" s="186"/>
      <c r="G186"/>
      <c r="K186" s="2"/>
      <c r="Q186"/>
    </row>
    <row r="187" spans="1:31">
      <c r="A187" s="223"/>
      <c r="G187"/>
      <c r="K187" s="2"/>
      <c r="Q187"/>
      <c r="AE187">
        <v>47</v>
      </c>
    </row>
    <row r="188" spans="1:31">
      <c r="A188" s="223"/>
      <c r="G188"/>
      <c r="K188" s="2"/>
      <c r="Q188"/>
    </row>
    <row r="189" spans="1:31">
      <c r="A189" s="223"/>
      <c r="G189"/>
      <c r="K189" s="2"/>
      <c r="Q189"/>
    </row>
    <row r="190" spans="1:31">
      <c r="A190" s="223"/>
      <c r="G190"/>
      <c r="K190" s="2"/>
      <c r="Q190"/>
    </row>
    <row r="191" spans="1:31">
      <c r="A191" s="223"/>
      <c r="G191"/>
      <c r="K191" s="2"/>
      <c r="Q191"/>
    </row>
    <row r="192" spans="1:31">
      <c r="A192" s="223"/>
      <c r="G192"/>
      <c r="K192" s="2"/>
      <c r="Q192"/>
    </row>
    <row r="193" spans="1:17">
      <c r="A193" s="223"/>
      <c r="G193"/>
      <c r="K193" s="2"/>
      <c r="Q193"/>
    </row>
    <row r="194" spans="1:17">
      <c r="A194" s="223"/>
      <c r="G194"/>
      <c r="K194" s="2"/>
      <c r="Q194"/>
    </row>
    <row r="195" spans="1:17">
      <c r="A195" s="223"/>
      <c r="G195"/>
      <c r="K195" s="2"/>
      <c r="Q195"/>
    </row>
    <row r="196" spans="1:17">
      <c r="A196" s="223"/>
      <c r="G196"/>
      <c r="K196" s="2"/>
      <c r="Q196"/>
    </row>
    <row r="197" spans="1:17">
      <c r="A197" s="223"/>
      <c r="G197"/>
      <c r="K197" s="2"/>
      <c r="Q197"/>
    </row>
    <row r="198" spans="1:17">
      <c r="A198" s="223"/>
      <c r="G198"/>
      <c r="K198" s="2"/>
      <c r="Q198"/>
    </row>
    <row r="199" spans="1:17">
      <c r="A199" s="223"/>
      <c r="G199"/>
      <c r="H199" s="19"/>
      <c r="I199" s="58"/>
      <c r="K199" s="2"/>
      <c r="Q199"/>
    </row>
    <row r="200" spans="1:17">
      <c r="A200" s="223"/>
      <c r="G200"/>
      <c r="K200" s="2"/>
      <c r="Q200"/>
    </row>
    <row r="201" spans="1:17">
      <c r="C201" s="57"/>
    </row>
    <row r="202" spans="1:17">
      <c r="C202" s="57"/>
    </row>
    <row r="203" spans="1:17">
      <c r="C203" s="57"/>
      <c r="P203" s="58"/>
    </row>
    <row r="204" spans="1:17">
      <c r="C204" s="57"/>
    </row>
    <row r="205" spans="1:17">
      <c r="C205" s="57"/>
    </row>
    <row r="206" spans="1:17">
      <c r="C206" s="57"/>
    </row>
    <row r="207" spans="1:17">
      <c r="C207" s="57"/>
    </row>
    <row r="208" spans="1:17">
      <c r="C208" s="57"/>
    </row>
    <row r="209" spans="1:7">
      <c r="A209" s="139" t="s">
        <v>383</v>
      </c>
      <c r="B209" s="140">
        <f>SUM(B2:B19)</f>
        <v>18</v>
      </c>
      <c r="C209" s="140"/>
      <c r="D209" s="140">
        <f>SUM(D2:D19)</f>
        <v>-3.4100000000000006</v>
      </c>
      <c r="E209" s="144">
        <f t="shared" ref="E209:E210" si="6">D209/B209</f>
        <v>-0.18944444444444447</v>
      </c>
      <c r="F209" s="18"/>
      <c r="G209" s="224" t="s">
        <v>382</v>
      </c>
    </row>
    <row r="210" spans="1:7">
      <c r="A210" s="139" t="s">
        <v>384</v>
      </c>
      <c r="B210" s="140">
        <f>SUM(B20:B51)</f>
        <v>32</v>
      </c>
      <c r="C210" s="140"/>
      <c r="D210" s="140">
        <f>SUM(D20:D51)</f>
        <v>5.9859999999999989</v>
      </c>
      <c r="E210" s="144">
        <f t="shared" si="6"/>
        <v>0.18706249999999996</v>
      </c>
      <c r="G210" s="223"/>
    </row>
    <row r="211" spans="1:7">
      <c r="A211" s="139" t="s">
        <v>385</v>
      </c>
      <c r="B211" s="140">
        <f>SUM(B52:B99)</f>
        <v>48</v>
      </c>
      <c r="C211" s="140"/>
      <c r="D211" s="140">
        <f>SUM(D52:D99)</f>
        <v>13.212000000000007</v>
      </c>
      <c r="E211" s="144">
        <f t="shared" ref="E211" si="7">D211/B211</f>
        <v>0.27525000000000016</v>
      </c>
      <c r="G211" s="223"/>
    </row>
    <row r="212" spans="1:7">
      <c r="A212" s="139" t="s">
        <v>387</v>
      </c>
      <c r="B212" s="140">
        <f>SUM(B100:B157)</f>
        <v>57</v>
      </c>
      <c r="C212" s="140"/>
      <c r="D212" s="140">
        <f>SUM(D100:D157)</f>
        <v>13.812999999999999</v>
      </c>
      <c r="E212" s="144">
        <f t="shared" ref="E212" si="8">D212/B212</f>
        <v>0.24233333333333332</v>
      </c>
      <c r="G212" s="223"/>
    </row>
    <row r="213" spans="1:7">
      <c r="A213" s="139" t="s">
        <v>388</v>
      </c>
      <c r="B213" s="140"/>
      <c r="C213" s="140"/>
      <c r="D213" s="140"/>
      <c r="E213" s="144"/>
      <c r="G213" s="223"/>
    </row>
    <row r="214" spans="1:7">
      <c r="A214" s="142"/>
      <c r="B214" s="143"/>
      <c r="C214" s="143"/>
      <c r="D214" s="143"/>
      <c r="E214" s="144"/>
      <c r="G214" s="185"/>
    </row>
    <row r="215" spans="1:7">
      <c r="D215" s="137"/>
    </row>
    <row r="216" spans="1:7">
      <c r="B216" s="43">
        <f>SUM(B209:B215)</f>
        <v>155</v>
      </c>
      <c r="C216" s="42"/>
      <c r="D216" s="43">
        <f>SUM(D209:D215)</f>
        <v>29.601000000000006</v>
      </c>
      <c r="E216" s="44">
        <f>D216/B216</f>
        <v>0.19097419354838713</v>
      </c>
      <c r="F216" t="s">
        <v>398</v>
      </c>
      <c r="G216" s="223"/>
    </row>
    <row r="225" spans="2:3">
      <c r="B225">
        <v>29.37</v>
      </c>
      <c r="C225" s="186">
        <v>1200</v>
      </c>
    </row>
    <row r="226" spans="2:3">
      <c r="B226">
        <f>C226*B225/C225</f>
        <v>300.97519374999996</v>
      </c>
      <c r="C226" s="240">
        <v>12297.25</v>
      </c>
    </row>
  </sheetData>
  <mergeCells count="36">
    <mergeCell ref="A27:A30"/>
    <mergeCell ref="C160:E160"/>
    <mergeCell ref="H160:I160"/>
    <mergeCell ref="K160:L160"/>
    <mergeCell ref="A114:A119"/>
    <mergeCell ref="A127:A134"/>
    <mergeCell ref="A143:A144"/>
    <mergeCell ref="A145:A146"/>
    <mergeCell ref="A147:A148"/>
    <mergeCell ref="A152:A154"/>
    <mergeCell ref="A2:A6"/>
    <mergeCell ref="A7:A13"/>
    <mergeCell ref="A14:A19"/>
    <mergeCell ref="A20:A23"/>
    <mergeCell ref="A24:A26"/>
    <mergeCell ref="M1:P1"/>
    <mergeCell ref="H163:I163"/>
    <mergeCell ref="K163:L163"/>
    <mergeCell ref="H164:I164"/>
    <mergeCell ref="K164:L164"/>
    <mergeCell ref="D161:D162"/>
    <mergeCell ref="A31:A33"/>
    <mergeCell ref="A34:A38"/>
    <mergeCell ref="A39:A45"/>
    <mergeCell ref="A46:A51"/>
    <mergeCell ref="A52:A54"/>
    <mergeCell ref="A55:A60"/>
    <mergeCell ref="A61:A68"/>
    <mergeCell ref="A69:A74"/>
    <mergeCell ref="A75:A84"/>
    <mergeCell ref="A85:A92"/>
    <mergeCell ref="A93:A99"/>
    <mergeCell ref="A109:A113"/>
    <mergeCell ref="A101:A108"/>
    <mergeCell ref="A120:A126"/>
    <mergeCell ref="A135:A142"/>
  </mergeCells>
  <conditionalFormatting sqref="A165">
    <cfRule type="cellIs" dxfId="61" priority="31" operator="lessThanOrEqual">
      <formula>0</formula>
    </cfRule>
    <cfRule type="cellIs" dxfId="60" priority="32" operator="between">
      <formula>0.05</formula>
      <formula>0</formula>
    </cfRule>
    <cfRule type="cellIs" dxfId="59" priority="33" operator="greaterThan">
      <formula>0.05</formula>
    </cfRule>
  </conditionalFormatting>
  <conditionalFormatting sqref="D163">
    <cfRule type="cellIs" dxfId="58" priority="38" operator="lessThan">
      <formula>$D$161</formula>
    </cfRule>
    <cfRule type="cellIs" dxfId="57" priority="37" operator="greaterThan">
      <formula>$D$161</formula>
    </cfRule>
  </conditionalFormatting>
  <conditionalFormatting sqref="E2:E158">
    <cfRule type="cellIs" dxfId="56" priority="1" stopIfTrue="1" operator="greaterThan">
      <formula>5</formula>
    </cfRule>
  </conditionalFormatting>
  <conditionalFormatting sqref="E201:E214">
    <cfRule type="cellIs" dxfId="55" priority="43" stopIfTrue="1" operator="greaterThan">
      <formula>5</formula>
    </cfRule>
  </conditionalFormatting>
  <conditionalFormatting sqref="E216">
    <cfRule type="cellIs" dxfId="54" priority="39" operator="equal">
      <formula>$A$165</formula>
    </cfRule>
  </conditionalFormatting>
  <conditionalFormatting sqref="F165">
    <cfRule type="cellIs" dxfId="53" priority="36" stopIfTrue="1" operator="greaterThan">
      <formula>5</formula>
    </cfRule>
  </conditionalFormatting>
  <conditionalFormatting sqref="H163:I163">
    <cfRule type="cellIs" dxfId="52" priority="42" stopIfTrue="1" operator="greaterThan">
      <formula>50</formula>
    </cfRule>
  </conditionalFormatting>
  <conditionalFormatting sqref="H164:I164">
    <cfRule type="cellIs" dxfId="51" priority="41" stopIfTrue="1" operator="greaterThan">
      <formula>221</formula>
    </cfRule>
  </conditionalFormatting>
  <conditionalFormatting sqref="K162">
    <cfRule type="cellIs" dxfId="50" priority="26" operator="greaterThan">
      <formula>30</formula>
    </cfRule>
  </conditionalFormatting>
  <conditionalFormatting sqref="K163:L163">
    <cfRule type="cellIs" dxfId="49" priority="35" stopIfTrue="1" operator="greaterThan">
      <formula>50</formula>
    </cfRule>
  </conditionalFormatting>
  <conditionalFormatting sqref="K164:L164">
    <cfRule type="cellIs" dxfId="48" priority="34" stopIfTrue="1" operator="greaterThan">
      <formula>221</formula>
    </cfRule>
  </conditionalFormatting>
  <conditionalFormatting sqref="N160:N172">
    <cfRule type="cellIs" dxfId="47" priority="40" operator="greaterThan">
      <formula>0.5</formula>
    </cfRule>
  </conditionalFormatting>
  <pageMargins left="0.7" right="0.7" top="0.75" bottom="0.75" header="0.3" footer="0.3"/>
  <pageSetup fitToWidth="0"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9F2E-0BE4-41A0-AE30-85B2CDFB773A}">
  <sheetPr>
    <tabColor rgb="FF00B0F0"/>
  </sheetPr>
  <dimension ref="A1:AK80"/>
  <sheetViews>
    <sheetView topLeftCell="A8" workbookViewId="0">
      <selection activeCell="A13" sqref="A13"/>
    </sheetView>
  </sheetViews>
  <sheetFormatPr defaultColWidth="9.140625" defaultRowHeight="15"/>
  <cols>
    <col min="1" max="1" width="33"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23">
      <c r="A1" s="210" t="s">
        <v>0</v>
      </c>
      <c r="B1" s="124" t="s">
        <v>1</v>
      </c>
      <c r="C1" s="124" t="s">
        <v>2</v>
      </c>
      <c r="D1" s="124" t="s">
        <v>3</v>
      </c>
      <c r="E1" s="161" t="s">
        <v>4</v>
      </c>
      <c r="F1" s="162" t="s">
        <v>5</v>
      </c>
      <c r="G1" s="260" t="s">
        <v>1</v>
      </c>
      <c r="H1" t="s">
        <v>6</v>
      </c>
      <c r="I1" t="s">
        <v>7</v>
      </c>
      <c r="J1" t="s">
        <v>8</v>
      </c>
      <c r="O1" s="18" t="s">
        <v>914</v>
      </c>
      <c r="P1" s="250" t="s">
        <v>915</v>
      </c>
      <c r="Q1" s="252" t="s">
        <v>5</v>
      </c>
      <c r="R1" s="250"/>
      <c r="T1" s="636" t="s">
        <v>816</v>
      </c>
      <c r="U1" s="636"/>
      <c r="V1" s="636"/>
      <c r="W1" s="636"/>
    </row>
    <row r="2" spans="1:23">
      <c r="A2" s="570">
        <v>45905</v>
      </c>
      <c r="B2" s="261">
        <v>1</v>
      </c>
      <c r="C2" s="262">
        <v>3.04</v>
      </c>
      <c r="D2" s="262">
        <f>(B2*C2)-B2</f>
        <v>2.04</v>
      </c>
      <c r="E2" s="263">
        <f>SUM($D$2:D2)/SUM($B$2:B2)</f>
        <v>2.04</v>
      </c>
      <c r="F2" s="262">
        <f>D2</f>
        <v>2.04</v>
      </c>
      <c r="G2" s="264" t="s">
        <v>817</v>
      </c>
      <c r="H2" s="185"/>
      <c r="I2" s="186"/>
      <c r="J2" s="186"/>
      <c r="K2" s="187">
        <v>0.55400000000000005</v>
      </c>
      <c r="L2" s="188">
        <f>K2</f>
        <v>0.55400000000000005</v>
      </c>
      <c r="M2" s="189">
        <f t="shared" ref="M2" si="0">1/L2</f>
        <v>1.8050541516245486</v>
      </c>
      <c r="N2" s="190">
        <f t="shared" ref="N2:N6" si="1">IF(C2&gt;=M2,1,0)</f>
        <v>1</v>
      </c>
      <c r="O2" s="238">
        <f>L2-((1-L2)/D2)</f>
        <v>0.33537254901960789</v>
      </c>
      <c r="P2" s="238">
        <f>O2/10</f>
        <v>3.3537254901960786E-2</v>
      </c>
      <c r="Q2" s="185">
        <f>$O$21*P2</f>
        <v>2.4867203764705881</v>
      </c>
    </row>
    <row r="3" spans="1:23">
      <c r="A3" s="259">
        <v>45906</v>
      </c>
      <c r="B3" s="265">
        <v>1</v>
      </c>
      <c r="C3" s="265"/>
      <c r="D3" s="265">
        <f t="shared" ref="D3:D12" si="2">(B3*C3)-B3</f>
        <v>-1</v>
      </c>
      <c r="E3" s="263">
        <f>SUM($D$2:D3)/SUM($B$2:B3)</f>
        <v>0.52</v>
      </c>
      <c r="F3" s="262">
        <f>F2+D3</f>
        <v>1.04</v>
      </c>
      <c r="G3" s="266" t="s">
        <v>822</v>
      </c>
      <c r="H3" s="185"/>
      <c r="I3" s="186"/>
      <c r="J3" s="186"/>
      <c r="K3" s="187">
        <v>0.5</v>
      </c>
      <c r="L3" s="188">
        <f>K3</f>
        <v>0.5</v>
      </c>
      <c r="M3" s="189">
        <f t="shared" ref="M3" si="3">1/L3</f>
        <v>2</v>
      </c>
      <c r="N3" s="190">
        <f t="shared" si="1"/>
        <v>0</v>
      </c>
      <c r="O3" s="18">
        <f>L3-((1-L3)/D3)</f>
        <v>1</v>
      </c>
      <c r="P3" s="18">
        <f>O3/10</f>
        <v>0.1</v>
      </c>
      <c r="Q3" s="2">
        <f>$O$21*P3</f>
        <v>7.4147999999999996</v>
      </c>
      <c r="R3" s="58"/>
      <c r="T3" s="2"/>
    </row>
    <row r="4" spans="1:23">
      <c r="A4" s="477">
        <v>45907</v>
      </c>
      <c r="B4" s="261">
        <v>1</v>
      </c>
      <c r="C4" s="265"/>
      <c r="D4" s="265">
        <f t="shared" si="2"/>
        <v>-1</v>
      </c>
      <c r="E4" s="263">
        <f>SUM($D$2:D4)/SUM($B$2:B4)</f>
        <v>1.3333333333333345E-2</v>
      </c>
      <c r="F4" s="262">
        <f t="shared" ref="F4:F12" si="4">F3+D4</f>
        <v>4.0000000000000036E-2</v>
      </c>
      <c r="G4" s="266" t="s">
        <v>827</v>
      </c>
      <c r="H4" s="185"/>
      <c r="I4" s="186"/>
      <c r="J4" s="186"/>
      <c r="K4" s="187">
        <v>0.61699999999999999</v>
      </c>
      <c r="L4" s="188">
        <f>K4</f>
        <v>0.61699999999999999</v>
      </c>
      <c r="M4" s="189">
        <f t="shared" ref="M4" si="5">1/L4</f>
        <v>1.6207455429497568</v>
      </c>
      <c r="N4" s="190">
        <f t="shared" si="1"/>
        <v>0</v>
      </c>
      <c r="O4" s="18">
        <f>L4-((1-L4)/D4)</f>
        <v>1</v>
      </c>
      <c r="P4" s="18">
        <f>O4/10</f>
        <v>0.1</v>
      </c>
      <c r="Q4" s="2">
        <f>$O$21*P4</f>
        <v>7.4147999999999996</v>
      </c>
      <c r="R4" s="58"/>
      <c r="T4" s="2"/>
    </row>
    <row r="5" spans="1:23">
      <c r="A5" s="268">
        <v>45910</v>
      </c>
      <c r="B5" s="261">
        <v>1</v>
      </c>
      <c r="C5" s="265">
        <v>2.85</v>
      </c>
      <c r="D5" s="265">
        <f t="shared" si="2"/>
        <v>1.85</v>
      </c>
      <c r="E5" s="269">
        <f>SUM($D$2:D5)/SUM($B$2:B5)</f>
        <v>0.47250000000000003</v>
      </c>
      <c r="F5" s="262">
        <f t="shared" si="4"/>
        <v>1.8900000000000001</v>
      </c>
      <c r="G5" s="270" t="s">
        <v>836</v>
      </c>
      <c r="H5" s="185"/>
      <c r="I5" s="186"/>
      <c r="J5" s="186"/>
      <c r="K5" s="187">
        <v>0.54800000000000004</v>
      </c>
      <c r="L5" s="188">
        <f t="shared" ref="L5:L6" si="6">K5</f>
        <v>0.54800000000000004</v>
      </c>
      <c r="M5" s="189">
        <f t="shared" ref="M5:M6" si="7">1/L5</f>
        <v>1.824817518248175</v>
      </c>
      <c r="N5" s="190">
        <f t="shared" si="1"/>
        <v>1</v>
      </c>
      <c r="O5" s="18">
        <f t="shared" ref="O5:O6" si="8">L5-((1-L5)/D5)</f>
        <v>0.30367567567567577</v>
      </c>
      <c r="P5" s="238">
        <f t="shared" ref="P5:P6" si="9">O5/10</f>
        <v>3.0367567567567578E-2</v>
      </c>
      <c r="Q5" s="2">
        <f>$O$21*P5</f>
        <v>2.2516944000000008</v>
      </c>
      <c r="R5" s="18"/>
    </row>
    <row r="6" spans="1:23">
      <c r="A6" s="275">
        <v>45911</v>
      </c>
      <c r="B6" s="225">
        <v>1</v>
      </c>
      <c r="C6" s="226">
        <v>2.99</v>
      </c>
      <c r="D6" s="226">
        <f t="shared" si="2"/>
        <v>1.9900000000000002</v>
      </c>
      <c r="E6" s="227">
        <f>SUM($D$2:D6)/SUM($B$2:B6)</f>
        <v>0.77600000000000002</v>
      </c>
      <c r="F6" s="228">
        <f t="shared" si="4"/>
        <v>3.8800000000000003</v>
      </c>
      <c r="G6" s="267" t="s">
        <v>837</v>
      </c>
      <c r="H6" s="185"/>
      <c r="I6" s="186"/>
      <c r="J6" s="186"/>
      <c r="K6" s="271">
        <v>0.55600000000000005</v>
      </c>
      <c r="L6" s="272">
        <f t="shared" si="6"/>
        <v>0.55600000000000005</v>
      </c>
      <c r="M6" s="273">
        <f t="shared" si="7"/>
        <v>1.7985611510791366</v>
      </c>
      <c r="N6" s="274">
        <f t="shared" si="1"/>
        <v>1</v>
      </c>
      <c r="O6" s="18">
        <f t="shared" si="8"/>
        <v>0.33288442211055286</v>
      </c>
      <c r="P6" s="238">
        <f t="shared" si="9"/>
        <v>3.3288442211055286E-2</v>
      </c>
      <c r="Q6" s="2">
        <f>$O$21*P6</f>
        <v>2.4682714130653274</v>
      </c>
      <c r="R6" s="18"/>
    </row>
    <row r="7" spans="1:23">
      <c r="A7" s="598">
        <v>45917</v>
      </c>
      <c r="B7" s="167">
        <v>1</v>
      </c>
      <c r="C7" s="206">
        <v>3.14</v>
      </c>
      <c r="D7" s="206">
        <f t="shared" si="2"/>
        <v>2.14</v>
      </c>
      <c r="E7" s="193">
        <f>SUM($D$2:D7)/SUM($B$2:B7)</f>
        <v>1.0033333333333334</v>
      </c>
      <c r="F7" s="163">
        <f t="shared" si="4"/>
        <v>6.0200000000000005</v>
      </c>
      <c r="G7" s="202" t="s">
        <v>857</v>
      </c>
      <c r="H7" s="185"/>
      <c r="I7" s="186"/>
      <c r="J7" s="186"/>
      <c r="K7" s="198"/>
      <c r="L7" s="199"/>
      <c r="M7" s="200"/>
      <c r="N7" s="201"/>
      <c r="O7" s="18"/>
      <c r="P7" s="238"/>
      <c r="R7" s="18"/>
    </row>
    <row r="8" spans="1:23">
      <c r="A8" s="600"/>
      <c r="B8" s="172">
        <v>1</v>
      </c>
      <c r="C8" s="208">
        <v>2.81</v>
      </c>
      <c r="D8" s="208">
        <f t="shared" si="2"/>
        <v>1.81</v>
      </c>
      <c r="E8" s="195">
        <f>SUM($D$2:D8)/SUM($B$2:B8)</f>
        <v>1.1185714285714285</v>
      </c>
      <c r="F8" s="165">
        <f t="shared" si="4"/>
        <v>7.83</v>
      </c>
      <c r="G8" s="204" t="s">
        <v>858</v>
      </c>
      <c r="H8" s="185"/>
      <c r="I8" s="186"/>
      <c r="J8" s="186"/>
      <c r="K8" s="198"/>
      <c r="L8" s="199"/>
      <c r="M8" s="200"/>
      <c r="N8" s="201"/>
      <c r="O8" s="18"/>
      <c r="P8" s="238"/>
      <c r="R8" s="18"/>
    </row>
    <row r="9" spans="1:23">
      <c r="A9" s="598">
        <v>45921</v>
      </c>
      <c r="B9" s="167">
        <v>1</v>
      </c>
      <c r="C9" s="206"/>
      <c r="D9" s="206">
        <f t="shared" si="2"/>
        <v>-1</v>
      </c>
      <c r="E9" s="184">
        <f>SUM($D$2:D9)/SUM($B$2:B9)</f>
        <v>0.85375000000000001</v>
      </c>
      <c r="F9" s="163">
        <f t="shared" si="4"/>
        <v>6.83</v>
      </c>
      <c r="G9" s="202" t="s">
        <v>876</v>
      </c>
      <c r="H9" s="185"/>
      <c r="I9" s="186"/>
      <c r="J9" s="186"/>
      <c r="K9" s="198"/>
      <c r="L9" s="199"/>
      <c r="M9" s="200"/>
      <c r="N9" s="201"/>
      <c r="O9" s="18"/>
      <c r="P9" s="238"/>
      <c r="R9" s="18"/>
    </row>
    <row r="10" spans="1:23">
      <c r="A10" s="600"/>
      <c r="B10" s="234">
        <v>1</v>
      </c>
      <c r="C10" s="235"/>
      <c r="D10" s="235">
        <f t="shared" si="2"/>
        <v>-1</v>
      </c>
      <c r="E10" s="253">
        <f>SUM($D$2:D10)/SUM($B$2:B10)</f>
        <v>0.64777777777777779</v>
      </c>
      <c r="F10" s="236">
        <f t="shared" si="4"/>
        <v>5.83</v>
      </c>
      <c r="G10" s="254" t="s">
        <v>877</v>
      </c>
      <c r="H10" s="185"/>
      <c r="I10" s="186"/>
      <c r="J10" s="186"/>
      <c r="K10" s="198"/>
      <c r="L10" s="199"/>
      <c r="M10" s="200"/>
      <c r="N10" s="201"/>
      <c r="O10" s="18"/>
      <c r="P10" s="238"/>
      <c r="R10" s="18"/>
    </row>
    <row r="11" spans="1:23">
      <c r="A11" s="598">
        <v>45922</v>
      </c>
      <c r="B11" s="167">
        <v>1</v>
      </c>
      <c r="C11" s="206">
        <v>2.81</v>
      </c>
      <c r="D11" s="206">
        <f t="shared" si="2"/>
        <v>1.81</v>
      </c>
      <c r="E11" s="193">
        <f>SUM($D$2:D11)/SUM($B$2:B11)</f>
        <v>0.76400000000000001</v>
      </c>
      <c r="F11" s="163">
        <f t="shared" si="4"/>
        <v>7.6400000000000006</v>
      </c>
      <c r="G11" s="202" t="s">
        <v>836</v>
      </c>
      <c r="H11" s="185"/>
      <c r="I11" s="186"/>
      <c r="J11" s="186"/>
      <c r="K11" s="198"/>
      <c r="L11" s="199"/>
      <c r="M11" s="200"/>
      <c r="N11" s="201"/>
      <c r="O11" s="18"/>
      <c r="P11" s="238"/>
      <c r="R11" s="18"/>
    </row>
    <row r="12" spans="1:23">
      <c r="A12" s="600"/>
      <c r="B12" s="172">
        <v>1</v>
      </c>
      <c r="C12" s="208">
        <v>2.85</v>
      </c>
      <c r="D12" s="208">
        <f t="shared" si="2"/>
        <v>1.85</v>
      </c>
      <c r="E12" s="195">
        <f>SUM($D$2:D12)/SUM($B$2:B12)</f>
        <v>0.86272727272727279</v>
      </c>
      <c r="F12" s="165">
        <f t="shared" si="4"/>
        <v>9.49</v>
      </c>
      <c r="G12" s="204" t="s">
        <v>880</v>
      </c>
      <c r="H12" s="185"/>
      <c r="I12" s="186"/>
      <c r="J12" s="186"/>
      <c r="K12" s="198"/>
      <c r="L12" s="199"/>
      <c r="M12" s="200"/>
      <c r="N12" s="201"/>
      <c r="O12" s="18"/>
      <c r="P12" s="238"/>
      <c r="R12" s="18"/>
    </row>
    <row r="13" spans="1:23">
      <c r="A13" s="282">
        <v>45928</v>
      </c>
      <c r="B13" s="225">
        <v>1</v>
      </c>
      <c r="C13" s="226">
        <v>2.85</v>
      </c>
      <c r="D13" s="226">
        <f>(B13*C13)-B13</f>
        <v>1.85</v>
      </c>
      <c r="E13" s="227">
        <f>SUM($D$2:D13)/SUM($B$2:B13)</f>
        <v>0.94499999999999995</v>
      </c>
      <c r="F13" s="228">
        <f>F12+D13</f>
        <v>11.34</v>
      </c>
      <c r="G13" s="278" t="s">
        <v>903</v>
      </c>
      <c r="H13" s="185"/>
      <c r="I13" s="186"/>
      <c r="J13" s="186"/>
      <c r="K13" s="198"/>
      <c r="L13" s="199"/>
      <c r="M13" s="200"/>
      <c r="N13" s="201"/>
      <c r="O13" s="18"/>
      <c r="P13" s="238"/>
      <c r="R13" s="18"/>
    </row>
    <row r="14" spans="1:23">
      <c r="A14" s="569"/>
      <c r="B14" s="208"/>
      <c r="C14" s="208"/>
      <c r="D14" s="208"/>
      <c r="E14" s="195"/>
      <c r="F14" s="165"/>
      <c r="G14" s="205"/>
      <c r="H14" s="185"/>
      <c r="I14" s="186"/>
      <c r="J14" s="186"/>
      <c r="K14" s="198"/>
      <c r="L14" s="199"/>
      <c r="M14" s="200"/>
      <c r="N14" s="201"/>
      <c r="O14" s="18"/>
      <c r="R14" s="18"/>
    </row>
    <row r="15" spans="1:23">
      <c r="B15" s="130">
        <f>SUM(B2:B14)</f>
        <v>12</v>
      </c>
      <c r="D15" s="13">
        <f>SUM(D2:D14)</f>
        <v>11.34</v>
      </c>
      <c r="E15" s="14"/>
      <c r="F15" s="43">
        <f>D15-MAX(F2:F14)</f>
        <v>0</v>
      </c>
      <c r="H15" s="11">
        <f>D15-SUM(H2:H14)</f>
        <v>11.34</v>
      </c>
      <c r="I15" s="11">
        <f>D15-SUM(I2:I14)</f>
        <v>11.34</v>
      </c>
      <c r="J15" s="12">
        <f>D15-SUM(J2:J14)</f>
        <v>11.34</v>
      </c>
      <c r="O15" s="58"/>
      <c r="R15" s="18"/>
    </row>
    <row r="16" spans="1:23">
      <c r="D16" s="2"/>
      <c r="E16" s="2"/>
      <c r="O16" s="58"/>
      <c r="P16" s="58"/>
    </row>
    <row r="17" spans="1:16" ht="15.75" customHeight="1">
      <c r="A17" t="s">
        <v>367</v>
      </c>
      <c r="C17" s="644" t="s">
        <v>368</v>
      </c>
      <c r="D17" s="645"/>
      <c r="E17" s="646"/>
      <c r="H17" s="581">
        <f>100</f>
        <v>100</v>
      </c>
      <c r="I17" s="647"/>
      <c r="J17" s="16" t="s">
        <v>913</v>
      </c>
      <c r="K17" s="581">
        <v>80.89</v>
      </c>
      <c r="L17" s="647"/>
      <c r="M17" s="16" t="s">
        <v>913</v>
      </c>
      <c r="N17" s="19"/>
      <c r="O17" s="138"/>
      <c r="P17" s="58"/>
    </row>
    <row r="18" spans="1:16" ht="15" customHeight="1">
      <c r="A18">
        <f>COUNT(B2:B14)</f>
        <v>12</v>
      </c>
      <c r="B18" s="1"/>
      <c r="C18" s="158">
        <f>I18</f>
        <v>5</v>
      </c>
      <c r="D18" s="625">
        <v>1.32</v>
      </c>
      <c r="E18" s="159">
        <f>C18*D18-C18</f>
        <v>1.6000000000000005</v>
      </c>
      <c r="F18" s="15"/>
      <c r="G18" s="148" t="s">
        <v>370</v>
      </c>
      <c r="H18" s="75">
        <f>H21/100</f>
        <v>1</v>
      </c>
      <c r="I18" s="150">
        <f>H18*5</f>
        <v>5</v>
      </c>
      <c r="J18" s="3" t="s">
        <v>371</v>
      </c>
      <c r="K18" s="75">
        <f>K21/100</f>
        <v>0.92230000000000001</v>
      </c>
      <c r="L18" s="150">
        <f>K18*5</f>
        <v>4.6115000000000004</v>
      </c>
      <c r="M18" s="3" t="s">
        <v>371</v>
      </c>
    </row>
    <row r="19" spans="1:16" ht="15" customHeight="1">
      <c r="A19" t="s">
        <v>372</v>
      </c>
      <c r="B19" s="99"/>
      <c r="C19" s="135">
        <f>E19/(D18-1)</f>
        <v>9.3749999999999982</v>
      </c>
      <c r="D19" s="626"/>
      <c r="E19" s="136">
        <v>3</v>
      </c>
      <c r="F19" s="15"/>
      <c r="G19" s="148" t="s">
        <v>373</v>
      </c>
      <c r="H19" s="127">
        <f>SUM(H2:H14)</f>
        <v>0</v>
      </c>
      <c r="I19" s="149"/>
      <c r="J19" s="3" t="s">
        <v>374</v>
      </c>
      <c r="K19" s="127">
        <f>D15</f>
        <v>11.34</v>
      </c>
      <c r="L19" s="149"/>
      <c r="M19" s="3" t="s">
        <v>374</v>
      </c>
    </row>
    <row r="20" spans="1:16">
      <c r="A20" s="18">
        <f>COUNT(C2:C14)/A18</f>
        <v>0.66666666666666663</v>
      </c>
      <c r="B20" s="18"/>
      <c r="D20" s="15">
        <f>1/A20</f>
        <v>1.5</v>
      </c>
      <c r="E20" s="15"/>
      <c r="F20" s="15"/>
      <c r="G20" s="148" t="s">
        <v>375</v>
      </c>
      <c r="H20" s="637">
        <f>(H19-I19)</f>
        <v>0</v>
      </c>
      <c r="I20" s="638"/>
      <c r="J20" s="128"/>
      <c r="K20" s="637">
        <f>(K19-L19)</f>
        <v>11.34</v>
      </c>
      <c r="L20" s="638"/>
      <c r="M20" s="128"/>
    </row>
    <row r="21" spans="1:16">
      <c r="A21" t="s">
        <v>4</v>
      </c>
      <c r="G21" s="148" t="s">
        <v>376</v>
      </c>
      <c r="H21" s="639">
        <f>H17+H20</f>
        <v>100</v>
      </c>
      <c r="I21" s="640"/>
      <c r="J21" s="128">
        <f>130-H21</f>
        <v>30</v>
      </c>
      <c r="K21" s="639">
        <f>K17+K20</f>
        <v>92.23</v>
      </c>
      <c r="L21" s="640"/>
      <c r="M21" s="128"/>
      <c r="O21" s="239">
        <v>74.147999999999996</v>
      </c>
      <c r="P21" s="18"/>
    </row>
    <row r="22" spans="1:16">
      <c r="A22" s="18">
        <f>D15/B15</f>
        <v>0.94499999999999995</v>
      </c>
      <c r="F22" s="160"/>
      <c r="G22" s="148" t="s">
        <v>377</v>
      </c>
      <c r="H22" s="45">
        <f>(H21-H17)/H17</f>
        <v>0</v>
      </c>
      <c r="I22" s="46">
        <f>B15/H17</f>
        <v>0.12</v>
      </c>
      <c r="J22" t="s">
        <v>378</v>
      </c>
      <c r="K22" s="45">
        <f>(K21-K17)/K17</f>
        <v>0.14019038200024728</v>
      </c>
      <c r="L22" s="46">
        <f>B15/K17</f>
        <v>0.14834961058227222</v>
      </c>
      <c r="M22" t="s">
        <v>378</v>
      </c>
    </row>
    <row r="23" spans="1:16">
      <c r="A23" s="18"/>
      <c r="G23" s="148"/>
      <c r="H23" s="18"/>
      <c r="I23" s="2"/>
      <c r="K23" s="3"/>
      <c r="L23" s="3"/>
      <c r="N23" s="19"/>
      <c r="O23" s="58"/>
      <c r="P23" s="58"/>
    </row>
    <row r="24" spans="1:16">
      <c r="K24" s="3"/>
      <c r="L24" s="3"/>
      <c r="N24" s="19"/>
      <c r="O24" s="58"/>
      <c r="P24" s="58"/>
    </row>
    <row r="25" spans="1:16">
      <c r="N25" s="19"/>
      <c r="O25" s="58"/>
      <c r="P25" s="58"/>
    </row>
    <row r="26" spans="1:16">
      <c r="H26" s="20"/>
      <c r="K26" s="3"/>
      <c r="L26" s="3"/>
      <c r="N26" s="19"/>
      <c r="O26" s="58"/>
      <c r="P26" s="58"/>
    </row>
    <row r="27" spans="1:16">
      <c r="K27" s="2"/>
      <c r="L27" s="2"/>
      <c r="N27" s="19"/>
      <c r="O27" s="58"/>
      <c r="P27" s="58"/>
    </row>
    <row r="28" spans="1:16">
      <c r="K28" s="18"/>
      <c r="L28" s="18"/>
      <c r="N28" s="19"/>
      <c r="O28" s="58"/>
      <c r="P28" s="58"/>
    </row>
    <row r="29" spans="1:16">
      <c r="N29" s="19"/>
      <c r="O29" s="58"/>
      <c r="P29" s="58"/>
    </row>
    <row r="30" spans="1:16">
      <c r="P30" s="58"/>
    </row>
    <row r="31" spans="1:16">
      <c r="P31" s="58"/>
    </row>
    <row r="32" spans="1:16">
      <c r="P32" s="58"/>
    </row>
    <row r="33" spans="1:37">
      <c r="P33" s="58"/>
    </row>
    <row r="39" spans="1:37">
      <c r="D39" s="114" t="s">
        <v>3</v>
      </c>
    </row>
    <row r="40" spans="1:37">
      <c r="A40" s="572" t="s">
        <v>381</v>
      </c>
      <c r="B40" s="132" t="s">
        <v>1</v>
      </c>
      <c r="C40" s="573"/>
      <c r="E40" s="134" t="s">
        <v>4</v>
      </c>
    </row>
    <row r="42" spans="1:37">
      <c r="D42" s="7" t="s">
        <v>3</v>
      </c>
    </row>
    <row r="43" spans="1:37">
      <c r="B43" s="21" t="s">
        <v>916</v>
      </c>
      <c r="C43" s="8"/>
      <c r="D43" s="24">
        <f>SUM(D2:D2)</f>
        <v>2.04</v>
      </c>
      <c r="E43" s="22" t="s">
        <v>4</v>
      </c>
    </row>
    <row r="44" spans="1:37">
      <c r="B44" s="24">
        <f>SUM(B2:B2)</f>
        <v>1</v>
      </c>
      <c r="C44" s="24"/>
      <c r="D44" s="23" t="e">
        <f>SUM(#REF!)</f>
        <v>#REF!</v>
      </c>
      <c r="E44" s="9">
        <f t="shared" ref="E44:E57" si="10">D43/B44</f>
        <v>2.04</v>
      </c>
      <c r="G44" s="223"/>
      <c r="AK44">
        <v>47</v>
      </c>
    </row>
    <row r="45" spans="1:37">
      <c r="B45" s="23" t="e">
        <f>SUM(#REF!)</f>
        <v>#REF!</v>
      </c>
      <c r="C45" s="23"/>
      <c r="D45" s="23" t="e">
        <f>SUM(#REF!)</f>
        <v>#REF!</v>
      </c>
      <c r="E45" s="10" t="e">
        <f t="shared" si="10"/>
        <v>#REF!</v>
      </c>
      <c r="G45" s="223"/>
    </row>
    <row r="46" spans="1:37">
      <c r="B46" s="23" t="e">
        <f>SUM(#REF!)</f>
        <v>#REF!</v>
      </c>
      <c r="C46" s="23"/>
      <c r="D46" s="23" t="e">
        <f>SUM(#REF!)</f>
        <v>#REF!</v>
      </c>
      <c r="E46" s="10" t="e">
        <f t="shared" si="10"/>
        <v>#REF!</v>
      </c>
      <c r="G46" s="223"/>
    </row>
    <row r="47" spans="1:37">
      <c r="B47" s="23" t="e">
        <f>SUM(#REF!)</f>
        <v>#REF!</v>
      </c>
      <c r="C47" s="23"/>
      <c r="D47" s="23" t="e">
        <f>SUM(#REF!)</f>
        <v>#REF!</v>
      </c>
      <c r="E47" s="10" t="e">
        <f t="shared" si="10"/>
        <v>#REF!</v>
      </c>
      <c r="G47" s="223"/>
    </row>
    <row r="48" spans="1:37">
      <c r="B48" s="23" t="e">
        <f>SUM(#REF!)</f>
        <v>#REF!</v>
      </c>
      <c r="C48" s="23"/>
      <c r="D48" s="23" t="e">
        <f>SUM(#REF!)</f>
        <v>#REF!</v>
      </c>
      <c r="E48" s="10" t="e">
        <f t="shared" si="10"/>
        <v>#REF!</v>
      </c>
      <c r="G48" s="223"/>
    </row>
    <row r="49" spans="2:16">
      <c r="B49" s="23" t="e">
        <f>SUM(#REF!)</f>
        <v>#REF!</v>
      </c>
      <c r="C49" s="23"/>
      <c r="D49" s="23" t="e">
        <f>SUM(#REF!)</f>
        <v>#REF!</v>
      </c>
      <c r="E49" s="10" t="e">
        <f t="shared" si="10"/>
        <v>#REF!</v>
      </c>
      <c r="G49" s="223"/>
    </row>
    <row r="50" spans="2:16">
      <c r="B50" s="23" t="e">
        <f>SUM(#REF!)</f>
        <v>#REF!</v>
      </c>
      <c r="C50" s="23"/>
      <c r="D50" s="23" t="e">
        <f>SUM(#REF!)</f>
        <v>#REF!</v>
      </c>
      <c r="E50" s="10" t="e">
        <f t="shared" si="10"/>
        <v>#REF!</v>
      </c>
      <c r="G50" s="223"/>
    </row>
    <row r="51" spans="2:16">
      <c r="B51" s="23" t="e">
        <f>SUM(#REF!)</f>
        <v>#REF!</v>
      </c>
      <c r="C51" s="23"/>
      <c r="D51" s="23" t="e">
        <f>SUM(#REF!)</f>
        <v>#REF!</v>
      </c>
      <c r="E51" s="10" t="e">
        <f t="shared" si="10"/>
        <v>#REF!</v>
      </c>
      <c r="G51" s="223"/>
    </row>
    <row r="52" spans="2:16">
      <c r="B52" s="23" t="e">
        <f>SUM(#REF!)</f>
        <v>#REF!</v>
      </c>
      <c r="C52" s="23"/>
      <c r="D52" s="23" t="e">
        <f>SUM(#REF!)</f>
        <v>#REF!</v>
      </c>
      <c r="E52" s="10" t="e">
        <f t="shared" si="10"/>
        <v>#REF!</v>
      </c>
      <c r="G52" s="223"/>
    </row>
    <row r="53" spans="2:16">
      <c r="B53" s="23" t="e">
        <f>SUM(#REF!)</f>
        <v>#REF!</v>
      </c>
      <c r="C53" s="23"/>
      <c r="D53" s="23" t="e">
        <f>SUM(#REF!)</f>
        <v>#REF!</v>
      </c>
      <c r="E53" s="10" t="e">
        <f t="shared" si="10"/>
        <v>#REF!</v>
      </c>
      <c r="G53" s="223"/>
    </row>
    <row r="54" spans="2:16">
      <c r="B54" s="23" t="e">
        <f>SUM(#REF!)</f>
        <v>#REF!</v>
      </c>
      <c r="C54" s="23"/>
      <c r="D54" s="23" t="e">
        <f>SUM(#REF!)</f>
        <v>#REF!</v>
      </c>
      <c r="E54" s="10" t="e">
        <f t="shared" si="10"/>
        <v>#REF!</v>
      </c>
      <c r="G54" s="223"/>
    </row>
    <row r="55" spans="2:16">
      <c r="B55" s="23" t="e">
        <f>SUM(#REF!)</f>
        <v>#REF!</v>
      </c>
      <c r="C55" s="23"/>
      <c r="D55" s="23" t="e">
        <f>SUM(#REF!)</f>
        <v>#REF!</v>
      </c>
      <c r="E55" s="10" t="e">
        <f t="shared" si="10"/>
        <v>#REF!</v>
      </c>
      <c r="G55" s="223"/>
    </row>
    <row r="56" spans="2:16">
      <c r="B56" s="23" t="e">
        <f>SUM(#REF!)</f>
        <v>#REF!</v>
      </c>
      <c r="C56" s="23"/>
      <c r="D56" s="23" t="e">
        <f>SUM(#REF!)</f>
        <v>#REF!</v>
      </c>
      <c r="E56" s="10" t="e">
        <f t="shared" si="10"/>
        <v>#REF!</v>
      </c>
      <c r="G56" s="223"/>
      <c r="N56" s="19"/>
      <c r="O56" s="58"/>
    </row>
    <row r="57" spans="2:16">
      <c r="B57" s="23" t="e">
        <f>SUM(#REF!)</f>
        <v>#REF!</v>
      </c>
      <c r="C57" s="23"/>
      <c r="D57" s="23" t="e">
        <f>SUM(#REF!)</f>
        <v>#REF!</v>
      </c>
      <c r="E57" s="10" t="e">
        <f t="shared" si="10"/>
        <v>#REF!</v>
      </c>
      <c r="G57" s="223"/>
    </row>
    <row r="58" spans="2:16">
      <c r="C58" s="57"/>
    </row>
    <row r="59" spans="2:16">
      <c r="C59" s="57"/>
    </row>
    <row r="60" spans="2:16">
      <c r="C60" s="57"/>
      <c r="P60" s="58"/>
    </row>
    <row r="61" spans="2:16">
      <c r="C61" s="57"/>
    </row>
    <row r="62" spans="2:16">
      <c r="C62" s="57"/>
    </row>
    <row r="63" spans="2:16">
      <c r="C63" s="57"/>
    </row>
    <row r="64" spans="2:16">
      <c r="C64" s="57"/>
    </row>
    <row r="65" spans="1:7">
      <c r="C65" s="57"/>
    </row>
    <row r="66" spans="1:7">
      <c r="A66" s="139" t="s">
        <v>383</v>
      </c>
      <c r="B66" s="140">
        <f>SUM(B2:B4)</f>
        <v>3</v>
      </c>
      <c r="C66" s="140"/>
      <c r="D66" s="140">
        <f>SUM(D2:D4)</f>
        <v>4.0000000000000036E-2</v>
      </c>
      <c r="E66" s="153">
        <f t="shared" ref="E66:E67" si="11">D66/B66</f>
        <v>1.3333333333333345E-2</v>
      </c>
      <c r="F66" s="18"/>
      <c r="G66" s="224" t="s">
        <v>382</v>
      </c>
    </row>
    <row r="67" spans="1:7">
      <c r="A67" s="139" t="s">
        <v>384</v>
      </c>
      <c r="B67" s="140">
        <f>SUM(B5:B14)</f>
        <v>9</v>
      </c>
      <c r="C67" s="140"/>
      <c r="D67" s="140">
        <f>SUM(D5:D14)</f>
        <v>11.3</v>
      </c>
      <c r="E67" s="153">
        <f t="shared" si="11"/>
        <v>1.2555555555555555</v>
      </c>
      <c r="G67" s="223"/>
    </row>
    <row r="68" spans="1:7">
      <c r="A68" s="142"/>
      <c r="B68" s="143"/>
      <c r="C68" s="143"/>
      <c r="D68" s="143"/>
      <c r="E68" s="144"/>
      <c r="G68" s="185"/>
    </row>
    <row r="69" spans="1:7">
      <c r="D69" s="137"/>
    </row>
    <row r="70" spans="1:7">
      <c r="B70" s="43">
        <f>SUM(B66:B69)</f>
        <v>12</v>
      </c>
      <c r="C70" s="42"/>
      <c r="D70" s="43">
        <f>SUM(D66:D69)</f>
        <v>11.34</v>
      </c>
      <c r="E70" s="44">
        <f>D70/B70</f>
        <v>0.94499999999999995</v>
      </c>
      <c r="F70" t="s">
        <v>398</v>
      </c>
      <c r="G70" s="223"/>
    </row>
    <row r="79" spans="1:7">
      <c r="B79">
        <v>29.37</v>
      </c>
      <c r="C79" s="186">
        <v>1200</v>
      </c>
    </row>
    <row r="80" spans="1:7">
      <c r="B80">
        <f>C80*B79/C79</f>
        <v>300.97519374999996</v>
      </c>
      <c r="C80" s="240">
        <v>12297.25</v>
      </c>
    </row>
  </sheetData>
  <mergeCells count="12">
    <mergeCell ref="T1:W1"/>
    <mergeCell ref="H20:I20"/>
    <mergeCell ref="K20:L20"/>
    <mergeCell ref="H21:I21"/>
    <mergeCell ref="K21:L21"/>
    <mergeCell ref="A7:A8"/>
    <mergeCell ref="C17:E17"/>
    <mergeCell ref="H17:I17"/>
    <mergeCell ref="K17:L17"/>
    <mergeCell ref="D18:D19"/>
    <mergeCell ref="A9:A10"/>
    <mergeCell ref="A11:A12"/>
  </mergeCells>
  <conditionalFormatting sqref="A22">
    <cfRule type="cellIs" dxfId="46" priority="5" operator="lessThanOrEqual">
      <formula>0</formula>
    </cfRule>
    <cfRule type="cellIs" dxfId="45" priority="6" operator="between">
      <formula>0.05</formula>
      <formula>0</formula>
    </cfRule>
    <cfRule type="cellIs" dxfId="44" priority="7" operator="greaterThan">
      <formula>0.05</formula>
    </cfRule>
  </conditionalFormatting>
  <conditionalFormatting sqref="D20">
    <cfRule type="cellIs" dxfId="43" priority="11" operator="greaterThan">
      <formula>$D$18</formula>
    </cfRule>
    <cfRule type="cellIs" dxfId="42" priority="12" operator="lessThan">
      <formula>$D$18</formula>
    </cfRule>
  </conditionalFormatting>
  <conditionalFormatting sqref="E2:E15">
    <cfRule type="cellIs" dxfId="41" priority="1" stopIfTrue="1" operator="greaterThan">
      <formula>5</formula>
    </cfRule>
  </conditionalFormatting>
  <conditionalFormatting sqref="E44:E68">
    <cfRule type="cellIs" dxfId="40" priority="17" stopIfTrue="1" operator="greaterThan">
      <formula>5</formula>
    </cfRule>
  </conditionalFormatting>
  <conditionalFormatting sqref="E70">
    <cfRule type="cellIs" dxfId="39" priority="13" operator="equal">
      <formula>$A$22</formula>
    </cfRule>
  </conditionalFormatting>
  <conditionalFormatting sqref="F22">
    <cfRule type="cellIs" dxfId="38" priority="10" stopIfTrue="1" operator="greaterThan">
      <formula>5</formula>
    </cfRule>
  </conditionalFormatting>
  <conditionalFormatting sqref="H20:I20">
    <cfRule type="cellIs" dxfId="37" priority="16" stopIfTrue="1" operator="greaterThan">
      <formula>50</formula>
    </cfRule>
  </conditionalFormatting>
  <conditionalFormatting sqref="H21:I21">
    <cfRule type="cellIs" dxfId="36" priority="15" stopIfTrue="1" operator="greaterThan">
      <formula>221</formula>
    </cfRule>
  </conditionalFormatting>
  <conditionalFormatting sqref="K20:L20">
    <cfRule type="cellIs" dxfId="35" priority="9" stopIfTrue="1" operator="greaterThan">
      <formula>50</formula>
    </cfRule>
  </conditionalFormatting>
  <conditionalFormatting sqref="K21:L21">
    <cfRule type="cellIs" dxfId="34" priority="8" stopIfTrue="1" operator="greaterThan">
      <formula>221</formula>
    </cfRule>
  </conditionalFormatting>
  <conditionalFormatting sqref="N2:N14 N17:N29">
    <cfRule type="cellIs" dxfId="33" priority="14" operator="greaterThan">
      <formula>0.5</formula>
    </cfRule>
  </conditionalFormatting>
  <pageMargins left="0.7" right="0.7" top="0.75" bottom="0.75" header="0.3" footer="0.3"/>
  <pageSetup fitToWidth="0"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6EA5-2021-460A-8269-0A890132645E}">
  <sheetPr>
    <tabColor rgb="FF00B0F0"/>
  </sheetPr>
  <dimension ref="A1:AK214"/>
  <sheetViews>
    <sheetView topLeftCell="A137" workbookViewId="0">
      <selection activeCell="A144" sqref="A144"/>
    </sheetView>
  </sheetViews>
  <sheetFormatPr defaultColWidth="9.140625" defaultRowHeight="15"/>
  <cols>
    <col min="1" max="1" width="32" bestFit="1" customWidth="1"/>
    <col min="2" max="2" width="8.28515625" bestFit="1" customWidth="1"/>
    <col min="3" max="3" width="9.5703125" bestFit="1" customWidth="1"/>
    <col min="4" max="4" width="22.28515625" bestFit="1" customWidth="1"/>
    <col min="5" max="5" width="9" bestFit="1" customWidth="1"/>
    <col min="6" max="6" width="19.5703125" bestFit="1" customWidth="1"/>
    <col min="7" max="7" width="46.28515625" style="186" customWidth="1"/>
    <col min="8" max="8" width="10.7109375" hidden="1" customWidth="1"/>
    <col min="9" max="9" width="10.5703125" hidden="1" customWidth="1"/>
    <col min="10" max="10" width="15.7109375" hidden="1" customWidth="1"/>
    <col min="11" max="12" width="9.140625" customWidth="1"/>
    <col min="13" max="13" width="7.28515625" bestFit="1" customWidth="1"/>
    <col min="14" max="14" width="6.140625" customWidth="1"/>
    <col min="15" max="15" width="8.85546875" customWidth="1"/>
    <col min="16" max="16" width="12.28515625" bestFit="1" customWidth="1"/>
    <col min="17" max="17" width="8.140625" style="2" bestFit="1" customWidth="1"/>
    <col min="18" max="18" width="8.28515625" customWidth="1"/>
    <col min="19" max="19" width="7.7109375" customWidth="1"/>
    <col min="20" max="20" width="8" customWidth="1"/>
    <col min="21" max="21" width="7.85546875" bestFit="1" customWidth="1"/>
    <col min="22" max="22" width="14.140625" bestFit="1" customWidth="1"/>
    <col min="23" max="257" width="11.42578125" customWidth="1"/>
  </cols>
  <sheetData>
    <row r="1" spans="1:17" ht="15.75" thickBot="1">
      <c r="A1" s="210" t="s">
        <v>0</v>
      </c>
      <c r="B1" s="114" t="s">
        <v>1</v>
      </c>
      <c r="C1" s="114" t="s">
        <v>2</v>
      </c>
      <c r="D1" s="114" t="s">
        <v>3</v>
      </c>
      <c r="E1" s="115" t="s">
        <v>4</v>
      </c>
      <c r="F1" s="133" t="s">
        <v>5</v>
      </c>
      <c r="G1" s="222" t="s">
        <v>1</v>
      </c>
      <c r="H1" t="s">
        <v>6</v>
      </c>
      <c r="I1" t="s">
        <v>7</v>
      </c>
      <c r="J1" t="s">
        <v>8</v>
      </c>
      <c r="K1" s="250"/>
      <c r="M1" s="636" t="s">
        <v>816</v>
      </c>
      <c r="N1" s="636"/>
      <c r="O1" s="636"/>
      <c r="P1" s="636"/>
      <c r="Q1"/>
    </row>
    <row r="2" spans="1:17">
      <c r="A2" s="586">
        <v>45905</v>
      </c>
      <c r="B2" s="206">
        <v>1</v>
      </c>
      <c r="C2" s="163">
        <v>1.93</v>
      </c>
      <c r="D2" s="163">
        <f t="shared" ref="D2:D65" si="0">(B2*C2)-B2</f>
        <v>0.92999999999999994</v>
      </c>
      <c r="E2" s="193">
        <f>SUM($D$2:D2)/SUM($B$2:B2)</f>
        <v>0.92999999999999994</v>
      </c>
      <c r="F2" s="163">
        <f>D2</f>
        <v>0.92999999999999994</v>
      </c>
      <c r="G2" s="171" t="s">
        <v>818</v>
      </c>
      <c r="H2" s="185"/>
      <c r="I2" s="186"/>
      <c r="J2" s="186"/>
      <c r="Q2"/>
    </row>
    <row r="3" spans="1:17">
      <c r="A3" s="587"/>
      <c r="B3" s="155">
        <v>1</v>
      </c>
      <c r="C3" s="152">
        <v>1.86</v>
      </c>
      <c r="D3" s="152">
        <f t="shared" si="0"/>
        <v>0.8600000000000001</v>
      </c>
      <c r="E3" s="192">
        <f>SUM($D$2:D3)/SUM($B$2:B3)</f>
        <v>0.89500000000000002</v>
      </c>
      <c r="F3" s="152">
        <f t="shared" ref="F3:F66" si="1">F2+D3</f>
        <v>1.79</v>
      </c>
      <c r="G3" s="194" t="s">
        <v>819</v>
      </c>
      <c r="H3" s="185"/>
      <c r="I3" s="186"/>
      <c r="J3" s="186"/>
      <c r="Q3"/>
    </row>
    <row r="4" spans="1:17">
      <c r="A4" s="587"/>
      <c r="B4" s="207">
        <v>1</v>
      </c>
      <c r="C4" s="151">
        <v>2.0099999999999998</v>
      </c>
      <c r="D4" s="151">
        <f t="shared" si="0"/>
        <v>1.0099999999999998</v>
      </c>
      <c r="E4" s="156">
        <f>SUM($D$2:D4)/SUM($B$2:B4)</f>
        <v>0.93333333333333324</v>
      </c>
      <c r="F4" s="151">
        <f t="shared" si="1"/>
        <v>2.8</v>
      </c>
      <c r="G4" s="191" t="s">
        <v>820</v>
      </c>
      <c r="H4" s="185"/>
      <c r="I4" s="186"/>
      <c r="J4" s="186"/>
      <c r="Q4"/>
    </row>
    <row r="5" spans="1:17" ht="15.75" thickBot="1">
      <c r="A5" s="591"/>
      <c r="B5" s="208">
        <v>1</v>
      </c>
      <c r="C5" s="165"/>
      <c r="D5" s="165">
        <f t="shared" si="0"/>
        <v>-1</v>
      </c>
      <c r="E5" s="195">
        <f>SUM($D$2:D5)/SUM($B$2:B5)</f>
        <v>0.44999999999999996</v>
      </c>
      <c r="F5" s="165">
        <f t="shared" si="1"/>
        <v>1.7999999999999998</v>
      </c>
      <c r="G5" s="196" t="s">
        <v>821</v>
      </c>
      <c r="H5" s="185"/>
      <c r="I5" s="186"/>
      <c r="J5" s="186"/>
      <c r="Q5"/>
    </row>
    <row r="6" spans="1:17">
      <c r="A6" s="641">
        <v>45906</v>
      </c>
      <c r="B6" s="167">
        <v>1</v>
      </c>
      <c r="C6" s="206"/>
      <c r="D6" s="206">
        <f t="shared" si="0"/>
        <v>-1</v>
      </c>
      <c r="E6" s="193">
        <f>SUM($D$2:D6)/SUM($B$2:B6)</f>
        <v>0.15999999999999998</v>
      </c>
      <c r="F6" s="163">
        <f t="shared" si="1"/>
        <v>0.79999999999999982</v>
      </c>
      <c r="G6" s="212" t="s">
        <v>819</v>
      </c>
      <c r="H6" s="185"/>
      <c r="I6" s="186"/>
      <c r="J6" s="186"/>
      <c r="K6" s="18"/>
      <c r="M6" s="2"/>
      <c r="N6" s="18"/>
      <c r="Q6"/>
    </row>
    <row r="7" spans="1:17">
      <c r="A7" s="642"/>
      <c r="B7" s="169">
        <v>1</v>
      </c>
      <c r="C7" s="207"/>
      <c r="D7" s="207">
        <f t="shared" si="0"/>
        <v>-1</v>
      </c>
      <c r="E7" s="156">
        <f>SUM($D$2:D7)/SUM($B$2:B7)</f>
        <v>-3.3333333333333361E-2</v>
      </c>
      <c r="F7" s="151">
        <f t="shared" si="1"/>
        <v>-0.20000000000000018</v>
      </c>
      <c r="G7" s="203" t="s">
        <v>823</v>
      </c>
      <c r="H7" s="185"/>
      <c r="I7" s="186"/>
      <c r="J7" s="186"/>
      <c r="K7" s="18"/>
      <c r="M7" s="2"/>
      <c r="N7" s="18"/>
      <c r="Q7"/>
    </row>
    <row r="8" spans="1:17">
      <c r="A8" s="642"/>
      <c r="B8" s="169">
        <v>1</v>
      </c>
      <c r="C8" s="207"/>
      <c r="D8" s="207">
        <f t="shared" si="0"/>
        <v>-1</v>
      </c>
      <c r="E8" s="156">
        <f>SUM($D$2:D8)/SUM($B$2:B8)</f>
        <v>-0.17142857142857146</v>
      </c>
      <c r="F8" s="151">
        <f t="shared" si="1"/>
        <v>-1.2000000000000002</v>
      </c>
      <c r="G8" s="203" t="s">
        <v>824</v>
      </c>
      <c r="H8" s="185"/>
      <c r="I8" s="186"/>
      <c r="J8" s="186"/>
      <c r="K8" s="18"/>
      <c r="M8" s="2"/>
      <c r="N8" s="18"/>
      <c r="Q8"/>
    </row>
    <row r="9" spans="1:17">
      <c r="A9" s="642"/>
      <c r="B9" s="169">
        <v>1</v>
      </c>
      <c r="C9" s="207"/>
      <c r="D9" s="207">
        <f t="shared" si="0"/>
        <v>-1</v>
      </c>
      <c r="E9" s="156">
        <f>SUM($D$2:D9)/SUM($B$2:B9)</f>
        <v>-0.27500000000000002</v>
      </c>
      <c r="F9" s="151">
        <f t="shared" si="1"/>
        <v>-2.2000000000000002</v>
      </c>
      <c r="G9" s="203" t="s">
        <v>818</v>
      </c>
      <c r="H9" s="185"/>
      <c r="I9" s="186"/>
      <c r="J9" s="186"/>
      <c r="K9" s="18"/>
      <c r="M9" s="2"/>
      <c r="N9" s="18"/>
      <c r="Q9"/>
    </row>
    <row r="10" spans="1:17">
      <c r="A10" s="642"/>
      <c r="B10" s="169">
        <v>1</v>
      </c>
      <c r="C10" s="207"/>
      <c r="D10" s="207">
        <f t="shared" si="0"/>
        <v>-1</v>
      </c>
      <c r="E10" s="156">
        <f>SUM($D$2:D10)/SUM($B$2:B10)</f>
        <v>-0.35555555555555557</v>
      </c>
      <c r="F10" s="151">
        <f t="shared" si="1"/>
        <v>-3.2</v>
      </c>
      <c r="G10" s="203" t="s">
        <v>825</v>
      </c>
      <c r="H10" s="185"/>
      <c r="I10" s="186"/>
      <c r="J10" s="186"/>
      <c r="K10" s="18"/>
      <c r="M10" s="2"/>
      <c r="N10" s="18"/>
      <c r="Q10"/>
    </row>
    <row r="11" spans="1:17" ht="15.75" thickBot="1">
      <c r="A11" s="648"/>
      <c r="B11" s="172">
        <v>1</v>
      </c>
      <c r="C11" s="208">
        <v>1.97</v>
      </c>
      <c r="D11" s="208">
        <f t="shared" si="0"/>
        <v>0.97</v>
      </c>
      <c r="E11" s="195">
        <f>SUM($D$2:D11)/SUM($B$2:B11)</f>
        <v>-0.22300000000000003</v>
      </c>
      <c r="F11" s="165">
        <f t="shared" si="1"/>
        <v>-2.2300000000000004</v>
      </c>
      <c r="G11" s="205" t="s">
        <v>826</v>
      </c>
      <c r="H11" s="185"/>
      <c r="I11" s="186"/>
      <c r="J11" s="186"/>
      <c r="K11" s="18"/>
      <c r="M11" s="2"/>
      <c r="N11" s="18"/>
      <c r="Q11"/>
    </row>
    <row r="12" spans="1:17">
      <c r="A12" s="649">
        <v>45907</v>
      </c>
      <c r="B12" s="206">
        <v>1</v>
      </c>
      <c r="C12" s="206"/>
      <c r="D12" s="206">
        <f t="shared" si="0"/>
        <v>-1</v>
      </c>
      <c r="E12" s="193">
        <f>SUM($D$2:D12)/SUM($B$2:B12)</f>
        <v>-0.2936363636363637</v>
      </c>
      <c r="F12" s="163">
        <f t="shared" si="1"/>
        <v>-3.2300000000000004</v>
      </c>
      <c r="G12" s="212" t="s">
        <v>828</v>
      </c>
      <c r="H12" s="185"/>
      <c r="I12" s="186"/>
      <c r="J12" s="186"/>
      <c r="K12" s="18"/>
      <c r="M12" s="2"/>
      <c r="N12" s="18"/>
      <c r="Q12"/>
    </row>
    <row r="13" spans="1:17">
      <c r="A13" s="650"/>
      <c r="B13" s="207">
        <v>1</v>
      </c>
      <c r="C13" s="207"/>
      <c r="D13" s="207">
        <f t="shared" si="0"/>
        <v>-1</v>
      </c>
      <c r="E13" s="156">
        <f>SUM($D$2:D13)/SUM($B$2:B13)</f>
        <v>-0.35250000000000004</v>
      </c>
      <c r="F13" s="151">
        <f t="shared" si="1"/>
        <v>-4.2300000000000004</v>
      </c>
      <c r="G13" s="203" t="s">
        <v>823</v>
      </c>
      <c r="H13" s="185"/>
      <c r="I13" s="186"/>
      <c r="J13" s="186"/>
      <c r="K13" s="18"/>
      <c r="M13" s="2"/>
      <c r="N13" s="18"/>
      <c r="Q13"/>
    </row>
    <row r="14" spans="1:17">
      <c r="A14" s="650"/>
      <c r="B14" s="207">
        <v>1</v>
      </c>
      <c r="C14" s="207">
        <v>1.9</v>
      </c>
      <c r="D14" s="207">
        <f t="shared" si="0"/>
        <v>0.89999999999999991</v>
      </c>
      <c r="E14" s="156">
        <f>SUM($D$2:D14)/SUM($B$2:B14)</f>
        <v>-0.25615384615384618</v>
      </c>
      <c r="F14" s="151">
        <f t="shared" si="1"/>
        <v>-3.3300000000000005</v>
      </c>
      <c r="G14" s="203" t="s">
        <v>819</v>
      </c>
      <c r="H14" s="185"/>
      <c r="I14" s="186"/>
      <c r="J14" s="186"/>
      <c r="K14" s="18"/>
      <c r="M14" s="2"/>
      <c r="N14" s="18"/>
      <c r="Q14"/>
    </row>
    <row r="15" spans="1:17">
      <c r="A15" s="650"/>
      <c r="B15" s="207">
        <v>1</v>
      </c>
      <c r="C15" s="207">
        <v>1.88</v>
      </c>
      <c r="D15" s="207">
        <f t="shared" si="0"/>
        <v>0.87999999999999989</v>
      </c>
      <c r="E15" s="156">
        <f>SUM($D$2:D15)/SUM($B$2:B15)</f>
        <v>-0.17500000000000004</v>
      </c>
      <c r="F15" s="151">
        <f t="shared" si="1"/>
        <v>-2.4500000000000006</v>
      </c>
      <c r="G15" s="203" t="s">
        <v>829</v>
      </c>
      <c r="H15" s="185"/>
      <c r="I15" s="186"/>
      <c r="J15" s="186"/>
      <c r="K15" s="18"/>
      <c r="M15" s="2"/>
      <c r="N15" s="18"/>
      <c r="Q15"/>
    </row>
    <row r="16" spans="1:17" ht="15.75" thickBot="1">
      <c r="A16" s="651"/>
      <c r="B16" s="155">
        <v>1</v>
      </c>
      <c r="C16" s="155"/>
      <c r="D16" s="155">
        <f t="shared" si="0"/>
        <v>-1</v>
      </c>
      <c r="E16" s="192">
        <f>SUM($D$2:D16)/SUM($B$2:B16)</f>
        <v>-0.23000000000000004</v>
      </c>
      <c r="F16" s="152">
        <f t="shared" si="1"/>
        <v>-3.4500000000000006</v>
      </c>
      <c r="G16" s="213" t="s">
        <v>825</v>
      </c>
      <c r="H16" s="185"/>
      <c r="I16" s="186"/>
      <c r="J16" s="186"/>
      <c r="K16" s="58"/>
      <c r="M16" s="2"/>
      <c r="N16" s="18"/>
      <c r="Q16"/>
    </row>
    <row r="17" spans="1:17">
      <c r="A17" s="586">
        <v>45908</v>
      </c>
      <c r="B17" s="206">
        <v>1</v>
      </c>
      <c r="C17" s="206"/>
      <c r="D17" s="206">
        <f t="shared" si="0"/>
        <v>-1</v>
      </c>
      <c r="E17" s="193">
        <f>SUM($D$2:D17)/SUM($B$2:B17)</f>
        <v>-0.27812500000000007</v>
      </c>
      <c r="F17" s="163">
        <f t="shared" si="1"/>
        <v>-4.4500000000000011</v>
      </c>
      <c r="G17" s="212" t="s">
        <v>830</v>
      </c>
      <c r="H17" s="185"/>
      <c r="I17" s="186"/>
      <c r="J17" s="186"/>
      <c r="K17" s="18"/>
      <c r="M17" s="2"/>
      <c r="N17" s="18"/>
      <c r="Q17"/>
    </row>
    <row r="18" spans="1:17">
      <c r="A18" s="587"/>
      <c r="B18" s="207">
        <v>1</v>
      </c>
      <c r="C18" s="207"/>
      <c r="D18" s="207">
        <f t="shared" si="0"/>
        <v>-1</v>
      </c>
      <c r="E18" s="156">
        <f>SUM($D$2:D18)/SUM($B$2:B18)</f>
        <v>-0.32058823529411773</v>
      </c>
      <c r="F18" s="151">
        <f t="shared" si="1"/>
        <v>-5.4500000000000011</v>
      </c>
      <c r="G18" s="203" t="s">
        <v>831</v>
      </c>
      <c r="H18" s="185"/>
      <c r="I18" s="186"/>
      <c r="J18" s="186"/>
      <c r="K18" s="18"/>
      <c r="M18" s="2"/>
      <c r="N18" s="18"/>
      <c r="Q18"/>
    </row>
    <row r="19" spans="1:17">
      <c r="A19" s="587"/>
      <c r="B19" s="207">
        <v>1</v>
      </c>
      <c r="C19" s="207">
        <v>1.909</v>
      </c>
      <c r="D19" s="207">
        <f t="shared" si="0"/>
        <v>0.90900000000000003</v>
      </c>
      <c r="E19" s="156">
        <f>SUM($D$2:D19)/SUM($B$2:B19)</f>
        <v>-0.25227777777777782</v>
      </c>
      <c r="F19" s="151">
        <f t="shared" si="1"/>
        <v>-4.5410000000000013</v>
      </c>
      <c r="G19" s="203" t="s">
        <v>832</v>
      </c>
      <c r="H19" s="185"/>
      <c r="I19" s="186"/>
      <c r="J19" s="186"/>
      <c r="K19" s="18"/>
      <c r="M19" s="2"/>
      <c r="N19" s="18"/>
      <c r="Q19"/>
    </row>
    <row r="20" spans="1:17" ht="15.75" thickBot="1">
      <c r="A20" s="587"/>
      <c r="B20" s="155">
        <v>1</v>
      </c>
      <c r="C20" s="155"/>
      <c r="D20" s="155">
        <f t="shared" si="0"/>
        <v>-1</v>
      </c>
      <c r="E20" s="192">
        <f>SUM($D$2:D20)/SUM($B$2:B20)</f>
        <v>-0.29163157894736846</v>
      </c>
      <c r="F20" s="152">
        <f t="shared" si="1"/>
        <v>-5.5410000000000013</v>
      </c>
      <c r="G20" s="213" t="s">
        <v>833</v>
      </c>
      <c r="H20" s="185"/>
      <c r="I20" s="186"/>
      <c r="J20" s="186"/>
      <c r="K20" s="18"/>
      <c r="M20" s="2"/>
      <c r="N20" s="18"/>
      <c r="Q20"/>
    </row>
    <row r="21" spans="1:17">
      <c r="A21" s="603">
        <v>45909</v>
      </c>
      <c r="B21" s="167">
        <v>1</v>
      </c>
      <c r="C21" s="206">
        <v>1.74</v>
      </c>
      <c r="D21" s="206">
        <f t="shared" si="0"/>
        <v>0.74</v>
      </c>
      <c r="E21" s="193">
        <f>SUM($D$2:D21)/SUM($B$2:B21)</f>
        <v>-0.24005000000000004</v>
      </c>
      <c r="F21" s="163">
        <f t="shared" si="1"/>
        <v>-4.801000000000001</v>
      </c>
      <c r="G21" s="212" t="s">
        <v>834</v>
      </c>
      <c r="H21" s="185"/>
      <c r="I21" s="186"/>
      <c r="J21" s="186"/>
      <c r="K21" s="18"/>
      <c r="M21" s="2"/>
      <c r="N21" s="18"/>
      <c r="Q21"/>
    </row>
    <row r="22" spans="1:17">
      <c r="A22" s="604"/>
      <c r="B22" s="169">
        <v>1</v>
      </c>
      <c r="C22" s="207">
        <v>1.89</v>
      </c>
      <c r="D22" s="207">
        <f t="shared" si="0"/>
        <v>0.8899999999999999</v>
      </c>
      <c r="E22" s="156">
        <f>SUM($D$2:D22)/SUM($B$2:B22)</f>
        <v>-0.18623809523809531</v>
      </c>
      <c r="F22" s="151">
        <f t="shared" si="1"/>
        <v>-3.9110000000000014</v>
      </c>
      <c r="G22" s="203" t="s">
        <v>835</v>
      </c>
      <c r="H22" s="185"/>
      <c r="I22" s="186"/>
      <c r="J22" s="186"/>
      <c r="K22" s="18"/>
      <c r="M22" s="2"/>
      <c r="N22" s="18"/>
      <c r="Q22"/>
    </row>
    <row r="23" spans="1:17" ht="15.75" thickBot="1">
      <c r="A23" s="604"/>
      <c r="B23" s="172">
        <v>1</v>
      </c>
      <c r="C23" s="208"/>
      <c r="D23" s="208">
        <f t="shared" si="0"/>
        <v>-1</v>
      </c>
      <c r="E23" s="195">
        <f>SUM($D$2:D23)/SUM($B$2:B23)</f>
        <v>-0.2232272727272728</v>
      </c>
      <c r="F23" s="165">
        <f t="shared" si="1"/>
        <v>-4.9110000000000014</v>
      </c>
      <c r="G23" s="205" t="s">
        <v>833</v>
      </c>
      <c r="H23" s="185"/>
      <c r="I23" s="186"/>
      <c r="J23" s="186"/>
      <c r="K23" s="18"/>
      <c r="M23" s="2"/>
      <c r="N23" s="18"/>
      <c r="Q23"/>
    </row>
    <row r="24" spans="1:17">
      <c r="A24" s="627">
        <v>45910</v>
      </c>
      <c r="B24" s="206">
        <v>1</v>
      </c>
      <c r="C24" s="206">
        <v>1.7270000000000001</v>
      </c>
      <c r="D24" s="206">
        <f t="shared" si="0"/>
        <v>0.72700000000000009</v>
      </c>
      <c r="E24" s="193">
        <f>SUM($D$2:D24)/SUM($B$2:B24)</f>
        <v>-0.18191304347826093</v>
      </c>
      <c r="F24" s="163">
        <f t="shared" si="1"/>
        <v>-4.1840000000000011</v>
      </c>
      <c r="G24" s="212" t="s">
        <v>834</v>
      </c>
      <c r="H24" s="185"/>
      <c r="I24" s="186"/>
      <c r="J24" s="186"/>
      <c r="K24" s="18"/>
      <c r="Q24"/>
    </row>
    <row r="25" spans="1:17">
      <c r="A25" s="628"/>
      <c r="B25" s="207">
        <v>1</v>
      </c>
      <c r="C25" s="207"/>
      <c r="D25" s="207">
        <f t="shared" si="0"/>
        <v>-1</v>
      </c>
      <c r="E25" s="156">
        <f>SUM($D$2:D25)/SUM($B$2:B25)</f>
        <v>-0.21600000000000005</v>
      </c>
      <c r="F25" s="151">
        <f t="shared" si="1"/>
        <v>-5.1840000000000011</v>
      </c>
      <c r="G25" s="203" t="s">
        <v>832</v>
      </c>
      <c r="H25" s="185"/>
      <c r="I25" s="186"/>
      <c r="J25" s="186"/>
      <c r="K25" s="18"/>
      <c r="Q25"/>
    </row>
    <row r="26" spans="1:17" ht="15.75" thickBot="1">
      <c r="A26" s="629"/>
      <c r="B26" s="208">
        <v>1</v>
      </c>
      <c r="C26" s="208"/>
      <c r="D26" s="208">
        <f t="shared" si="0"/>
        <v>-1</v>
      </c>
      <c r="E26" s="195">
        <f>SUM($D$2:D26)/SUM($B$2:B26)</f>
        <v>-0.24736000000000005</v>
      </c>
      <c r="F26" s="165">
        <f t="shared" si="1"/>
        <v>-6.1840000000000011</v>
      </c>
      <c r="G26" s="213" t="s">
        <v>835</v>
      </c>
      <c r="H26" s="185"/>
      <c r="I26" s="186"/>
      <c r="J26" s="186"/>
      <c r="K26" s="18"/>
      <c r="Q26"/>
    </row>
    <row r="27" spans="1:17">
      <c r="A27" s="601">
        <v>45911</v>
      </c>
      <c r="B27" s="206">
        <v>1</v>
      </c>
      <c r="C27" s="206">
        <v>1.92</v>
      </c>
      <c r="D27" s="206">
        <f t="shared" si="0"/>
        <v>0.91999999999999993</v>
      </c>
      <c r="E27" s="193">
        <f>SUM($D$2:D27)/SUM($B$2:B27)</f>
        <v>-0.2024615384615385</v>
      </c>
      <c r="F27" s="163">
        <f t="shared" si="1"/>
        <v>-5.2640000000000011</v>
      </c>
      <c r="G27" s="212" t="s">
        <v>838</v>
      </c>
      <c r="H27" s="185"/>
      <c r="I27" s="186"/>
      <c r="J27" s="186"/>
      <c r="K27" s="18"/>
      <c r="Q27"/>
    </row>
    <row r="28" spans="1:17" ht="15.75" thickBot="1">
      <c r="A28" s="652"/>
      <c r="B28" s="208">
        <v>1</v>
      </c>
      <c r="C28" s="208">
        <v>1.98</v>
      </c>
      <c r="D28" s="208">
        <f t="shared" si="0"/>
        <v>0.98</v>
      </c>
      <c r="E28" s="195">
        <f>SUM($D$2:D28)/SUM($B$2:B28)</f>
        <v>-0.15866666666666671</v>
      </c>
      <c r="F28" s="165">
        <f t="shared" si="1"/>
        <v>-4.2840000000000007</v>
      </c>
      <c r="G28" s="213" t="s">
        <v>839</v>
      </c>
      <c r="H28" s="185"/>
      <c r="I28" s="186"/>
      <c r="J28" s="186"/>
      <c r="K28" s="18"/>
      <c r="Q28"/>
    </row>
    <row r="29" spans="1:17">
      <c r="A29" s="601">
        <v>45912</v>
      </c>
      <c r="B29" s="206">
        <v>1</v>
      </c>
      <c r="C29" s="206">
        <v>1.76</v>
      </c>
      <c r="D29" s="206">
        <f t="shared" si="0"/>
        <v>0.76</v>
      </c>
      <c r="E29" s="193">
        <f>SUM($D$2:D29)/SUM($B$2:B29)</f>
        <v>-0.12585714285714289</v>
      </c>
      <c r="F29" s="163">
        <f t="shared" si="1"/>
        <v>-3.5240000000000009</v>
      </c>
      <c r="G29" s="212" t="s">
        <v>840</v>
      </c>
      <c r="H29" s="185"/>
      <c r="I29" s="186"/>
      <c r="J29" s="186"/>
      <c r="K29" s="18"/>
      <c r="Q29"/>
    </row>
    <row r="30" spans="1:17">
      <c r="A30" s="602"/>
      <c r="B30" s="207">
        <v>1</v>
      </c>
      <c r="C30" s="207"/>
      <c r="D30" s="207">
        <f t="shared" si="0"/>
        <v>-1</v>
      </c>
      <c r="E30" s="156">
        <f>SUM($D$2:D30)/SUM($B$2:B30)</f>
        <v>-0.15600000000000003</v>
      </c>
      <c r="F30" s="151">
        <f t="shared" si="1"/>
        <v>-4.5240000000000009</v>
      </c>
      <c r="G30" s="203" t="s">
        <v>841</v>
      </c>
      <c r="H30" s="185"/>
      <c r="I30" s="186"/>
      <c r="J30" s="186"/>
      <c r="K30" s="18"/>
      <c r="Q30"/>
    </row>
    <row r="31" spans="1:17">
      <c r="A31" s="602"/>
      <c r="B31" s="207">
        <v>1</v>
      </c>
      <c r="C31" s="207">
        <v>1.93</v>
      </c>
      <c r="D31" s="207">
        <f t="shared" si="0"/>
        <v>0.92999999999999994</v>
      </c>
      <c r="E31" s="156">
        <f>SUM($D$2:D31)/SUM($B$2:B31)</f>
        <v>-0.11980000000000005</v>
      </c>
      <c r="F31" s="151">
        <f t="shared" si="1"/>
        <v>-3.5940000000000012</v>
      </c>
      <c r="G31" s="203" t="s">
        <v>842</v>
      </c>
      <c r="H31" s="185"/>
      <c r="I31" s="186"/>
      <c r="J31" s="186"/>
      <c r="K31" s="18"/>
      <c r="Q31"/>
    </row>
    <row r="32" spans="1:17">
      <c r="A32" s="602"/>
      <c r="B32" s="207">
        <v>1</v>
      </c>
      <c r="C32" s="207"/>
      <c r="D32" s="207">
        <f t="shared" si="0"/>
        <v>-1</v>
      </c>
      <c r="E32" s="156">
        <f>SUM($D$2:D32)/SUM($B$2:B32)</f>
        <v>-0.14819354838709681</v>
      </c>
      <c r="F32" s="151">
        <f t="shared" si="1"/>
        <v>-4.5940000000000012</v>
      </c>
      <c r="G32" s="203" t="s">
        <v>843</v>
      </c>
      <c r="H32" s="185"/>
      <c r="I32" s="186"/>
      <c r="J32" s="186"/>
      <c r="K32" s="18"/>
      <c r="Q32"/>
    </row>
    <row r="33" spans="1:17" ht="15.75" thickBot="1">
      <c r="A33" s="652"/>
      <c r="B33" s="208">
        <v>1</v>
      </c>
      <c r="C33" s="208">
        <v>1.89</v>
      </c>
      <c r="D33" s="208">
        <f t="shared" si="0"/>
        <v>0.8899999999999999</v>
      </c>
      <c r="E33" s="195">
        <f>SUM($D$2:D33)/SUM($B$2:B33)</f>
        <v>-0.11575000000000005</v>
      </c>
      <c r="F33" s="165">
        <f t="shared" si="1"/>
        <v>-3.7040000000000015</v>
      </c>
      <c r="G33" s="204" t="s">
        <v>844</v>
      </c>
      <c r="H33" s="185"/>
      <c r="I33" s="186"/>
      <c r="J33" s="186"/>
      <c r="K33" s="18"/>
      <c r="Q33"/>
    </row>
    <row r="34" spans="1:17">
      <c r="A34" s="627">
        <v>45913</v>
      </c>
      <c r="B34" s="206">
        <v>1</v>
      </c>
      <c r="C34" s="206">
        <v>1.89</v>
      </c>
      <c r="D34" s="206">
        <f t="shared" si="0"/>
        <v>0.8899999999999999</v>
      </c>
      <c r="E34" s="193">
        <f>SUM($D$2:D34)/SUM($B$2:B34)</f>
        <v>-8.5272727272727333E-2</v>
      </c>
      <c r="F34" s="163">
        <f t="shared" si="1"/>
        <v>-2.8140000000000018</v>
      </c>
      <c r="G34" s="212" t="s">
        <v>845</v>
      </c>
      <c r="H34" s="185"/>
      <c r="I34" s="186"/>
      <c r="J34" s="186"/>
      <c r="K34" s="18"/>
      <c r="Q34"/>
    </row>
    <row r="35" spans="1:17">
      <c r="A35" s="628"/>
      <c r="B35" s="207">
        <v>1</v>
      </c>
      <c r="C35" s="207">
        <v>2.02</v>
      </c>
      <c r="D35" s="207">
        <f t="shared" si="0"/>
        <v>1.02</v>
      </c>
      <c r="E35" s="156">
        <f>SUM($D$2:D35)/SUM($B$2:B35)</f>
        <v>-5.2764705882352991E-2</v>
      </c>
      <c r="F35" s="151">
        <f t="shared" si="1"/>
        <v>-1.7940000000000018</v>
      </c>
      <c r="G35" s="203" t="s">
        <v>846</v>
      </c>
      <c r="H35" s="185"/>
      <c r="I35" s="186"/>
      <c r="J35" s="186"/>
      <c r="K35" s="18"/>
      <c r="Q35"/>
    </row>
    <row r="36" spans="1:17">
      <c r="A36" s="628"/>
      <c r="B36" s="207">
        <v>1</v>
      </c>
      <c r="C36" s="207">
        <v>1.92</v>
      </c>
      <c r="D36" s="207">
        <f t="shared" si="0"/>
        <v>0.91999999999999993</v>
      </c>
      <c r="E36" s="156">
        <f>SUM($D$2:D36)/SUM($B$2:B36)</f>
        <v>-2.4971428571428627E-2</v>
      </c>
      <c r="F36" s="151">
        <f t="shared" si="1"/>
        <v>-0.87400000000000189</v>
      </c>
      <c r="G36" s="203" t="s">
        <v>844</v>
      </c>
      <c r="H36" s="185"/>
      <c r="I36" s="186"/>
      <c r="J36" s="186"/>
      <c r="K36" s="18"/>
      <c r="Q36"/>
    </row>
    <row r="37" spans="1:17">
      <c r="A37" s="628"/>
      <c r="B37" s="207">
        <v>1</v>
      </c>
      <c r="C37" s="207"/>
      <c r="D37" s="207">
        <f t="shared" si="0"/>
        <v>-1</v>
      </c>
      <c r="E37" s="156">
        <f>SUM($D$2:D37)/SUM($B$2:B37)</f>
        <v>-5.2055555555555605E-2</v>
      </c>
      <c r="F37" s="151">
        <f t="shared" si="1"/>
        <v>-1.8740000000000019</v>
      </c>
      <c r="G37" s="203" t="s">
        <v>840</v>
      </c>
      <c r="H37" s="185"/>
      <c r="I37" s="186"/>
      <c r="J37" s="186"/>
      <c r="K37" s="18"/>
      <c r="Q37"/>
    </row>
    <row r="38" spans="1:17">
      <c r="A38" s="628"/>
      <c r="B38" s="207">
        <v>1</v>
      </c>
      <c r="C38" s="207"/>
      <c r="D38" s="207">
        <f t="shared" si="0"/>
        <v>-1</v>
      </c>
      <c r="E38" s="156">
        <f>SUM($D$2:D38)/SUM($B$2:B38)</f>
        <v>-7.7675675675675723E-2</v>
      </c>
      <c r="F38" s="151">
        <f t="shared" si="1"/>
        <v>-2.8740000000000019</v>
      </c>
      <c r="G38" s="203" t="s">
        <v>847</v>
      </c>
      <c r="H38" s="185"/>
      <c r="I38" s="186"/>
      <c r="J38" s="186"/>
      <c r="K38" s="18"/>
      <c r="Q38"/>
    </row>
    <row r="39" spans="1:17">
      <c r="A39" s="628"/>
      <c r="B39" s="207">
        <v>1</v>
      </c>
      <c r="C39" s="207">
        <v>1.98</v>
      </c>
      <c r="D39" s="207">
        <f t="shared" si="0"/>
        <v>0.98</v>
      </c>
      <c r="E39" s="156">
        <f>SUM($D$2:D39)/SUM($B$2:B39)</f>
        <v>-4.9842105263157944E-2</v>
      </c>
      <c r="F39" s="151">
        <f t="shared" si="1"/>
        <v>-1.8940000000000019</v>
      </c>
      <c r="G39" s="203" t="s">
        <v>848</v>
      </c>
      <c r="H39" s="185"/>
      <c r="I39" s="186"/>
      <c r="J39" s="186"/>
      <c r="K39" s="18"/>
      <c r="Q39"/>
    </row>
    <row r="40" spans="1:17" ht="15.75" thickBot="1">
      <c r="A40" s="629"/>
      <c r="B40" s="208">
        <v>1</v>
      </c>
      <c r="C40" s="208">
        <v>1.9</v>
      </c>
      <c r="D40" s="208">
        <f t="shared" si="0"/>
        <v>0.89999999999999991</v>
      </c>
      <c r="E40" s="195">
        <f>SUM($D$2:D40)/SUM($B$2:B40)</f>
        <v>-2.5487179487179538E-2</v>
      </c>
      <c r="F40" s="165">
        <f t="shared" si="1"/>
        <v>-0.99400000000000199</v>
      </c>
      <c r="G40" s="204" t="s">
        <v>849</v>
      </c>
      <c r="H40" s="185"/>
      <c r="I40" s="186"/>
      <c r="J40" s="186"/>
      <c r="K40" s="18"/>
      <c r="Q40"/>
    </row>
    <row r="41" spans="1:17">
      <c r="A41" s="627">
        <v>45914</v>
      </c>
      <c r="B41" s="206">
        <v>1</v>
      </c>
      <c r="C41" s="206"/>
      <c r="D41" s="206">
        <f t="shared" si="0"/>
        <v>-1</v>
      </c>
      <c r="E41" s="193">
        <f>SUM($D$2:D41)/SUM($B$2:B41)</f>
        <v>-4.9850000000000047E-2</v>
      </c>
      <c r="F41" s="163">
        <f t="shared" si="1"/>
        <v>-1.994000000000002</v>
      </c>
      <c r="G41" s="212" t="s">
        <v>849</v>
      </c>
      <c r="H41" s="185"/>
      <c r="I41" s="186"/>
      <c r="J41" s="186"/>
      <c r="K41" s="18"/>
      <c r="Q41"/>
    </row>
    <row r="42" spans="1:17">
      <c r="A42" s="628"/>
      <c r="B42" s="207">
        <v>1</v>
      </c>
      <c r="C42" s="207">
        <v>1.88</v>
      </c>
      <c r="D42" s="207">
        <f t="shared" si="0"/>
        <v>0.87999999999999989</v>
      </c>
      <c r="E42" s="156">
        <f>SUM($D$2:D42)/SUM($B$2:B42)</f>
        <v>-2.7170731707317125E-2</v>
      </c>
      <c r="F42" s="151">
        <f t="shared" si="1"/>
        <v>-1.1140000000000021</v>
      </c>
      <c r="G42" s="203" t="s">
        <v>850</v>
      </c>
      <c r="H42" s="185"/>
      <c r="I42" s="186"/>
      <c r="J42" s="186"/>
      <c r="K42" s="18"/>
      <c r="Q42"/>
    </row>
    <row r="43" spans="1:17">
      <c r="A43" s="628"/>
      <c r="B43" s="207">
        <v>1</v>
      </c>
      <c r="C43" s="207">
        <v>2</v>
      </c>
      <c r="D43" s="207">
        <f t="shared" si="0"/>
        <v>1</v>
      </c>
      <c r="E43" s="156">
        <f>SUM($D$2:D43)/SUM($B$2:B43)</f>
        <v>-2.7142857142857641E-3</v>
      </c>
      <c r="F43" s="151">
        <f t="shared" si="1"/>
        <v>-0.1140000000000021</v>
      </c>
      <c r="G43" s="203" t="s">
        <v>844</v>
      </c>
      <c r="H43" s="185"/>
      <c r="I43" s="186"/>
      <c r="J43" s="186"/>
      <c r="K43" s="18"/>
      <c r="Q43"/>
    </row>
    <row r="44" spans="1:17">
      <c r="A44" s="628"/>
      <c r="B44" s="207">
        <v>1</v>
      </c>
      <c r="C44" s="207">
        <v>1.81</v>
      </c>
      <c r="D44" s="207">
        <f t="shared" si="0"/>
        <v>0.81</v>
      </c>
      <c r="E44" s="156">
        <f>SUM($D$2:D44)/SUM($B$2:B44)</f>
        <v>1.6186046511627861E-2</v>
      </c>
      <c r="F44" s="151">
        <f t="shared" si="1"/>
        <v>0.69599999999999795</v>
      </c>
      <c r="G44" s="203" t="s">
        <v>840</v>
      </c>
      <c r="H44" s="185"/>
      <c r="I44" s="186"/>
      <c r="J44" s="186"/>
      <c r="K44" s="18"/>
      <c r="Q44"/>
    </row>
    <row r="45" spans="1:17">
      <c r="A45" s="628"/>
      <c r="B45" s="207">
        <v>1</v>
      </c>
      <c r="C45" s="207"/>
      <c r="D45" s="207">
        <f t="shared" si="0"/>
        <v>-1</v>
      </c>
      <c r="E45" s="156">
        <f>SUM($D$2:D45)/SUM($B$2:B45)</f>
        <v>-6.9090909090909558E-3</v>
      </c>
      <c r="F45" s="151">
        <f t="shared" si="1"/>
        <v>-0.30400000000000205</v>
      </c>
      <c r="G45" s="203" t="s">
        <v>843</v>
      </c>
      <c r="H45" s="185"/>
      <c r="I45" s="186"/>
      <c r="J45" s="186"/>
      <c r="K45" s="18"/>
      <c r="Q45"/>
    </row>
    <row r="46" spans="1:17" ht="15.75" thickBot="1">
      <c r="A46" s="629"/>
      <c r="B46" s="208">
        <v>1</v>
      </c>
      <c r="C46" s="208"/>
      <c r="D46" s="208">
        <f t="shared" si="0"/>
        <v>-1</v>
      </c>
      <c r="E46" s="195">
        <f>SUM($D$2:D46)/SUM($B$2:B46)</f>
        <v>-2.8977777777777824E-2</v>
      </c>
      <c r="F46" s="165">
        <f t="shared" si="1"/>
        <v>-1.304000000000002</v>
      </c>
      <c r="G46" s="204" t="s">
        <v>848</v>
      </c>
      <c r="H46" s="185"/>
      <c r="I46" s="186"/>
      <c r="J46" s="186"/>
      <c r="K46" s="18"/>
      <c r="Q46"/>
    </row>
    <row r="47" spans="1:17">
      <c r="A47" s="627">
        <v>45915</v>
      </c>
      <c r="B47" s="207">
        <v>1</v>
      </c>
      <c r="C47" s="207">
        <v>1.84</v>
      </c>
      <c r="D47" s="207">
        <f t="shared" si="0"/>
        <v>0.84000000000000008</v>
      </c>
      <c r="E47" s="156">
        <f>SUM($D$2:D47)/SUM($B$2:B47)</f>
        <v>-1.0086956521739174E-2</v>
      </c>
      <c r="F47" s="151">
        <f t="shared" si="1"/>
        <v>-0.46400000000000197</v>
      </c>
      <c r="G47" s="203" t="s">
        <v>851</v>
      </c>
      <c r="H47" s="185"/>
      <c r="I47" s="186"/>
      <c r="J47" s="186"/>
      <c r="K47" s="18"/>
      <c r="Q47"/>
    </row>
    <row r="48" spans="1:17">
      <c r="A48" s="628"/>
      <c r="B48" s="207">
        <v>1</v>
      </c>
      <c r="C48" s="207">
        <v>1.97</v>
      </c>
      <c r="D48" s="207">
        <f t="shared" si="0"/>
        <v>0.97</v>
      </c>
      <c r="E48" s="156">
        <f>SUM($D$2:D48)/SUM($B$2:B48)</f>
        <v>1.0765957446808468E-2</v>
      </c>
      <c r="F48" s="151">
        <f t="shared" si="1"/>
        <v>0.50599999999999801</v>
      </c>
      <c r="G48" s="203" t="s">
        <v>852</v>
      </c>
      <c r="H48" s="185"/>
      <c r="I48" s="186"/>
      <c r="J48" s="186"/>
      <c r="K48" s="18"/>
      <c r="Q48"/>
    </row>
    <row r="49" spans="1:17" ht="15.75" thickBot="1">
      <c r="A49" s="629"/>
      <c r="B49" s="208">
        <v>1</v>
      </c>
      <c r="C49" s="208">
        <v>1.909</v>
      </c>
      <c r="D49" s="208">
        <f t="shared" si="0"/>
        <v>0.90900000000000003</v>
      </c>
      <c r="E49" s="195">
        <f>SUM($D$2:D49)/SUM($B$2:B49)</f>
        <v>2.9479166666666626E-2</v>
      </c>
      <c r="F49" s="165">
        <f t="shared" si="1"/>
        <v>1.414999999999998</v>
      </c>
      <c r="G49" s="204" t="s">
        <v>853</v>
      </c>
      <c r="H49" s="185"/>
      <c r="I49" s="186"/>
      <c r="J49" s="186"/>
      <c r="K49" s="18"/>
      <c r="Q49"/>
    </row>
    <row r="50" spans="1:17">
      <c r="A50" s="627">
        <v>45916</v>
      </c>
      <c r="B50" s="207">
        <v>1</v>
      </c>
      <c r="C50" s="207">
        <v>1.86</v>
      </c>
      <c r="D50" s="207">
        <f t="shared" si="0"/>
        <v>0.8600000000000001</v>
      </c>
      <c r="E50" s="156">
        <f>SUM($D$2:D50)/SUM($B$2:B50)</f>
        <v>4.6428571428571389E-2</v>
      </c>
      <c r="F50" s="151">
        <f t="shared" si="1"/>
        <v>2.2749999999999981</v>
      </c>
      <c r="G50" s="276" t="s">
        <v>851</v>
      </c>
      <c r="H50" s="185"/>
      <c r="I50" s="186"/>
      <c r="J50" s="186"/>
      <c r="K50" s="18"/>
      <c r="Q50"/>
    </row>
    <row r="51" spans="1:17">
      <c r="A51" s="628"/>
      <c r="B51" s="207">
        <v>1</v>
      </c>
      <c r="C51" s="207"/>
      <c r="D51" s="207">
        <f t="shared" si="0"/>
        <v>-1</v>
      </c>
      <c r="E51" s="156">
        <f>SUM($D$2:D51)/SUM($B$2:B51)</f>
        <v>2.5499999999999964E-2</v>
      </c>
      <c r="F51" s="151">
        <f t="shared" si="1"/>
        <v>1.2749999999999981</v>
      </c>
      <c r="G51" s="203" t="s">
        <v>854</v>
      </c>
      <c r="H51" s="185"/>
      <c r="I51" s="186"/>
      <c r="J51" s="186"/>
      <c r="K51" s="18"/>
      <c r="Q51"/>
    </row>
    <row r="52" spans="1:17">
      <c r="A52" s="628"/>
      <c r="B52" s="207">
        <v>1</v>
      </c>
      <c r="C52" s="207">
        <v>1.95</v>
      </c>
      <c r="D52" s="207">
        <f t="shared" si="0"/>
        <v>0.95</v>
      </c>
      <c r="E52" s="156">
        <f>SUM($D$2:D52)/SUM($B$2:B52)</f>
        <v>4.3627450980392113E-2</v>
      </c>
      <c r="F52" s="151">
        <f t="shared" si="1"/>
        <v>2.2249999999999979</v>
      </c>
      <c r="G52" s="203" t="s">
        <v>853</v>
      </c>
      <c r="H52" s="185"/>
      <c r="I52" s="186"/>
      <c r="J52" s="186"/>
      <c r="K52" s="18"/>
      <c r="Q52"/>
    </row>
    <row r="53" spans="1:17">
      <c r="A53" s="628"/>
      <c r="B53" s="207">
        <v>1</v>
      </c>
      <c r="C53" s="207">
        <v>1.98</v>
      </c>
      <c r="D53" s="207">
        <f t="shared" si="0"/>
        <v>0.98</v>
      </c>
      <c r="E53" s="156">
        <f>SUM($D$2:D53)/SUM($B$2:B53)</f>
        <v>6.1634615384615343E-2</v>
      </c>
      <c r="F53" s="151">
        <f t="shared" si="1"/>
        <v>3.2049999999999979</v>
      </c>
      <c r="G53" s="203" t="s">
        <v>852</v>
      </c>
      <c r="H53" s="185"/>
      <c r="I53" s="186"/>
      <c r="J53" s="186"/>
      <c r="K53" s="18"/>
      <c r="Q53"/>
    </row>
    <row r="54" spans="1:17">
      <c r="A54" s="628"/>
      <c r="B54" s="207">
        <v>1</v>
      </c>
      <c r="C54" s="207">
        <v>1.87</v>
      </c>
      <c r="D54" s="207">
        <f t="shared" si="0"/>
        <v>0.87000000000000011</v>
      </c>
      <c r="E54" s="156">
        <f>SUM($D$2:D54)/SUM($B$2:B54)</f>
        <v>7.6886792452830144E-2</v>
      </c>
      <c r="F54" s="151">
        <f t="shared" si="1"/>
        <v>4.0749999999999975</v>
      </c>
      <c r="G54" s="203" t="s">
        <v>855</v>
      </c>
      <c r="H54" s="185"/>
      <c r="I54" s="186"/>
      <c r="J54" s="186"/>
      <c r="K54" s="18"/>
      <c r="Q54"/>
    </row>
    <row r="55" spans="1:17" ht="15.75" thickBot="1">
      <c r="A55" s="629"/>
      <c r="B55" s="208">
        <v>1</v>
      </c>
      <c r="C55" s="208"/>
      <c r="D55" s="208">
        <f t="shared" si="0"/>
        <v>-1</v>
      </c>
      <c r="E55" s="195">
        <f>SUM($D$2:D55)/SUM($B$2:B55)</f>
        <v>5.6944444444444402E-2</v>
      </c>
      <c r="F55" s="165">
        <f t="shared" si="1"/>
        <v>3.0749999999999975</v>
      </c>
      <c r="G55" s="204" t="s">
        <v>856</v>
      </c>
      <c r="H55" s="185"/>
      <c r="I55" s="186"/>
      <c r="J55" s="186"/>
      <c r="K55" s="18"/>
      <c r="Q55"/>
    </row>
    <row r="56" spans="1:17">
      <c r="A56" s="627">
        <v>45917</v>
      </c>
      <c r="B56" s="209">
        <v>1</v>
      </c>
      <c r="C56" s="209">
        <v>2.0099999999999998</v>
      </c>
      <c r="D56" s="209">
        <f t="shared" si="0"/>
        <v>1.0099999999999998</v>
      </c>
      <c r="E56" s="197">
        <f>SUM($D$2:D56)/SUM($B$2:B56)</f>
        <v>7.4272727272727226E-2</v>
      </c>
      <c r="F56" s="164">
        <f t="shared" si="1"/>
        <v>4.0849999999999973</v>
      </c>
      <c r="G56" s="279" t="s">
        <v>859</v>
      </c>
      <c r="H56" s="185"/>
      <c r="I56" s="186"/>
      <c r="J56" s="186"/>
      <c r="K56" s="18"/>
      <c r="Q56"/>
    </row>
    <row r="57" spans="1:17">
      <c r="A57" s="628"/>
      <c r="B57" s="207">
        <v>1</v>
      </c>
      <c r="C57" s="207">
        <v>1.87</v>
      </c>
      <c r="D57" s="207">
        <f t="shared" si="0"/>
        <v>0.87000000000000011</v>
      </c>
      <c r="E57" s="156">
        <f>SUM($D$2:D57)/SUM($B$2:B57)</f>
        <v>8.8482142857142815E-2</v>
      </c>
      <c r="F57" s="151">
        <f t="shared" si="1"/>
        <v>4.9549999999999974</v>
      </c>
      <c r="G57" s="203" t="s">
        <v>860</v>
      </c>
      <c r="H57" s="185"/>
      <c r="I57" s="186"/>
      <c r="J57" s="186"/>
      <c r="K57" s="18"/>
      <c r="Q57"/>
    </row>
    <row r="58" spans="1:17">
      <c r="A58" s="628"/>
      <c r="B58" s="207">
        <v>1</v>
      </c>
      <c r="C58" s="207"/>
      <c r="D58" s="207">
        <f t="shared" si="0"/>
        <v>-1</v>
      </c>
      <c r="E58" s="156">
        <f>SUM($D$2:D58)/SUM($B$2:B58)</f>
        <v>6.9385964912280662E-2</v>
      </c>
      <c r="F58" s="151">
        <f t="shared" si="1"/>
        <v>3.9549999999999974</v>
      </c>
      <c r="G58" s="203" t="s">
        <v>851</v>
      </c>
      <c r="H58" s="185"/>
      <c r="I58" s="186"/>
      <c r="J58" s="186"/>
      <c r="K58" s="18"/>
      <c r="Q58"/>
    </row>
    <row r="59" spans="1:17">
      <c r="A59" s="628"/>
      <c r="B59" s="207">
        <v>1</v>
      </c>
      <c r="C59" s="207">
        <v>1.93</v>
      </c>
      <c r="D59" s="207">
        <f t="shared" si="0"/>
        <v>0.92999999999999994</v>
      </c>
      <c r="E59" s="156">
        <f>SUM($D$2:D59)/SUM($B$2:B59)</f>
        <v>8.4224137931034435E-2</v>
      </c>
      <c r="F59" s="151">
        <f t="shared" si="1"/>
        <v>4.8849999999999971</v>
      </c>
      <c r="G59" s="203" t="s">
        <v>861</v>
      </c>
      <c r="H59" s="185"/>
      <c r="I59" s="186"/>
      <c r="J59" s="186"/>
      <c r="K59" s="18"/>
      <c r="Q59"/>
    </row>
    <row r="60" spans="1:17">
      <c r="A60" s="628"/>
      <c r="B60" s="207">
        <v>1</v>
      </c>
      <c r="C60" s="207"/>
      <c r="D60" s="207">
        <f t="shared" si="0"/>
        <v>-1</v>
      </c>
      <c r="E60" s="156">
        <f>SUM($D$2:D60)/SUM($B$2:B60)</f>
        <v>6.5847457627118591E-2</v>
      </c>
      <c r="F60" s="151">
        <f t="shared" si="1"/>
        <v>3.8849999999999971</v>
      </c>
      <c r="G60" s="203" t="s">
        <v>862</v>
      </c>
      <c r="H60" s="185"/>
      <c r="I60" s="186"/>
      <c r="J60" s="186"/>
      <c r="K60" s="18"/>
      <c r="Q60"/>
    </row>
    <row r="61" spans="1:17" ht="15.75" thickBot="1">
      <c r="A61" s="629"/>
      <c r="B61" s="208">
        <v>1</v>
      </c>
      <c r="C61" s="208">
        <v>1.87</v>
      </c>
      <c r="D61" s="208">
        <f t="shared" si="0"/>
        <v>0.87000000000000011</v>
      </c>
      <c r="E61" s="195">
        <f>SUM($D$2:D61)/SUM($B$2:B61)</f>
        <v>7.9249999999999959E-2</v>
      </c>
      <c r="F61" s="165">
        <f t="shared" si="1"/>
        <v>4.7549999999999972</v>
      </c>
      <c r="G61" s="204" t="s">
        <v>855</v>
      </c>
      <c r="H61" s="185"/>
      <c r="I61" s="186"/>
      <c r="J61" s="186"/>
      <c r="K61" s="18"/>
      <c r="Q61"/>
    </row>
    <row r="62" spans="1:17">
      <c r="A62" s="627">
        <v>45918</v>
      </c>
      <c r="B62" s="206">
        <v>1</v>
      </c>
      <c r="C62" s="206"/>
      <c r="D62" s="206">
        <f t="shared" si="0"/>
        <v>-1</v>
      </c>
      <c r="E62" s="193">
        <f>SUM($D$2:D62)/SUM($B$2:B62)</f>
        <v>6.1557377049180281E-2</v>
      </c>
      <c r="F62" s="163">
        <f t="shared" si="1"/>
        <v>3.7549999999999972</v>
      </c>
      <c r="G62" s="203" t="s">
        <v>853</v>
      </c>
      <c r="H62" s="185"/>
      <c r="I62" s="186"/>
      <c r="J62" s="186"/>
      <c r="K62" s="18"/>
      <c r="Q62"/>
    </row>
    <row r="63" spans="1:17">
      <c r="A63" s="628"/>
      <c r="B63" s="207">
        <v>1</v>
      </c>
      <c r="C63" s="207">
        <v>1.87</v>
      </c>
      <c r="D63" s="207">
        <f t="shared" si="0"/>
        <v>0.87000000000000011</v>
      </c>
      <c r="E63" s="156">
        <f>SUM($D$2:D63)/SUM($B$2:B63)</f>
        <v>7.4596774193548349E-2</v>
      </c>
      <c r="F63" s="151">
        <f t="shared" si="1"/>
        <v>4.6249999999999973</v>
      </c>
      <c r="G63" s="203" t="s">
        <v>863</v>
      </c>
      <c r="H63" s="185"/>
      <c r="I63" s="186"/>
      <c r="J63" s="186"/>
      <c r="K63" s="18"/>
      <c r="Q63"/>
    </row>
    <row r="64" spans="1:17">
      <c r="A64" s="628"/>
      <c r="B64" s="207">
        <v>1</v>
      </c>
      <c r="C64" s="207">
        <v>1.9</v>
      </c>
      <c r="D64" s="207">
        <f t="shared" si="0"/>
        <v>0.89999999999999991</v>
      </c>
      <c r="E64" s="156">
        <f>SUM($D$2:D64)/SUM($B$2:B64)</f>
        <v>8.7698412698412651E-2</v>
      </c>
      <c r="F64" s="151">
        <f t="shared" si="1"/>
        <v>5.5249999999999968</v>
      </c>
      <c r="G64" s="203" t="s">
        <v>864</v>
      </c>
      <c r="H64" s="185"/>
      <c r="I64" s="186"/>
      <c r="J64" s="186"/>
      <c r="K64" s="18"/>
      <c r="Q64"/>
    </row>
    <row r="65" spans="1:17">
      <c r="A65" s="628"/>
      <c r="B65" s="207">
        <v>1</v>
      </c>
      <c r="C65" s="207"/>
      <c r="D65" s="207">
        <f t="shared" si="0"/>
        <v>-1</v>
      </c>
      <c r="E65" s="156">
        <f>SUM($D$2:D65)/SUM($B$2:B65)</f>
        <v>7.070312499999995E-2</v>
      </c>
      <c r="F65" s="151">
        <f t="shared" si="1"/>
        <v>4.5249999999999968</v>
      </c>
      <c r="G65" s="203" t="s">
        <v>865</v>
      </c>
      <c r="H65" s="185"/>
      <c r="I65" s="186"/>
      <c r="J65" s="186"/>
      <c r="K65" s="18"/>
      <c r="Q65"/>
    </row>
    <row r="66" spans="1:17">
      <c r="A66" s="628"/>
      <c r="B66" s="207">
        <v>1</v>
      </c>
      <c r="C66" s="207"/>
      <c r="D66" s="207">
        <f t="shared" ref="D66:D108" si="2">(B66*C66)-B66</f>
        <v>-1</v>
      </c>
      <c r="E66" s="156">
        <f>SUM($D$2:D66)/SUM($B$2:B66)</f>
        <v>5.423076923076918E-2</v>
      </c>
      <c r="F66" s="151">
        <f t="shared" si="1"/>
        <v>3.5249999999999968</v>
      </c>
      <c r="G66" s="203" t="s">
        <v>866</v>
      </c>
      <c r="H66" s="185"/>
      <c r="I66" s="186"/>
      <c r="J66" s="186"/>
      <c r="K66" s="18"/>
      <c r="Q66"/>
    </row>
    <row r="67" spans="1:17" ht="15.75" thickBot="1">
      <c r="A67" s="629"/>
      <c r="B67" s="208">
        <v>1</v>
      </c>
      <c r="C67" s="208"/>
      <c r="D67" s="208">
        <f t="shared" si="2"/>
        <v>-1</v>
      </c>
      <c r="E67" s="195">
        <f>SUM($D$2:D67)/SUM($B$2:B67)</f>
        <v>3.8257575757575712E-2</v>
      </c>
      <c r="F67" s="165">
        <f t="shared" ref="F67:F108" si="3">F66+D67</f>
        <v>2.5249999999999968</v>
      </c>
      <c r="G67" s="204" t="s">
        <v>867</v>
      </c>
      <c r="H67" s="185"/>
      <c r="I67" s="186"/>
      <c r="J67" s="186"/>
      <c r="K67" s="18"/>
      <c r="Q67"/>
    </row>
    <row r="68" spans="1:17">
      <c r="A68" s="627">
        <v>45919</v>
      </c>
      <c r="B68" s="206">
        <v>1</v>
      </c>
      <c r="C68" s="206">
        <v>2.0099999999999998</v>
      </c>
      <c r="D68" s="206">
        <f t="shared" si="2"/>
        <v>1.0099999999999998</v>
      </c>
      <c r="E68" s="193">
        <f>SUM($D$2:D68)/SUM($B$2:B68)</f>
        <v>5.2761194029850696E-2</v>
      </c>
      <c r="F68" s="163">
        <f t="shared" si="3"/>
        <v>3.5349999999999966</v>
      </c>
      <c r="G68" s="203" t="s">
        <v>868</v>
      </c>
      <c r="H68" s="185"/>
      <c r="I68" s="186"/>
      <c r="J68" s="186"/>
      <c r="K68" s="18"/>
      <c r="Q68"/>
    </row>
    <row r="69" spans="1:17">
      <c r="A69" s="628"/>
      <c r="B69" s="207">
        <v>1</v>
      </c>
      <c r="C69" s="207">
        <v>1.615</v>
      </c>
      <c r="D69" s="207">
        <f t="shared" si="2"/>
        <v>0.61499999999999999</v>
      </c>
      <c r="E69" s="156">
        <f>SUM($D$2:D69)/SUM($B$2:B69)</f>
        <v>6.1029411764705832E-2</v>
      </c>
      <c r="F69" s="151">
        <f t="shared" si="3"/>
        <v>4.1499999999999968</v>
      </c>
      <c r="G69" s="203" t="s">
        <v>869</v>
      </c>
      <c r="H69" s="185"/>
      <c r="I69" s="186"/>
      <c r="J69" s="186"/>
      <c r="K69" s="18"/>
      <c r="Q69"/>
    </row>
    <row r="70" spans="1:17">
      <c r="A70" s="628"/>
      <c r="B70" s="207">
        <v>1</v>
      </c>
      <c r="C70" s="207">
        <v>1.92</v>
      </c>
      <c r="D70" s="207">
        <f t="shared" si="2"/>
        <v>0.91999999999999993</v>
      </c>
      <c r="E70" s="156">
        <f>SUM($D$2:D70)/SUM($B$2:B70)</f>
        <v>7.3478260869565173E-2</v>
      </c>
      <c r="F70" s="151">
        <f t="shared" si="3"/>
        <v>5.0699999999999967</v>
      </c>
      <c r="G70" s="203" t="s">
        <v>866</v>
      </c>
      <c r="H70" s="185"/>
      <c r="I70" s="186"/>
      <c r="J70" s="186"/>
      <c r="K70" s="18"/>
      <c r="Q70"/>
    </row>
    <row r="71" spans="1:17">
      <c r="A71" s="628"/>
      <c r="B71" s="207">
        <v>1</v>
      </c>
      <c r="C71" s="207">
        <v>1.84</v>
      </c>
      <c r="D71" s="207">
        <f t="shared" si="2"/>
        <v>0.84000000000000008</v>
      </c>
      <c r="E71" s="156">
        <f>SUM($D$2:D71)/SUM($B$2:B71)</f>
        <v>8.4428571428571381E-2</v>
      </c>
      <c r="F71" s="151">
        <f t="shared" si="3"/>
        <v>5.9099999999999966</v>
      </c>
      <c r="G71" s="203" t="s">
        <v>870</v>
      </c>
      <c r="H71" s="185"/>
      <c r="I71" s="186"/>
      <c r="J71" s="186"/>
      <c r="K71" s="18"/>
      <c r="Q71"/>
    </row>
    <row r="72" spans="1:17">
      <c r="A72" s="628"/>
      <c r="B72" s="207">
        <v>1</v>
      </c>
      <c r="C72" s="207">
        <v>1.909</v>
      </c>
      <c r="D72" s="207">
        <f t="shared" si="2"/>
        <v>0.90900000000000003</v>
      </c>
      <c r="E72" s="156">
        <f>SUM($D$2:D72)/SUM($B$2:B72)</f>
        <v>9.6042253521126705E-2</v>
      </c>
      <c r="F72" s="151">
        <f t="shared" si="3"/>
        <v>6.8189999999999964</v>
      </c>
      <c r="G72" s="203" t="s">
        <v>871</v>
      </c>
      <c r="H72" s="185"/>
      <c r="I72" s="186"/>
      <c r="J72" s="186"/>
      <c r="K72" s="18"/>
      <c r="Q72"/>
    </row>
    <row r="73" spans="1:17">
      <c r="A73" s="628"/>
      <c r="B73" s="207">
        <v>1</v>
      </c>
      <c r="C73" s="207">
        <v>1.98</v>
      </c>
      <c r="D73" s="207">
        <f t="shared" si="2"/>
        <v>0.98</v>
      </c>
      <c r="E73" s="156">
        <f>SUM($D$2:D73)/SUM($B$2:B73)</f>
        <v>0.10831944444444438</v>
      </c>
      <c r="F73" s="151">
        <f t="shared" si="3"/>
        <v>7.7989999999999959</v>
      </c>
      <c r="G73" s="203" t="s">
        <v>872</v>
      </c>
      <c r="H73" s="185"/>
      <c r="I73" s="186"/>
      <c r="J73" s="186"/>
      <c r="K73" s="18"/>
      <c r="Q73"/>
    </row>
    <row r="74" spans="1:17">
      <c r="A74" s="628"/>
      <c r="B74" s="207">
        <v>1</v>
      </c>
      <c r="C74" s="207">
        <v>1.909</v>
      </c>
      <c r="D74" s="207">
        <f t="shared" si="2"/>
        <v>0.90900000000000003</v>
      </c>
      <c r="E74" s="156">
        <f>SUM($D$2:D74)/SUM($B$2:B74)</f>
        <v>0.11928767123287666</v>
      </c>
      <c r="F74" s="151">
        <f t="shared" si="3"/>
        <v>8.7079999999999966</v>
      </c>
      <c r="G74" s="203" t="s">
        <v>867</v>
      </c>
      <c r="H74" s="185"/>
      <c r="I74" s="186"/>
      <c r="J74" s="186"/>
      <c r="K74" s="18"/>
      <c r="Q74"/>
    </row>
    <row r="75" spans="1:17">
      <c r="A75" s="628"/>
      <c r="B75" s="207">
        <v>1</v>
      </c>
      <c r="C75" s="207">
        <v>2.06</v>
      </c>
      <c r="D75" s="207">
        <f t="shared" si="2"/>
        <v>1.06</v>
      </c>
      <c r="E75" s="156">
        <f>SUM($D$2:D75)/SUM($B$2:B75)</f>
        <v>0.13199999999999995</v>
      </c>
      <c r="F75" s="151">
        <f t="shared" si="3"/>
        <v>9.7679999999999971</v>
      </c>
      <c r="G75" s="203" t="s">
        <v>873</v>
      </c>
      <c r="H75" s="185"/>
      <c r="I75" s="186"/>
      <c r="J75" s="186"/>
      <c r="K75" s="18"/>
      <c r="Q75"/>
    </row>
    <row r="76" spans="1:17">
      <c r="A76" s="628"/>
      <c r="B76" s="207">
        <v>1</v>
      </c>
      <c r="C76" s="207"/>
      <c r="D76" s="207">
        <f t="shared" si="2"/>
        <v>-1</v>
      </c>
      <c r="E76" s="156">
        <f>SUM($D$2:D76)/SUM($B$2:B76)</f>
        <v>0.11690666666666663</v>
      </c>
      <c r="F76" s="151">
        <f t="shared" si="3"/>
        <v>8.7679999999999971</v>
      </c>
      <c r="G76" s="203" t="s">
        <v>864</v>
      </c>
      <c r="H76" s="185"/>
      <c r="I76" s="186"/>
      <c r="J76" s="186"/>
      <c r="K76" s="18"/>
      <c r="Q76"/>
    </row>
    <row r="77" spans="1:17" ht="15.75" thickBot="1">
      <c r="A77" s="629"/>
      <c r="B77" s="208">
        <v>1</v>
      </c>
      <c r="C77" s="208">
        <v>2.13</v>
      </c>
      <c r="D77" s="208">
        <f t="shared" si="2"/>
        <v>1.1299999999999999</v>
      </c>
      <c r="E77" s="195">
        <f>SUM($D$2:D77)/SUM($B$2:B77)</f>
        <v>0.1302368421052631</v>
      </c>
      <c r="F77" s="165">
        <f t="shared" si="3"/>
        <v>9.8979999999999961</v>
      </c>
      <c r="G77" s="204" t="s">
        <v>874</v>
      </c>
      <c r="H77" s="185"/>
      <c r="I77" s="186"/>
      <c r="J77" s="186"/>
      <c r="K77" s="18"/>
      <c r="Q77"/>
    </row>
    <row r="78" spans="1:17">
      <c r="A78" s="627">
        <v>45920</v>
      </c>
      <c r="B78" s="207">
        <v>1</v>
      </c>
      <c r="C78" s="207">
        <v>1.93</v>
      </c>
      <c r="D78" s="207">
        <f t="shared" si="2"/>
        <v>0.92999999999999994</v>
      </c>
      <c r="E78" s="156">
        <f>SUM($D$2:D78)/SUM($B$2:B78)</f>
        <v>0.14062337662337657</v>
      </c>
      <c r="F78" s="151">
        <f t="shared" si="3"/>
        <v>10.827999999999996</v>
      </c>
      <c r="G78" s="203" t="s">
        <v>872</v>
      </c>
      <c r="H78" s="185"/>
      <c r="I78" s="186"/>
      <c r="J78" s="186"/>
      <c r="K78" s="18"/>
      <c r="Q78"/>
    </row>
    <row r="79" spans="1:17">
      <c r="A79" s="628"/>
      <c r="B79" s="207">
        <v>1</v>
      </c>
      <c r="C79" s="207">
        <v>1.88</v>
      </c>
      <c r="D79" s="207">
        <f t="shared" si="2"/>
        <v>0.87999999999999989</v>
      </c>
      <c r="E79" s="156">
        <f>SUM($D$2:D79)/SUM($B$2:B79)</f>
        <v>0.15010256410256403</v>
      </c>
      <c r="F79" s="151">
        <f t="shared" si="3"/>
        <v>11.707999999999995</v>
      </c>
      <c r="G79" s="203" t="s">
        <v>864</v>
      </c>
      <c r="H79" s="185"/>
      <c r="I79" s="186"/>
      <c r="J79" s="186"/>
      <c r="K79" s="18"/>
      <c r="Q79"/>
    </row>
    <row r="80" spans="1:17">
      <c r="A80" s="628"/>
      <c r="B80" s="207">
        <v>1</v>
      </c>
      <c r="C80" s="207">
        <v>1.87</v>
      </c>
      <c r="D80" s="207">
        <f t="shared" si="2"/>
        <v>0.87000000000000011</v>
      </c>
      <c r="E80" s="156">
        <f>SUM($D$2:D80)/SUM($B$2:B80)</f>
        <v>0.15921518987341768</v>
      </c>
      <c r="F80" s="151">
        <f t="shared" si="3"/>
        <v>12.577999999999996</v>
      </c>
      <c r="G80" s="203" t="s">
        <v>870</v>
      </c>
      <c r="H80" s="185"/>
      <c r="I80" s="186"/>
      <c r="J80" s="186"/>
      <c r="K80" s="18"/>
      <c r="Q80"/>
    </row>
    <row r="81" spans="1:17">
      <c r="A81" s="628"/>
      <c r="B81" s="207">
        <v>1</v>
      </c>
      <c r="C81" s="207">
        <v>1.87</v>
      </c>
      <c r="D81" s="207">
        <f t="shared" si="2"/>
        <v>0.87000000000000011</v>
      </c>
      <c r="E81" s="156">
        <f>SUM($D$2:D81)/SUM($B$2:B81)</f>
        <v>0.16809999999999997</v>
      </c>
      <c r="F81" s="37">
        <f>F80+D81</f>
        <v>13.447999999999997</v>
      </c>
      <c r="G81" s="203" t="s">
        <v>867</v>
      </c>
      <c r="H81" s="185"/>
      <c r="I81" s="186"/>
      <c r="J81" s="186"/>
      <c r="K81" s="18"/>
      <c r="Q81"/>
    </row>
    <row r="82" spans="1:17">
      <c r="A82" s="628"/>
      <c r="B82" s="207">
        <v>1</v>
      </c>
      <c r="C82" s="207"/>
      <c r="D82" s="207">
        <f t="shared" si="2"/>
        <v>-1</v>
      </c>
      <c r="E82" s="156">
        <f>SUM($D$2:D82)/SUM($B$2:B82)</f>
        <v>0.15367901234567896</v>
      </c>
      <c r="F82" s="151">
        <f>F81+D82</f>
        <v>12.447999999999997</v>
      </c>
      <c r="G82" s="203" t="s">
        <v>875</v>
      </c>
      <c r="H82" s="185"/>
      <c r="I82" s="186"/>
      <c r="J82" s="186"/>
      <c r="K82" s="18"/>
      <c r="Q82"/>
    </row>
    <row r="83" spans="1:17">
      <c r="A83" s="628"/>
      <c r="B83" s="207">
        <v>1</v>
      </c>
      <c r="C83" s="207"/>
      <c r="D83" s="207">
        <f t="shared" si="2"/>
        <v>-1</v>
      </c>
      <c r="E83" s="156">
        <f>SUM($D$2:D83)/SUM($B$2:B83)</f>
        <v>0.13960975609756093</v>
      </c>
      <c r="F83" s="151">
        <f t="shared" si="3"/>
        <v>11.447999999999997</v>
      </c>
      <c r="G83" s="203" t="s">
        <v>866</v>
      </c>
      <c r="H83" s="185"/>
      <c r="I83" s="186"/>
      <c r="J83" s="186"/>
      <c r="K83" s="18"/>
      <c r="Q83"/>
    </row>
    <row r="84" spans="1:17">
      <c r="A84" s="628"/>
      <c r="B84" s="207">
        <v>1</v>
      </c>
      <c r="C84" s="207"/>
      <c r="D84" s="207">
        <f t="shared" si="2"/>
        <v>-1</v>
      </c>
      <c r="E84" s="156">
        <f>SUM($D$2:D84)/SUM($B$2:B84)</f>
        <v>0.12587951807228911</v>
      </c>
      <c r="F84" s="151">
        <f t="shared" si="3"/>
        <v>10.447999999999997</v>
      </c>
      <c r="G84" s="203" t="s">
        <v>871</v>
      </c>
      <c r="H84" s="185"/>
      <c r="I84" s="186"/>
      <c r="J84" s="186"/>
      <c r="K84" s="18"/>
      <c r="Q84"/>
    </row>
    <row r="85" spans="1:17" ht="15.75" thickBot="1">
      <c r="A85" s="629"/>
      <c r="B85" s="208">
        <v>1</v>
      </c>
      <c r="C85" s="208">
        <v>2</v>
      </c>
      <c r="D85" s="208">
        <f t="shared" si="2"/>
        <v>1</v>
      </c>
      <c r="E85" s="195">
        <f>SUM($D$2:D85)/SUM($B$2:B85)</f>
        <v>0.13628571428571426</v>
      </c>
      <c r="F85" s="165">
        <f t="shared" si="3"/>
        <v>11.447999999999997</v>
      </c>
      <c r="G85" s="204" t="s">
        <v>873</v>
      </c>
      <c r="H85" s="185"/>
      <c r="I85" s="186"/>
      <c r="J85" s="186"/>
      <c r="K85" s="18"/>
      <c r="Q85"/>
    </row>
    <row r="86" spans="1:17">
      <c r="A86" s="627">
        <v>45921</v>
      </c>
      <c r="B86" s="167">
        <v>1</v>
      </c>
      <c r="C86" s="206"/>
      <c r="D86" s="206">
        <f t="shared" si="2"/>
        <v>-1</v>
      </c>
      <c r="E86" s="193">
        <f>SUM($D$2:D86)/SUM($B$2:B86)</f>
        <v>0.12291764705882349</v>
      </c>
      <c r="F86" s="163">
        <f t="shared" si="3"/>
        <v>10.447999999999997</v>
      </c>
      <c r="G86" s="202" t="s">
        <v>864</v>
      </c>
      <c r="H86" s="185"/>
      <c r="I86" s="186"/>
      <c r="J86" s="186"/>
      <c r="K86" s="18"/>
      <c r="Q86"/>
    </row>
    <row r="87" spans="1:17">
      <c r="A87" s="628"/>
      <c r="B87" s="169">
        <v>1</v>
      </c>
      <c r="C87" s="207"/>
      <c r="D87" s="207">
        <f t="shared" si="2"/>
        <v>-1</v>
      </c>
      <c r="E87" s="156">
        <f>SUM($D$2:D87)/SUM($B$2:B87)</f>
        <v>0.10986046511627903</v>
      </c>
      <c r="F87" s="151">
        <f t="shared" si="3"/>
        <v>9.4479999999999968</v>
      </c>
      <c r="G87" s="203" t="s">
        <v>878</v>
      </c>
      <c r="H87" s="185"/>
      <c r="I87" s="186"/>
      <c r="J87" s="186"/>
      <c r="K87" s="18"/>
      <c r="Q87"/>
    </row>
    <row r="88" spans="1:17">
      <c r="A88" s="628"/>
      <c r="B88" s="169">
        <v>1</v>
      </c>
      <c r="C88" s="207"/>
      <c r="D88" s="207">
        <f t="shared" si="2"/>
        <v>-1</v>
      </c>
      <c r="E88" s="156">
        <f>SUM($D$2:D88)/SUM($B$2:B88)</f>
        <v>9.7103448275862037E-2</v>
      </c>
      <c r="F88" s="151">
        <f t="shared" si="3"/>
        <v>8.4479999999999968</v>
      </c>
      <c r="G88" s="203" t="s">
        <v>872</v>
      </c>
      <c r="H88" s="185"/>
      <c r="I88" s="186"/>
      <c r="J88" s="186"/>
      <c r="K88" s="18"/>
      <c r="Q88"/>
    </row>
    <row r="89" spans="1:17">
      <c r="A89" s="628"/>
      <c r="B89" s="169">
        <v>1</v>
      </c>
      <c r="C89" s="207">
        <v>1.87</v>
      </c>
      <c r="D89" s="207">
        <f t="shared" si="2"/>
        <v>0.87000000000000011</v>
      </c>
      <c r="E89" s="156">
        <f>SUM($D$2:D89)/SUM($B$2:B89)</f>
        <v>0.10588636363636361</v>
      </c>
      <c r="F89" s="151">
        <f t="shared" si="3"/>
        <v>9.3179999999999978</v>
      </c>
      <c r="G89" s="203" t="s">
        <v>870</v>
      </c>
      <c r="H89" s="185"/>
      <c r="I89" s="186"/>
      <c r="J89" s="186"/>
      <c r="K89" s="18"/>
      <c r="Q89"/>
    </row>
    <row r="90" spans="1:17" ht="15.75" thickBot="1">
      <c r="A90" s="629"/>
      <c r="B90" s="172">
        <v>1</v>
      </c>
      <c r="C90" s="208">
        <v>1.64</v>
      </c>
      <c r="D90" s="208">
        <f t="shared" si="2"/>
        <v>0.6399999999999999</v>
      </c>
      <c r="E90" s="195">
        <f>SUM($D$2:D90)/SUM($B$2:B90)</f>
        <v>0.11188764044943818</v>
      </c>
      <c r="F90" s="165">
        <f t="shared" si="3"/>
        <v>9.9579999999999984</v>
      </c>
      <c r="G90" s="204" t="s">
        <v>869</v>
      </c>
      <c r="H90" s="185"/>
      <c r="I90" s="186"/>
      <c r="J90" s="186"/>
      <c r="K90" s="18"/>
      <c r="Q90"/>
    </row>
    <row r="91" spans="1:17" ht="15.75" thickBot="1">
      <c r="A91" s="574">
        <v>45922</v>
      </c>
      <c r="B91" s="225">
        <v>1</v>
      </c>
      <c r="C91" s="226">
        <v>1.98</v>
      </c>
      <c r="D91" s="226">
        <f t="shared" si="2"/>
        <v>0.98</v>
      </c>
      <c r="E91" s="227">
        <f>SUM($D$2:D91)/SUM($B$2:B91)</f>
        <v>0.12153333333333333</v>
      </c>
      <c r="F91" s="228">
        <f t="shared" si="3"/>
        <v>10.937999999999999</v>
      </c>
      <c r="G91" s="280" t="s">
        <v>879</v>
      </c>
      <c r="H91" s="185"/>
      <c r="I91" s="186"/>
      <c r="J91" s="186"/>
      <c r="K91" s="18"/>
      <c r="Q91"/>
    </row>
    <row r="92" spans="1:17">
      <c r="A92" s="627">
        <v>45923</v>
      </c>
      <c r="B92" s="169">
        <v>1</v>
      </c>
      <c r="C92" s="207">
        <v>1.75</v>
      </c>
      <c r="D92" s="207">
        <f t="shared" si="2"/>
        <v>0.75</v>
      </c>
      <c r="E92" s="156">
        <f>SUM($D$2:D92)/SUM($B$2:B92)</f>
        <v>0.12843956043956042</v>
      </c>
      <c r="F92" s="151">
        <f t="shared" si="3"/>
        <v>11.687999999999999</v>
      </c>
      <c r="G92" s="203" t="s">
        <v>881</v>
      </c>
      <c r="H92" s="185"/>
      <c r="I92" s="186"/>
      <c r="J92" s="186"/>
      <c r="K92" s="18"/>
      <c r="Q92"/>
    </row>
    <row r="93" spans="1:17">
      <c r="A93" s="628"/>
      <c r="B93" s="169">
        <v>1</v>
      </c>
      <c r="C93" s="207"/>
      <c r="D93" s="207">
        <f t="shared" si="2"/>
        <v>-1</v>
      </c>
      <c r="E93" s="156">
        <f>SUM($D$2:D93)/SUM($B$2:B93)</f>
        <v>0.11617391304347825</v>
      </c>
      <c r="F93" s="151">
        <f t="shared" si="3"/>
        <v>10.687999999999999</v>
      </c>
      <c r="G93" s="203" t="s">
        <v>882</v>
      </c>
      <c r="H93" s="185"/>
      <c r="I93" s="186"/>
      <c r="J93" s="186"/>
      <c r="K93" s="18"/>
      <c r="Q93"/>
    </row>
    <row r="94" spans="1:17">
      <c r="A94" s="628"/>
      <c r="B94" s="169">
        <v>1</v>
      </c>
      <c r="C94" s="207">
        <v>1.95</v>
      </c>
      <c r="D94" s="207">
        <f t="shared" si="2"/>
        <v>0.95</v>
      </c>
      <c r="E94" s="156">
        <f>SUM($D$2:D94)/SUM($B$2:B94)</f>
        <v>0.12513978494623654</v>
      </c>
      <c r="F94" s="151">
        <f t="shared" si="3"/>
        <v>11.637999999999998</v>
      </c>
      <c r="G94" s="203" t="s">
        <v>883</v>
      </c>
      <c r="H94" s="185"/>
      <c r="I94" s="186"/>
      <c r="J94" s="186"/>
      <c r="K94" s="18"/>
      <c r="Q94"/>
    </row>
    <row r="95" spans="1:17">
      <c r="A95" s="628"/>
      <c r="B95" s="169">
        <v>1</v>
      </c>
      <c r="C95" s="207"/>
      <c r="D95" s="207">
        <f t="shared" si="2"/>
        <v>-1</v>
      </c>
      <c r="E95" s="156">
        <f>SUM($D$2:D95)/SUM($B$2:B95)</f>
        <v>0.11317021276595743</v>
      </c>
      <c r="F95" s="151">
        <f t="shared" si="3"/>
        <v>10.637999999999998</v>
      </c>
      <c r="G95" s="276" t="s">
        <v>884</v>
      </c>
      <c r="H95" s="185"/>
      <c r="I95" s="186"/>
      <c r="J95" s="186"/>
      <c r="K95" s="18"/>
      <c r="Q95"/>
    </row>
    <row r="96" spans="1:17">
      <c r="A96" s="628"/>
      <c r="B96" s="169">
        <v>1</v>
      </c>
      <c r="C96" s="207"/>
      <c r="D96" s="207">
        <f t="shared" si="2"/>
        <v>-1</v>
      </c>
      <c r="E96" s="156">
        <f>SUM($D$2:D96)/SUM($B$2:B96)</f>
        <v>0.10145263157894735</v>
      </c>
      <c r="F96" s="151">
        <f t="shared" si="3"/>
        <v>9.6379999999999981</v>
      </c>
      <c r="G96" s="203" t="s">
        <v>885</v>
      </c>
      <c r="H96" s="185"/>
      <c r="I96" s="186"/>
      <c r="J96" s="186"/>
      <c r="K96" s="18"/>
      <c r="Q96"/>
    </row>
    <row r="97" spans="1:17" ht="15.75" thickBot="1">
      <c r="A97" s="629"/>
      <c r="B97" s="172">
        <v>1</v>
      </c>
      <c r="C97" s="208"/>
      <c r="D97" s="208">
        <f t="shared" si="2"/>
        <v>-1</v>
      </c>
      <c r="E97" s="195">
        <f>SUM($D$2:D97)/SUM($B$2:B97)</f>
        <v>8.9979166666666652E-2</v>
      </c>
      <c r="F97" s="165">
        <f t="shared" si="3"/>
        <v>8.6379999999999981</v>
      </c>
      <c r="G97" s="204" t="s">
        <v>886</v>
      </c>
      <c r="H97" s="185"/>
      <c r="I97" s="186"/>
      <c r="J97" s="186"/>
      <c r="K97" s="18"/>
      <c r="Q97"/>
    </row>
    <row r="98" spans="1:17">
      <c r="A98" s="631">
        <v>45924</v>
      </c>
      <c r="B98" s="167">
        <v>1</v>
      </c>
      <c r="C98" s="206"/>
      <c r="D98" s="206">
        <f t="shared" si="2"/>
        <v>-1</v>
      </c>
      <c r="E98" s="193">
        <f>SUM($D$2:D98)/SUM($B$2:B98)</f>
        <v>7.8742268041237087E-2</v>
      </c>
      <c r="F98" s="163">
        <f t="shared" si="3"/>
        <v>7.6379999999999981</v>
      </c>
      <c r="G98" s="202" t="s">
        <v>882</v>
      </c>
      <c r="H98" s="185"/>
      <c r="I98" s="186"/>
      <c r="J98" s="186"/>
      <c r="K98" s="18"/>
      <c r="Q98"/>
    </row>
    <row r="99" spans="1:17">
      <c r="A99" s="630"/>
      <c r="B99" s="169">
        <v>1</v>
      </c>
      <c r="C99" s="207">
        <v>1.833</v>
      </c>
      <c r="D99" s="207">
        <f t="shared" si="2"/>
        <v>0.83299999999999996</v>
      </c>
      <c r="E99" s="156">
        <f>SUM($D$2:D99)/SUM($B$2:B99)</f>
        <v>8.6438775510204069E-2</v>
      </c>
      <c r="F99" s="151">
        <f t="shared" si="3"/>
        <v>8.4709999999999983</v>
      </c>
      <c r="G99" s="203" t="s">
        <v>887</v>
      </c>
      <c r="H99" s="185"/>
      <c r="I99" s="186"/>
      <c r="J99" s="186"/>
      <c r="K99" s="18"/>
      <c r="Q99"/>
    </row>
    <row r="100" spans="1:17">
      <c r="A100" s="630"/>
      <c r="B100" s="169">
        <v>1</v>
      </c>
      <c r="C100" s="207">
        <v>2</v>
      </c>
      <c r="D100" s="207">
        <f t="shared" si="2"/>
        <v>1</v>
      </c>
      <c r="E100" s="156">
        <f>SUM($D$2:D100)/SUM($B$2:B100)</f>
        <v>9.566666666666665E-2</v>
      </c>
      <c r="F100" s="151">
        <f t="shared" si="3"/>
        <v>9.4709999999999983</v>
      </c>
      <c r="G100" s="203" t="s">
        <v>884</v>
      </c>
      <c r="H100" s="185"/>
      <c r="I100" s="186"/>
      <c r="J100" s="186"/>
      <c r="K100" s="18"/>
      <c r="Q100"/>
    </row>
    <row r="101" spans="1:17">
      <c r="A101" s="630"/>
      <c r="B101" s="169">
        <v>1</v>
      </c>
      <c r="C101" s="207">
        <v>2.06</v>
      </c>
      <c r="D101" s="207">
        <f t="shared" si="2"/>
        <v>1.06</v>
      </c>
      <c r="E101" s="156">
        <f>SUM($D$2:D101)/SUM($B$2:B101)</f>
        <v>0.10530999999999999</v>
      </c>
      <c r="F101" s="151">
        <f t="shared" si="3"/>
        <v>10.530999999999999</v>
      </c>
      <c r="G101" s="203" t="s">
        <v>888</v>
      </c>
      <c r="H101" s="185"/>
      <c r="I101" s="186"/>
      <c r="J101" s="186"/>
      <c r="K101" s="18"/>
      <c r="Q101"/>
    </row>
    <row r="102" spans="1:17" ht="15.75" thickBot="1">
      <c r="A102" s="632"/>
      <c r="B102" s="172">
        <v>1</v>
      </c>
      <c r="C102" s="208"/>
      <c r="D102" s="208">
        <f t="shared" si="2"/>
        <v>-1</v>
      </c>
      <c r="E102" s="195">
        <f>SUM($D$2:D102)/SUM($B$2:B102)</f>
        <v>9.4366336633663353E-2</v>
      </c>
      <c r="F102" s="165">
        <f t="shared" si="3"/>
        <v>9.5309999999999988</v>
      </c>
      <c r="G102" s="204" t="s">
        <v>879</v>
      </c>
      <c r="H102" s="185"/>
      <c r="I102" s="186"/>
      <c r="J102" s="186"/>
      <c r="K102" s="18"/>
      <c r="Q102"/>
    </row>
    <row r="103" spans="1:17">
      <c r="A103" s="631">
        <v>45925</v>
      </c>
      <c r="B103" s="167">
        <v>1</v>
      </c>
      <c r="C103" s="206">
        <v>1.88</v>
      </c>
      <c r="D103" s="206">
        <f t="shared" si="2"/>
        <v>0.87999999999999989</v>
      </c>
      <c r="E103" s="193">
        <f>SUM($D$2:D103)/SUM($B$2:B103)</f>
        <v>0.10206862745098037</v>
      </c>
      <c r="F103" s="163">
        <f t="shared" si="3"/>
        <v>10.410999999999998</v>
      </c>
      <c r="G103" s="202" t="s">
        <v>882</v>
      </c>
      <c r="H103" s="185"/>
      <c r="I103" s="186"/>
      <c r="J103" s="186"/>
      <c r="K103" s="18"/>
      <c r="Q103"/>
    </row>
    <row r="104" spans="1:17">
      <c r="A104" s="630"/>
      <c r="B104" s="169">
        <v>1</v>
      </c>
      <c r="C104" s="207">
        <v>1.8</v>
      </c>
      <c r="D104" s="207">
        <f t="shared" si="2"/>
        <v>0.8</v>
      </c>
      <c r="E104" s="156">
        <f>SUM($D$2:D104)/SUM($B$2:B104)</f>
        <v>0.10884466019417474</v>
      </c>
      <c r="F104" s="151">
        <f t="shared" si="3"/>
        <v>11.210999999999999</v>
      </c>
      <c r="G104" s="203" t="s">
        <v>881</v>
      </c>
      <c r="H104" s="185"/>
      <c r="I104" s="186"/>
      <c r="J104" s="186"/>
      <c r="K104" s="18"/>
      <c r="Q104"/>
    </row>
    <row r="105" spans="1:17">
      <c r="A105" s="630"/>
      <c r="B105" s="169">
        <v>1</v>
      </c>
      <c r="C105" s="207"/>
      <c r="D105" s="207">
        <f t="shared" si="2"/>
        <v>-1</v>
      </c>
      <c r="E105" s="156">
        <f>SUM($D$2:D105)/SUM($B$2:B105)</f>
        <v>9.818269230769229E-2</v>
      </c>
      <c r="F105" s="151">
        <f t="shared" si="3"/>
        <v>10.210999999999999</v>
      </c>
      <c r="G105" s="203" t="s">
        <v>884</v>
      </c>
      <c r="H105" s="185"/>
      <c r="I105" s="186"/>
      <c r="J105" s="186"/>
      <c r="K105" s="18"/>
      <c r="Q105"/>
    </row>
    <row r="106" spans="1:17">
      <c r="A106" s="630"/>
      <c r="B106" s="169">
        <v>1</v>
      </c>
      <c r="C106" s="207">
        <v>1.98</v>
      </c>
      <c r="D106" s="207">
        <f t="shared" si="2"/>
        <v>0.98</v>
      </c>
      <c r="E106" s="156">
        <f>SUM($D$2:D106)/SUM($B$2:B106)</f>
        <v>0.10658095238095237</v>
      </c>
      <c r="F106" s="151">
        <f t="shared" si="3"/>
        <v>11.190999999999999</v>
      </c>
      <c r="G106" s="203" t="s">
        <v>889</v>
      </c>
      <c r="H106" s="185"/>
      <c r="I106" s="186"/>
      <c r="J106" s="186"/>
      <c r="K106" s="18"/>
      <c r="Q106"/>
    </row>
    <row r="107" spans="1:17">
      <c r="A107" s="630"/>
      <c r="B107" s="169">
        <v>1</v>
      </c>
      <c r="C107" s="207"/>
      <c r="D107" s="207">
        <f t="shared" si="2"/>
        <v>-1</v>
      </c>
      <c r="E107" s="156">
        <f>SUM($D$2:D107)/SUM($B$2:B107)</f>
        <v>9.6141509433962255E-2</v>
      </c>
      <c r="F107" s="151">
        <f t="shared" si="3"/>
        <v>10.190999999999999</v>
      </c>
      <c r="G107" s="203" t="s">
        <v>890</v>
      </c>
      <c r="H107" s="185"/>
      <c r="I107" s="186"/>
      <c r="J107" s="186"/>
      <c r="K107" s="18"/>
      <c r="Q107"/>
    </row>
    <row r="108" spans="1:17" ht="15.75" thickBot="1">
      <c r="A108" s="630"/>
      <c r="B108" s="172">
        <v>1</v>
      </c>
      <c r="C108" s="208">
        <v>2.0299999999999998</v>
      </c>
      <c r="D108" s="208">
        <f t="shared" si="2"/>
        <v>1.0299999999999998</v>
      </c>
      <c r="E108" s="195">
        <f>SUM($D$2:D108)/SUM($B$2:B108)</f>
        <v>0.10486915887850466</v>
      </c>
      <c r="F108" s="165">
        <f t="shared" si="3"/>
        <v>11.220999999999998</v>
      </c>
      <c r="G108" s="204" t="s">
        <v>891</v>
      </c>
      <c r="H108" s="185"/>
      <c r="I108" s="186"/>
      <c r="J108" s="186"/>
      <c r="K108" s="18"/>
      <c r="Q108"/>
    </row>
    <row r="109" spans="1:17">
      <c r="A109" s="627">
        <v>45926</v>
      </c>
      <c r="B109" s="218">
        <v>1</v>
      </c>
      <c r="C109" s="218"/>
      <c r="D109" s="218">
        <f>(B109*C109)-B109</f>
        <v>-1</v>
      </c>
      <c r="E109" s="96">
        <f>SUM($D$2:D109)/SUM($B$2:B109)</f>
        <v>9.463888888888887E-2</v>
      </c>
      <c r="F109" s="97">
        <f>F108+D109</f>
        <v>10.220999999999998</v>
      </c>
      <c r="G109" s="219" t="s">
        <v>892</v>
      </c>
      <c r="H109" s="185"/>
      <c r="I109" s="186"/>
      <c r="J109" s="186"/>
      <c r="K109" s="18"/>
      <c r="Q109"/>
    </row>
    <row r="110" spans="1:17">
      <c r="A110" s="628"/>
      <c r="B110" s="41">
        <v>1</v>
      </c>
      <c r="C110" s="41"/>
      <c r="D110" s="41">
        <f>(B110*C110)-B110</f>
        <v>-1</v>
      </c>
      <c r="E110" s="47">
        <f>SUM($D$2:D110)/SUM($B$2:B110)</f>
        <v>8.4596330275229337E-2</v>
      </c>
      <c r="F110" s="37">
        <f>F109+D110</f>
        <v>9.2209999999999983</v>
      </c>
      <c r="G110" s="129" t="s">
        <v>893</v>
      </c>
      <c r="H110" s="185"/>
      <c r="I110" s="186"/>
      <c r="J110" s="186"/>
      <c r="K110" s="18"/>
      <c r="Q110"/>
    </row>
    <row r="111" spans="1:17">
      <c r="A111" s="628"/>
      <c r="B111" s="41">
        <v>1</v>
      </c>
      <c r="C111" s="41">
        <v>1.93</v>
      </c>
      <c r="D111" s="41">
        <f>(B111*C111)-B111</f>
        <v>0.92999999999999994</v>
      </c>
      <c r="E111" s="47">
        <f>SUM($D$2:D111)/SUM($B$2:B111)</f>
        <v>9.2281818181818159E-2</v>
      </c>
      <c r="F111" s="37">
        <f>F110+D111</f>
        <v>10.150999999999998</v>
      </c>
      <c r="G111" s="129" t="s">
        <v>894</v>
      </c>
      <c r="H111" s="185"/>
      <c r="I111" s="186"/>
      <c r="J111" s="186"/>
      <c r="K111" s="18"/>
      <c r="Q111"/>
    </row>
    <row r="112" spans="1:17">
      <c r="A112" s="628"/>
      <c r="B112" s="41">
        <v>1</v>
      </c>
      <c r="C112" s="41">
        <v>2.06</v>
      </c>
      <c r="D112" s="41">
        <f>(B112*C112)-B112</f>
        <v>1.06</v>
      </c>
      <c r="E112" s="47">
        <f>SUM($D$2:D112)/SUM($B$2:B112)</f>
        <v>0.10099999999999999</v>
      </c>
      <c r="F112" s="37">
        <f>F111+D112</f>
        <v>11.210999999999999</v>
      </c>
      <c r="G112" s="129" t="s">
        <v>895</v>
      </c>
      <c r="H112" s="185"/>
      <c r="I112" s="186"/>
      <c r="J112" s="186"/>
      <c r="K112" s="18"/>
      <c r="Q112"/>
    </row>
    <row r="113" spans="1:17">
      <c r="A113" s="628"/>
      <c r="B113" s="41">
        <v>1</v>
      </c>
      <c r="C113" s="41">
        <v>1.87</v>
      </c>
      <c r="D113" s="41">
        <f>(B113*C113)-B113</f>
        <v>0.87000000000000011</v>
      </c>
      <c r="E113" s="47">
        <f>SUM($D$2:D113)/SUM($B$2:B113)</f>
        <v>0.10786607142857142</v>
      </c>
      <c r="F113" s="37">
        <f>F112+D113</f>
        <v>12.081</v>
      </c>
      <c r="G113" s="129" t="s">
        <v>896</v>
      </c>
      <c r="H113" s="185"/>
      <c r="I113" s="186"/>
      <c r="J113" s="186"/>
      <c r="K113" s="18"/>
      <c r="Q113"/>
    </row>
    <row r="114" spans="1:17">
      <c r="A114" s="628"/>
      <c r="B114" s="41">
        <v>1</v>
      </c>
      <c r="C114" s="41">
        <v>2.0099999999999998</v>
      </c>
      <c r="D114" s="41">
        <f>(B114*C114)-B114</f>
        <v>1.0099999999999998</v>
      </c>
      <c r="E114" s="47">
        <f>SUM($D$2:D114)/SUM($B$2:B114)</f>
        <v>0.11584955752212389</v>
      </c>
      <c r="F114" s="37">
        <f>F113+D114</f>
        <v>13.090999999999999</v>
      </c>
      <c r="G114" s="129" t="s">
        <v>897</v>
      </c>
      <c r="H114" s="185"/>
      <c r="I114" s="186"/>
      <c r="J114" s="186"/>
      <c r="K114" s="18"/>
      <c r="Q114"/>
    </row>
    <row r="115" spans="1:17" ht="15.75" thickBot="1">
      <c r="A115" s="629"/>
      <c r="B115" s="220">
        <v>1</v>
      </c>
      <c r="C115" s="208">
        <v>1.97</v>
      </c>
      <c r="D115" s="208">
        <f>(B115*C115)-B115</f>
        <v>0.97</v>
      </c>
      <c r="E115" s="195">
        <f>SUM($D$2:D115)/SUM($B$2:B115)</f>
        <v>0.12334210526315789</v>
      </c>
      <c r="F115" s="151">
        <f>F114+D115</f>
        <v>14.061</v>
      </c>
      <c r="G115" s="204" t="s">
        <v>898</v>
      </c>
      <c r="H115" s="185"/>
      <c r="I115" s="186"/>
      <c r="J115" s="186"/>
      <c r="K115" s="18"/>
      <c r="Q115"/>
    </row>
    <row r="116" spans="1:17">
      <c r="A116" s="627">
        <v>45927</v>
      </c>
      <c r="B116" s="167">
        <v>1</v>
      </c>
      <c r="C116" s="206"/>
      <c r="D116" s="206">
        <f>(B116*C116)-B116</f>
        <v>-1</v>
      </c>
      <c r="E116" s="193">
        <f>SUM($D$2:D116)/SUM($B$2:B116)</f>
        <v>0.11357391304347826</v>
      </c>
      <c r="F116" s="163">
        <f>F115+D116</f>
        <v>13.061</v>
      </c>
      <c r="G116" s="168" t="s">
        <v>899</v>
      </c>
      <c r="H116" s="185"/>
      <c r="I116" s="186"/>
      <c r="J116" s="186"/>
      <c r="K116" s="18"/>
      <c r="Q116"/>
    </row>
    <row r="117" spans="1:17">
      <c r="A117" s="628"/>
      <c r="B117" s="169">
        <v>1</v>
      </c>
      <c r="C117" s="207">
        <v>1.88</v>
      </c>
      <c r="D117" s="207">
        <f>(B117*C117)-B117</f>
        <v>0.87999999999999989</v>
      </c>
      <c r="E117" s="156">
        <f>SUM($D$2:D117)/SUM($B$2:B117)</f>
        <v>0.12018103448275862</v>
      </c>
      <c r="F117" s="151">
        <f>F116+D117</f>
        <v>13.940999999999999</v>
      </c>
      <c r="G117" s="191" t="s">
        <v>900</v>
      </c>
      <c r="H117" s="185"/>
      <c r="I117" s="186"/>
      <c r="J117" s="186"/>
      <c r="K117" s="18"/>
      <c r="Q117"/>
    </row>
    <row r="118" spans="1:17">
      <c r="A118" s="628"/>
      <c r="B118" s="169">
        <v>1</v>
      </c>
      <c r="C118" s="207">
        <v>1.77</v>
      </c>
      <c r="D118" s="207">
        <f>(B118*C118)-B118</f>
        <v>0.77</v>
      </c>
      <c r="E118" s="156">
        <f>SUM($D$2:D118)/SUM($B$2:B118)</f>
        <v>0.12573504273504271</v>
      </c>
      <c r="F118" s="151">
        <f>F117+D118</f>
        <v>14.710999999999999</v>
      </c>
      <c r="G118" s="191" t="s">
        <v>893</v>
      </c>
      <c r="H118" s="185"/>
      <c r="I118" s="186"/>
      <c r="J118" s="186"/>
      <c r="K118" s="18"/>
      <c r="Q118"/>
    </row>
    <row r="119" spans="1:17">
      <c r="A119" s="628"/>
      <c r="B119" s="169">
        <v>1</v>
      </c>
      <c r="C119" s="207">
        <v>2</v>
      </c>
      <c r="D119" s="207">
        <f>(B119*C119)-B119</f>
        <v>1</v>
      </c>
      <c r="E119" s="156">
        <f>SUM($D$2:D119)/SUM($B$2:B119)</f>
        <v>0.13314406779661014</v>
      </c>
      <c r="F119" s="151">
        <f>F118+D119</f>
        <v>15.710999999999999</v>
      </c>
      <c r="G119" s="191" t="s">
        <v>897</v>
      </c>
      <c r="H119" s="185"/>
      <c r="I119" s="186"/>
      <c r="J119" s="186"/>
      <c r="K119" s="18"/>
      <c r="Q119"/>
    </row>
    <row r="120" spans="1:17">
      <c r="A120" s="628"/>
      <c r="B120" s="169">
        <v>1</v>
      </c>
      <c r="C120" s="207"/>
      <c r="D120" s="207">
        <f>(B120*C120)-B120</f>
        <v>-1</v>
      </c>
      <c r="E120" s="156">
        <f>SUM($D$2:D120)/SUM($B$2:B120)</f>
        <v>0.12362184873949579</v>
      </c>
      <c r="F120" s="151">
        <f>F119+D120</f>
        <v>14.710999999999999</v>
      </c>
      <c r="G120" s="191" t="s">
        <v>898</v>
      </c>
      <c r="H120" s="185"/>
      <c r="I120" s="186"/>
      <c r="J120" s="186"/>
      <c r="K120" s="18"/>
      <c r="Q120"/>
    </row>
    <row r="121" spans="1:17">
      <c r="A121" s="628"/>
      <c r="B121" s="169">
        <v>1</v>
      </c>
      <c r="C121" s="207">
        <v>1.83</v>
      </c>
      <c r="D121" s="207">
        <f>(B121*C121)-B121</f>
        <v>0.83000000000000007</v>
      </c>
      <c r="E121" s="156">
        <f>SUM($D$2:D121)/SUM($B$2:B121)</f>
        <v>0.12950833333333331</v>
      </c>
      <c r="F121" s="151">
        <f>F120+D121</f>
        <v>15.540999999999999</v>
      </c>
      <c r="G121" s="191" t="s">
        <v>896</v>
      </c>
      <c r="H121" s="185"/>
      <c r="I121" s="186"/>
      <c r="J121" s="186"/>
      <c r="K121" s="18"/>
      <c r="Q121"/>
    </row>
    <row r="122" spans="1:17">
      <c r="A122" s="628"/>
      <c r="B122" s="169">
        <v>1</v>
      </c>
      <c r="C122" s="207">
        <v>1.96</v>
      </c>
      <c r="D122" s="207">
        <f>(B122*C122)-B122</f>
        <v>0.96</v>
      </c>
      <c r="E122" s="156">
        <f>SUM($D$2:D122)/SUM($B$2:B122)</f>
        <v>0.13637190082644626</v>
      </c>
      <c r="F122" s="151">
        <f>F121+D122</f>
        <v>16.500999999999998</v>
      </c>
      <c r="G122" s="191" t="s">
        <v>901</v>
      </c>
      <c r="H122" s="185"/>
      <c r="I122" s="186"/>
      <c r="J122" s="186"/>
      <c r="K122" s="18"/>
      <c r="Q122"/>
    </row>
    <row r="123" spans="1:17" ht="15.75" thickBot="1">
      <c r="A123" s="629"/>
      <c r="B123" s="172">
        <v>1</v>
      </c>
      <c r="C123" s="208">
        <v>2.06</v>
      </c>
      <c r="D123" s="208">
        <f>(B123*C123)-B123</f>
        <v>1.06</v>
      </c>
      <c r="E123" s="195">
        <f>SUM($D$2:D123)/SUM($B$2:B123)</f>
        <v>0.14394262295081964</v>
      </c>
      <c r="F123" s="165">
        <f>F122+D123</f>
        <v>17.560999999999996</v>
      </c>
      <c r="G123" s="196" t="s">
        <v>902</v>
      </c>
      <c r="H123" s="185"/>
      <c r="I123" s="186"/>
      <c r="J123" s="186"/>
      <c r="K123" s="18"/>
      <c r="Q123"/>
    </row>
    <row r="124" spans="1:17">
      <c r="A124" s="633">
        <v>45928</v>
      </c>
      <c r="B124" s="181">
        <v>1</v>
      </c>
      <c r="C124" s="209">
        <v>1.87</v>
      </c>
      <c r="D124" s="209">
        <f>(B124*C124)-B124</f>
        <v>0.87000000000000011</v>
      </c>
      <c r="E124" s="197">
        <f>SUM($D$2:D124)/SUM($B$2:B124)</f>
        <v>0.14984552845528454</v>
      </c>
      <c r="F124" s="164">
        <f>F123+D124</f>
        <v>18.430999999999997</v>
      </c>
      <c r="G124" s="216" t="s">
        <v>900</v>
      </c>
      <c r="H124" s="185"/>
      <c r="I124" s="186"/>
      <c r="J124" s="186"/>
      <c r="K124" s="18"/>
      <c r="Q124"/>
    </row>
    <row r="125" spans="1:17">
      <c r="A125" s="634"/>
      <c r="B125" s="169">
        <v>1</v>
      </c>
      <c r="C125" s="207"/>
      <c r="D125" s="207">
        <f>(B125*C125)-B125</f>
        <v>-1</v>
      </c>
      <c r="E125" s="156">
        <f>SUM($D$2:D125)/SUM($B$2:B125)</f>
        <v>0.14057258064516126</v>
      </c>
      <c r="F125" s="151">
        <f>F124+D125</f>
        <v>17.430999999999997</v>
      </c>
      <c r="G125" s="191" t="s">
        <v>904</v>
      </c>
      <c r="H125" s="185"/>
      <c r="I125" s="186"/>
      <c r="J125" s="186"/>
      <c r="K125" s="18"/>
      <c r="Q125"/>
    </row>
    <row r="126" spans="1:17">
      <c r="A126" s="634"/>
      <c r="B126" s="169">
        <v>1</v>
      </c>
      <c r="C126" s="207">
        <v>1.81</v>
      </c>
      <c r="D126" s="207">
        <f>(B126*C126)-B126</f>
        <v>0.81</v>
      </c>
      <c r="E126" s="156">
        <f>SUM($D$2:D126)/SUM($B$2:B126)</f>
        <v>0.14592799999999997</v>
      </c>
      <c r="F126" s="151">
        <f>F125+D126</f>
        <v>18.240999999999996</v>
      </c>
      <c r="G126" s="191" t="s">
        <v>905</v>
      </c>
      <c r="H126" s="185"/>
      <c r="I126" s="186"/>
      <c r="J126" s="186"/>
      <c r="K126" s="18"/>
      <c r="Q126"/>
    </row>
    <row r="127" spans="1:17">
      <c r="A127" s="634"/>
      <c r="B127" s="169">
        <v>1</v>
      </c>
      <c r="C127" s="207">
        <v>1.87</v>
      </c>
      <c r="D127" s="207">
        <f>(B127*C127)-B127</f>
        <v>0.87000000000000011</v>
      </c>
      <c r="E127" s="156">
        <f>SUM($D$2:D127)/SUM($B$2:B127)</f>
        <v>0.15167460317460316</v>
      </c>
      <c r="F127" s="151">
        <f>F126+D127</f>
        <v>19.110999999999997</v>
      </c>
      <c r="G127" s="191" t="s">
        <v>892</v>
      </c>
      <c r="H127" s="185"/>
      <c r="I127" s="186"/>
      <c r="J127" s="186"/>
      <c r="K127" s="18"/>
      <c r="Q127"/>
    </row>
    <row r="128" spans="1:17">
      <c r="A128" s="634"/>
      <c r="B128" s="169">
        <v>1</v>
      </c>
      <c r="C128" s="207">
        <v>1.98</v>
      </c>
      <c r="D128" s="207">
        <f>(B128*C128)-B128</f>
        <v>0.98</v>
      </c>
      <c r="E128" s="156">
        <f>SUM($D$2:D128)/SUM($B$2:B128)</f>
        <v>0.15819685039370077</v>
      </c>
      <c r="F128" s="151">
        <f>F127+D128</f>
        <v>20.090999999999998</v>
      </c>
      <c r="G128" s="191" t="s">
        <v>897</v>
      </c>
      <c r="H128" s="185"/>
      <c r="I128" s="186"/>
      <c r="J128" s="186"/>
      <c r="K128" s="18"/>
      <c r="Q128"/>
    </row>
    <row r="129" spans="1:17">
      <c r="A129" s="634"/>
      <c r="B129" s="169">
        <v>1</v>
      </c>
      <c r="C129" s="207">
        <v>2.02</v>
      </c>
      <c r="D129" s="207">
        <f>(B129*C129)-B129</f>
        <v>1.02</v>
      </c>
      <c r="E129" s="156">
        <f>SUM($D$2:D129)/SUM($B$2:B129)</f>
        <v>0.16492968749999998</v>
      </c>
      <c r="F129" s="151">
        <f>F128+D129</f>
        <v>21.110999999999997</v>
      </c>
      <c r="G129" s="191" t="s">
        <v>902</v>
      </c>
      <c r="H129" s="185"/>
      <c r="I129" s="186"/>
      <c r="J129" s="186"/>
      <c r="K129" s="18"/>
      <c r="Q129"/>
    </row>
    <row r="130" spans="1:17" ht="15.75" thickBot="1">
      <c r="A130" s="635"/>
      <c r="B130" s="172">
        <v>1</v>
      </c>
      <c r="C130" s="208">
        <v>2</v>
      </c>
      <c r="D130" s="208">
        <f>(B130*C130)-B130</f>
        <v>1</v>
      </c>
      <c r="E130" s="195">
        <f>SUM($D$2:D130)/SUM($B$2:B130)</f>
        <v>0.17140310077519377</v>
      </c>
      <c r="F130" s="214">
        <f>F129+D130</f>
        <v>22.110999999999997</v>
      </c>
      <c r="G130" s="196" t="s">
        <v>898</v>
      </c>
      <c r="H130" s="185"/>
      <c r="I130" s="186"/>
      <c r="J130" s="186"/>
      <c r="K130" s="18"/>
      <c r="Q130"/>
    </row>
    <row r="131" spans="1:17">
      <c r="A131" s="627">
        <v>45930</v>
      </c>
      <c r="B131" s="103">
        <v>1</v>
      </c>
      <c r="C131" s="41"/>
      <c r="D131" s="41">
        <f>(B131*C131)-B131</f>
        <v>-1</v>
      </c>
      <c r="E131" s="47">
        <f>SUM($D$2:D131)/SUM($B$2:B131)</f>
        <v>0.16239230769230767</v>
      </c>
      <c r="F131" s="37">
        <f>F130+D131</f>
        <v>21.110999999999997</v>
      </c>
      <c r="G131" s="129" t="s">
        <v>906</v>
      </c>
      <c r="H131" s="2"/>
      <c r="K131" s="18"/>
      <c r="Q131"/>
    </row>
    <row r="132" spans="1:17" ht="15.75" thickBot="1">
      <c r="A132" s="629"/>
      <c r="B132" s="105">
        <v>1</v>
      </c>
      <c r="C132" s="220"/>
      <c r="D132" s="220">
        <f>(B132*C132)-B132</f>
        <v>-1</v>
      </c>
      <c r="E132" s="59">
        <f>SUM($D$2:D132)/SUM($B$2:B132)</f>
        <v>0.15351908396946562</v>
      </c>
      <c r="F132" s="38">
        <f>F131+D132</f>
        <v>20.110999999999997</v>
      </c>
      <c r="G132" s="141" t="s">
        <v>907</v>
      </c>
      <c r="H132" s="2"/>
      <c r="K132" s="18"/>
      <c r="Q132"/>
    </row>
    <row r="133" spans="1:17">
      <c r="A133" s="627">
        <v>45931</v>
      </c>
      <c r="B133" s="41">
        <v>1</v>
      </c>
      <c r="C133" s="41">
        <v>2.0699999999999998</v>
      </c>
      <c r="D133" s="41">
        <f>(B133*C133)-B133</f>
        <v>1.0699999999999998</v>
      </c>
      <c r="E133" s="47">
        <f>SUM($D$2:D133)/SUM($B$2:B133)</f>
        <v>0.16046212121212119</v>
      </c>
      <c r="F133" s="37">
        <f>F132+D133</f>
        <v>21.180999999999997</v>
      </c>
      <c r="G133" s="129" t="s">
        <v>906</v>
      </c>
      <c r="H133" s="2"/>
      <c r="K133" s="18"/>
      <c r="Q133"/>
    </row>
    <row r="134" spans="1:17" ht="15.75" thickBot="1">
      <c r="A134" s="629"/>
      <c r="B134" s="220">
        <v>1</v>
      </c>
      <c r="C134" s="220">
        <v>2.2200000000000002</v>
      </c>
      <c r="D134" s="220">
        <f>(B134*C134)-B134</f>
        <v>1.2200000000000002</v>
      </c>
      <c r="E134" s="59">
        <f>SUM($D$2:D134)/SUM($B$2:B134)</f>
        <v>0.1684285714285714</v>
      </c>
      <c r="F134" s="38">
        <f>F133+D134</f>
        <v>22.400999999999996</v>
      </c>
      <c r="G134" s="141" t="s">
        <v>907</v>
      </c>
      <c r="H134" s="2"/>
      <c r="K134" s="18"/>
      <c r="Q134"/>
    </row>
    <row r="135" spans="1:17">
      <c r="A135" s="627">
        <v>45932</v>
      </c>
      <c r="B135" s="41">
        <v>1</v>
      </c>
      <c r="C135" s="41"/>
      <c r="D135" s="41">
        <f>(B135*C135)-B135</f>
        <v>-1</v>
      </c>
      <c r="E135" s="47">
        <f>SUM($D$2:D135)/SUM($B$2:B135)</f>
        <v>0.15970895522388057</v>
      </c>
      <c r="F135" s="37">
        <f>F134+D135</f>
        <v>21.400999999999996</v>
      </c>
      <c r="G135" s="129" t="s">
        <v>906</v>
      </c>
      <c r="H135" s="2"/>
      <c r="K135" s="18"/>
      <c r="Q135"/>
    </row>
    <row r="136" spans="1:17">
      <c r="A136" s="629"/>
      <c r="B136" s="220">
        <v>1</v>
      </c>
      <c r="C136" s="220"/>
      <c r="D136" s="220">
        <f>(B136*C136)-B136</f>
        <v>-1</v>
      </c>
      <c r="E136" s="59">
        <f>SUM($D$2:D136)/SUM($B$2:B136)</f>
        <v>0.15111851851851849</v>
      </c>
      <c r="F136" s="38">
        <f>F135+D136</f>
        <v>20.400999999999996</v>
      </c>
      <c r="G136" s="141" t="s">
        <v>907</v>
      </c>
      <c r="H136" s="2"/>
      <c r="K136" s="18"/>
      <c r="Q136"/>
    </row>
    <row r="137" spans="1:17" s="186" customFormat="1">
      <c r="A137" s="574">
        <v>45934</v>
      </c>
      <c r="B137" s="225">
        <v>1</v>
      </c>
      <c r="C137" s="226">
        <v>1.97</v>
      </c>
      <c r="D137" s="226">
        <f>(B137*C137)-B137</f>
        <v>0.97</v>
      </c>
      <c r="E137" s="227">
        <f>SUM($D$2:D137)/SUM($B$2:B137)</f>
        <v>0.1571397058823529</v>
      </c>
      <c r="F137" s="228">
        <f>F136+D137</f>
        <v>21.370999999999995</v>
      </c>
      <c r="G137" s="278" t="s">
        <v>908</v>
      </c>
      <c r="H137" s="185"/>
      <c r="K137" s="238"/>
    </row>
    <row r="138" spans="1:17" s="186" customFormat="1">
      <c r="A138" s="574">
        <v>45936</v>
      </c>
      <c r="B138" s="225">
        <v>1</v>
      </c>
      <c r="C138" s="226"/>
      <c r="D138" s="226">
        <f>(B138*C138)-B138</f>
        <v>-1</v>
      </c>
      <c r="E138" s="227">
        <f>SUM($D$2:D138)/SUM($B$2:B138)</f>
        <v>0.14869343065693427</v>
      </c>
      <c r="F138" s="228">
        <f t="shared" ref="F138:F144" si="4">F137+D138</f>
        <v>20.370999999999995</v>
      </c>
      <c r="G138" s="229" t="s">
        <v>909</v>
      </c>
      <c r="H138" s="185"/>
      <c r="K138" s="238"/>
    </row>
    <row r="139" spans="1:17" s="186" customFormat="1">
      <c r="A139" s="574">
        <v>45937</v>
      </c>
      <c r="B139" s="225">
        <v>1</v>
      </c>
      <c r="C139" s="226"/>
      <c r="D139" s="226">
        <f>(B139*C139)-B139</f>
        <v>-1</v>
      </c>
      <c r="E139" s="227">
        <f>SUM($D$2:D139)/SUM($B$2:B139)</f>
        <v>0.14036956521739127</v>
      </c>
      <c r="F139" s="228">
        <f t="shared" si="4"/>
        <v>19.370999999999995</v>
      </c>
      <c r="G139" s="229" t="s">
        <v>910</v>
      </c>
      <c r="H139" s="185"/>
      <c r="K139" s="238"/>
    </row>
    <row r="140" spans="1:17" s="186" customFormat="1">
      <c r="A140" s="627">
        <v>45938</v>
      </c>
      <c r="B140" s="167">
        <v>1</v>
      </c>
      <c r="C140" s="206"/>
      <c r="D140" s="206">
        <f>(B140*C140)-B140</f>
        <v>-1</v>
      </c>
      <c r="E140" s="193">
        <f>SUM($D$2:D140)/SUM($B$2:B140)</f>
        <v>0.13216546762589926</v>
      </c>
      <c r="F140" s="163">
        <f t="shared" si="4"/>
        <v>18.370999999999995</v>
      </c>
      <c r="G140" s="171" t="s">
        <v>856</v>
      </c>
      <c r="H140" s="185"/>
      <c r="K140" s="238"/>
    </row>
    <row r="141" spans="1:17" s="186" customFormat="1">
      <c r="A141" s="628"/>
      <c r="B141" s="169">
        <v>1</v>
      </c>
      <c r="C141" s="207">
        <v>1.92</v>
      </c>
      <c r="D141" s="207">
        <f>(B141*C141)-B141</f>
        <v>0.91999999999999993</v>
      </c>
      <c r="E141" s="156">
        <f>SUM($D$2:D141)/SUM($B$2:B141)</f>
        <v>0.13779285714285713</v>
      </c>
      <c r="F141" s="151">
        <f t="shared" si="4"/>
        <v>19.290999999999997</v>
      </c>
      <c r="G141" s="157" t="s">
        <v>819</v>
      </c>
      <c r="H141" s="185"/>
      <c r="K141" s="238"/>
    </row>
    <row r="142" spans="1:17" s="186" customFormat="1">
      <c r="A142" s="629"/>
      <c r="B142" s="172">
        <v>1</v>
      </c>
      <c r="C142" s="208"/>
      <c r="D142" s="208">
        <f>(B142*C142)-B142</f>
        <v>-1</v>
      </c>
      <c r="E142" s="195">
        <f>SUM($D$2:D142)/SUM($B$2:B142)</f>
        <v>0.12972340425531911</v>
      </c>
      <c r="F142" s="165">
        <f t="shared" si="4"/>
        <v>18.290999999999997</v>
      </c>
      <c r="G142" s="196" t="s">
        <v>910</v>
      </c>
      <c r="H142" s="185"/>
      <c r="K142" s="238"/>
    </row>
    <row r="143" spans="1:17" s="186" customFormat="1">
      <c r="A143" s="574">
        <v>45942</v>
      </c>
      <c r="B143" s="225">
        <v>1</v>
      </c>
      <c r="C143" s="228">
        <v>1.97</v>
      </c>
      <c r="D143" s="228">
        <f t="shared" ref="D143" si="5">(B143*C143)-B143</f>
        <v>0.97</v>
      </c>
      <c r="E143" s="227">
        <f>SUM($D$2:D143)/SUM($B$2:B143)</f>
        <v>0.13564084507042251</v>
      </c>
      <c r="F143" s="228">
        <f t="shared" si="4"/>
        <v>19.260999999999996</v>
      </c>
      <c r="G143" s="229" t="s">
        <v>911</v>
      </c>
      <c r="H143" s="185"/>
      <c r="K143" s="238"/>
    </row>
    <row r="144" spans="1:17" s="186" customFormat="1">
      <c r="A144" s="574">
        <v>45946</v>
      </c>
      <c r="B144" s="255">
        <v>1</v>
      </c>
      <c r="C144" s="255"/>
      <c r="D144" s="255">
        <f>(B144*C144)-B144</f>
        <v>-1</v>
      </c>
      <c r="E144" s="256">
        <f>SUM($D$2:D144)/SUM($B$2:B144)</f>
        <v>0.12769930069930066</v>
      </c>
      <c r="F144" s="257">
        <f t="shared" si="4"/>
        <v>18.260999999999996</v>
      </c>
      <c r="G144" s="283" t="s">
        <v>912</v>
      </c>
      <c r="H144" s="185"/>
      <c r="K144" s="238"/>
    </row>
    <row r="145" spans="1:18">
      <c r="A145" s="569"/>
      <c r="B145" s="208"/>
      <c r="C145" s="208"/>
      <c r="D145" s="208"/>
      <c r="E145" s="195"/>
      <c r="F145" s="165"/>
      <c r="G145" s="205"/>
      <c r="H145" s="185"/>
      <c r="I145" s="186"/>
      <c r="J145" s="186"/>
      <c r="K145" s="18"/>
      <c r="Q145"/>
    </row>
    <row r="146" spans="1:18" ht="15.75" thickBot="1">
      <c r="B146" s="130">
        <f>SUM(B2:B145)</f>
        <v>143</v>
      </c>
      <c r="D146" s="13">
        <f>SUM(D2:D145)</f>
        <v>18.260999999999996</v>
      </c>
      <c r="E146" s="14"/>
      <c r="F146" s="43">
        <f>D146-MAX(F2:F145)</f>
        <v>-4.1400000000000006</v>
      </c>
      <c r="H146" s="11">
        <f>D146-SUM(H2:H145)</f>
        <v>18.260999999999996</v>
      </c>
      <c r="I146" s="11">
        <f>D146-SUM(I2:I145)</f>
        <v>18.260999999999996</v>
      </c>
      <c r="J146" s="12">
        <f>D146-SUM(J2:J145)</f>
        <v>18.260999999999996</v>
      </c>
      <c r="O146" s="58"/>
      <c r="R146" s="18"/>
    </row>
    <row r="147" spans="1:18">
      <c r="D147" s="2"/>
      <c r="E147" s="2"/>
      <c r="O147" s="58"/>
      <c r="P147" s="58"/>
    </row>
    <row r="148" spans="1:18" ht="15.75" customHeight="1">
      <c r="A148" t="s">
        <v>367</v>
      </c>
      <c r="C148" s="644" t="s">
        <v>368</v>
      </c>
      <c r="D148" s="645"/>
      <c r="E148" s="646"/>
      <c r="H148" s="581">
        <f>100</f>
        <v>100</v>
      </c>
      <c r="I148" s="647"/>
      <c r="J148" s="16" t="s">
        <v>913</v>
      </c>
      <c r="K148" s="581">
        <v>80.89</v>
      </c>
      <c r="L148" s="647"/>
      <c r="M148" s="16" t="s">
        <v>913</v>
      </c>
      <c r="N148" s="19"/>
      <c r="O148" s="138"/>
      <c r="P148" s="58"/>
    </row>
    <row r="149" spans="1:18" ht="15" customHeight="1">
      <c r="A149">
        <f>COUNT(B2:B145)</f>
        <v>143</v>
      </c>
      <c r="B149" s="1"/>
      <c r="C149" s="158">
        <f>I149</f>
        <v>5</v>
      </c>
      <c r="D149" s="625">
        <v>1.32</v>
      </c>
      <c r="E149" s="159">
        <f>C149*D149-C149</f>
        <v>1.6000000000000005</v>
      </c>
      <c r="F149" s="15"/>
      <c r="G149" s="148" t="s">
        <v>370</v>
      </c>
      <c r="H149" s="75">
        <f>H152/100</f>
        <v>1</v>
      </c>
      <c r="I149" s="150">
        <f>H149*5</f>
        <v>5</v>
      </c>
      <c r="J149" s="3" t="s">
        <v>371</v>
      </c>
      <c r="K149" s="75">
        <f>K152/100</f>
        <v>0.99151</v>
      </c>
      <c r="L149" s="150">
        <f>K149*5</f>
        <v>4.9575500000000003</v>
      </c>
      <c r="M149" s="3" t="s">
        <v>371</v>
      </c>
    </row>
    <row r="150" spans="1:18" ht="15" customHeight="1">
      <c r="A150" t="s">
        <v>372</v>
      </c>
      <c r="B150" s="99"/>
      <c r="C150" s="135">
        <f>E150/(D149-1)</f>
        <v>9.3749999999999982</v>
      </c>
      <c r="D150" s="626"/>
      <c r="E150" s="136">
        <v>3</v>
      </c>
      <c r="F150" s="15"/>
      <c r="G150" s="148" t="s">
        <v>373</v>
      </c>
      <c r="H150" s="127">
        <f>SUM(H2:H145)</f>
        <v>0</v>
      </c>
      <c r="I150" s="149"/>
      <c r="J150" s="3" t="s">
        <v>374</v>
      </c>
      <c r="K150" s="127">
        <f>D146</f>
        <v>18.260999999999996</v>
      </c>
      <c r="L150" s="149"/>
      <c r="M150" s="3" t="s">
        <v>374</v>
      </c>
    </row>
    <row r="151" spans="1:18">
      <c r="A151" s="18">
        <f>COUNT(C2:C145)/A149</f>
        <v>0.58741258741258739</v>
      </c>
      <c r="B151" s="18"/>
      <c r="D151" s="15">
        <f>1/A151</f>
        <v>1.7023809523809523</v>
      </c>
      <c r="E151" s="15"/>
      <c r="F151" s="15"/>
      <c r="G151" s="148" t="s">
        <v>375</v>
      </c>
      <c r="H151" s="637">
        <f>(H150-I150)</f>
        <v>0</v>
      </c>
      <c r="I151" s="638"/>
      <c r="J151" s="128"/>
      <c r="K151" s="637">
        <f>(K150-L150)</f>
        <v>18.260999999999996</v>
      </c>
      <c r="L151" s="638"/>
      <c r="M151" s="128"/>
    </row>
    <row r="152" spans="1:18">
      <c r="A152" t="s">
        <v>4</v>
      </c>
      <c r="G152" s="148" t="s">
        <v>376</v>
      </c>
      <c r="H152" s="639">
        <f>H148+H151</f>
        <v>100</v>
      </c>
      <c r="I152" s="640"/>
      <c r="J152" s="128">
        <f>130-H152</f>
        <v>30</v>
      </c>
      <c r="K152" s="639">
        <f>K148+K151</f>
        <v>99.150999999999996</v>
      </c>
      <c r="L152" s="640"/>
      <c r="M152" s="128"/>
      <c r="O152" s="239">
        <v>74.147999999999996</v>
      </c>
      <c r="P152" s="18"/>
    </row>
    <row r="153" spans="1:18">
      <c r="A153" s="18">
        <f>D146/B146</f>
        <v>0.12769930069930066</v>
      </c>
      <c r="F153" s="160"/>
      <c r="G153" s="148" t="s">
        <v>377</v>
      </c>
      <c r="H153" s="45">
        <f>(H152-H148)/H148</f>
        <v>0</v>
      </c>
      <c r="I153" s="46">
        <f>B146/H148</f>
        <v>1.43</v>
      </c>
      <c r="J153" t="s">
        <v>378</v>
      </c>
      <c r="K153" s="45">
        <f>(K152-K148)/K148</f>
        <v>0.22575101990357269</v>
      </c>
      <c r="L153" s="46">
        <f>B146/K148</f>
        <v>1.767832859438744</v>
      </c>
      <c r="M153" t="s">
        <v>378</v>
      </c>
    </row>
    <row r="154" spans="1:18">
      <c r="A154" s="18"/>
      <c r="G154" s="148"/>
      <c r="H154" s="18"/>
      <c r="I154" s="2"/>
      <c r="K154" s="3"/>
      <c r="L154" s="3"/>
      <c r="N154" s="19"/>
      <c r="O154" s="58"/>
      <c r="P154" s="58"/>
    </row>
    <row r="155" spans="1:18">
      <c r="K155" s="3"/>
      <c r="L155" s="3"/>
      <c r="N155" s="19"/>
      <c r="O155" s="58"/>
      <c r="P155" s="58"/>
    </row>
    <row r="156" spans="1:18">
      <c r="N156" s="19"/>
      <c r="O156" s="58"/>
      <c r="P156" s="58"/>
    </row>
    <row r="157" spans="1:18">
      <c r="H157" s="20"/>
      <c r="K157" s="3"/>
      <c r="L157" s="3"/>
      <c r="N157" s="19"/>
      <c r="O157" s="58"/>
      <c r="P157" s="58"/>
    </row>
    <row r="158" spans="1:18">
      <c r="K158" s="2"/>
      <c r="L158" s="2"/>
      <c r="N158" s="19"/>
      <c r="O158" s="58"/>
      <c r="P158" s="58"/>
    </row>
    <row r="159" spans="1:18">
      <c r="K159" s="18"/>
      <c r="L159" s="18"/>
      <c r="N159" s="19"/>
      <c r="O159" s="58"/>
      <c r="P159" s="58"/>
    </row>
    <row r="160" spans="1:18">
      <c r="N160" s="19"/>
      <c r="O160" s="58"/>
      <c r="P160" s="58"/>
    </row>
    <row r="161" spans="1:37">
      <c r="P161" s="58"/>
    </row>
    <row r="162" spans="1:37">
      <c r="P162" s="58"/>
    </row>
    <row r="163" spans="1:37">
      <c r="P163" s="58"/>
    </row>
    <row r="164" spans="1:37">
      <c r="P164" s="58"/>
    </row>
    <row r="170" spans="1:37">
      <c r="D170" s="114" t="s">
        <v>3</v>
      </c>
    </row>
    <row r="171" spans="1:37">
      <c r="A171" s="572" t="s">
        <v>381</v>
      </c>
      <c r="B171" s="132" t="s">
        <v>1</v>
      </c>
      <c r="C171" s="573"/>
      <c r="E171" s="134" t="s">
        <v>4</v>
      </c>
    </row>
    <row r="173" spans="1:37">
      <c r="D173" s="7" t="s">
        <v>3</v>
      </c>
    </row>
    <row r="174" spans="1:37">
      <c r="B174" s="21" t="s">
        <v>916</v>
      </c>
      <c r="C174" s="8"/>
      <c r="D174" s="24" t="e">
        <f>SUM(#REF!)</f>
        <v>#REF!</v>
      </c>
      <c r="E174" s="22" t="s">
        <v>4</v>
      </c>
    </row>
    <row r="175" spans="1:37">
      <c r="B175" s="24" t="e">
        <f>SUM(#REF!)</f>
        <v>#REF!</v>
      </c>
      <c r="C175" s="24"/>
      <c r="D175" s="23" t="e">
        <f>SUM(#REF!)</f>
        <v>#REF!</v>
      </c>
      <c r="E175" s="9" t="e">
        <f t="shared" ref="E175:E188" si="6">D174/B175</f>
        <v>#REF!</v>
      </c>
      <c r="G175" s="223"/>
      <c r="AK175">
        <v>47</v>
      </c>
    </row>
    <row r="176" spans="1:37">
      <c r="B176" s="23" t="e">
        <f>SUM(#REF!)</f>
        <v>#REF!</v>
      </c>
      <c r="C176" s="23"/>
      <c r="D176" s="23" t="e">
        <f>SUM(#REF!)</f>
        <v>#REF!</v>
      </c>
      <c r="E176" s="10" t="e">
        <f t="shared" si="6"/>
        <v>#REF!</v>
      </c>
      <c r="G176" s="223"/>
    </row>
    <row r="177" spans="2:16">
      <c r="B177" s="23" t="e">
        <f>SUM(#REF!)</f>
        <v>#REF!</v>
      </c>
      <c r="C177" s="23"/>
      <c r="D177" s="23" t="e">
        <f>SUM(#REF!)</f>
        <v>#REF!</v>
      </c>
      <c r="E177" s="10" t="e">
        <f t="shared" si="6"/>
        <v>#REF!</v>
      </c>
      <c r="G177" s="223"/>
    </row>
    <row r="178" spans="2:16">
      <c r="B178" s="23" t="e">
        <f>SUM(#REF!)</f>
        <v>#REF!</v>
      </c>
      <c r="C178" s="23"/>
      <c r="D178" s="23" t="e">
        <f>SUM(#REF!)</f>
        <v>#REF!</v>
      </c>
      <c r="E178" s="10" t="e">
        <f t="shared" si="6"/>
        <v>#REF!</v>
      </c>
      <c r="G178" s="223"/>
    </row>
    <row r="179" spans="2:16">
      <c r="B179" s="23" t="e">
        <f>SUM(#REF!)</f>
        <v>#REF!</v>
      </c>
      <c r="C179" s="23"/>
      <c r="D179" s="23" t="e">
        <f>SUM(#REF!)</f>
        <v>#REF!</v>
      </c>
      <c r="E179" s="10" t="e">
        <f t="shared" si="6"/>
        <v>#REF!</v>
      </c>
      <c r="G179" s="223"/>
    </row>
    <row r="180" spans="2:16">
      <c r="B180" s="23" t="e">
        <f>SUM(#REF!)</f>
        <v>#REF!</v>
      </c>
      <c r="C180" s="23"/>
      <c r="D180" s="23" t="e">
        <f>SUM(#REF!)</f>
        <v>#REF!</v>
      </c>
      <c r="E180" s="10" t="e">
        <f t="shared" si="6"/>
        <v>#REF!</v>
      </c>
      <c r="G180" s="223"/>
    </row>
    <row r="181" spans="2:16">
      <c r="B181" s="23" t="e">
        <f>SUM(#REF!)</f>
        <v>#REF!</v>
      </c>
      <c r="C181" s="23"/>
      <c r="D181" s="23" t="e">
        <f>SUM(#REF!)</f>
        <v>#REF!</v>
      </c>
      <c r="E181" s="10" t="e">
        <f t="shared" si="6"/>
        <v>#REF!</v>
      </c>
      <c r="G181" s="223"/>
    </row>
    <row r="182" spans="2:16">
      <c r="B182" s="23" t="e">
        <f>SUM(#REF!)</f>
        <v>#REF!</v>
      </c>
      <c r="C182" s="23"/>
      <c r="D182" s="23" t="e">
        <f>SUM(#REF!)</f>
        <v>#REF!</v>
      </c>
      <c r="E182" s="10" t="e">
        <f t="shared" si="6"/>
        <v>#REF!</v>
      </c>
      <c r="G182" s="223"/>
    </row>
    <row r="183" spans="2:16">
      <c r="B183" s="23" t="e">
        <f>SUM(#REF!)</f>
        <v>#REF!</v>
      </c>
      <c r="C183" s="23"/>
      <c r="D183" s="23" t="e">
        <f>SUM(#REF!)</f>
        <v>#REF!</v>
      </c>
      <c r="E183" s="10" t="e">
        <f t="shared" si="6"/>
        <v>#REF!</v>
      </c>
      <c r="G183" s="223"/>
    </row>
    <row r="184" spans="2:16">
      <c r="B184" s="23" t="e">
        <f>SUM(#REF!)</f>
        <v>#REF!</v>
      </c>
      <c r="C184" s="23"/>
      <c r="D184" s="23" t="e">
        <f>SUM(#REF!)</f>
        <v>#REF!</v>
      </c>
      <c r="E184" s="10" t="e">
        <f t="shared" si="6"/>
        <v>#REF!</v>
      </c>
      <c r="G184" s="223"/>
    </row>
    <row r="185" spans="2:16">
      <c r="B185" s="23" t="e">
        <f>SUM(#REF!)</f>
        <v>#REF!</v>
      </c>
      <c r="C185" s="23"/>
      <c r="D185" s="23" t="e">
        <f>SUM(#REF!)</f>
        <v>#REF!</v>
      </c>
      <c r="E185" s="10" t="e">
        <f t="shared" si="6"/>
        <v>#REF!</v>
      </c>
      <c r="G185" s="223"/>
    </row>
    <row r="186" spans="2:16">
      <c r="B186" s="23" t="e">
        <f>SUM(#REF!)</f>
        <v>#REF!</v>
      </c>
      <c r="C186" s="23"/>
      <c r="D186" s="23" t="e">
        <f>SUM(#REF!)</f>
        <v>#REF!</v>
      </c>
      <c r="E186" s="10" t="e">
        <f t="shared" si="6"/>
        <v>#REF!</v>
      </c>
      <c r="G186" s="223"/>
    </row>
    <row r="187" spans="2:16">
      <c r="B187" s="23" t="e">
        <f>SUM(#REF!)</f>
        <v>#REF!</v>
      </c>
      <c r="C187" s="23"/>
      <c r="D187" s="23" t="e">
        <f>SUM(#REF!)</f>
        <v>#REF!</v>
      </c>
      <c r="E187" s="10" t="e">
        <f t="shared" si="6"/>
        <v>#REF!</v>
      </c>
      <c r="G187" s="223"/>
      <c r="N187" s="19"/>
      <c r="O187" s="58"/>
    </row>
    <row r="188" spans="2:16">
      <c r="B188" s="23" t="e">
        <f>SUM(#REF!)</f>
        <v>#REF!</v>
      </c>
      <c r="C188" s="23"/>
      <c r="D188" s="23" t="e">
        <f>SUM(#REF!)</f>
        <v>#REF!</v>
      </c>
      <c r="E188" s="10" t="e">
        <f t="shared" si="6"/>
        <v>#REF!</v>
      </c>
      <c r="G188" s="223"/>
    </row>
    <row r="189" spans="2:16">
      <c r="C189" s="57"/>
    </row>
    <row r="190" spans="2:16">
      <c r="C190" s="57"/>
    </row>
    <row r="191" spans="2:16">
      <c r="C191" s="57"/>
      <c r="P191" s="58"/>
    </row>
    <row r="192" spans="2:16">
      <c r="C192" s="57"/>
    </row>
    <row r="193" spans="1:7">
      <c r="C193" s="57"/>
    </row>
    <row r="194" spans="1:7">
      <c r="C194" s="57"/>
    </row>
    <row r="195" spans="1:7">
      <c r="C195" s="57"/>
    </row>
    <row r="196" spans="1:7">
      <c r="C196" s="57"/>
    </row>
    <row r="197" spans="1:7">
      <c r="A197" s="139" t="s">
        <v>383</v>
      </c>
      <c r="B197" s="140">
        <f>SUM(B2:B16)</f>
        <v>15</v>
      </c>
      <c r="C197" s="140"/>
      <c r="D197" s="140">
        <f>SUM(D2:D16)</f>
        <v>-3.4500000000000006</v>
      </c>
      <c r="E197" s="144">
        <f t="shared" ref="E197:E198" si="7">D197/B197</f>
        <v>-0.23000000000000004</v>
      </c>
      <c r="F197" s="18"/>
      <c r="G197" s="224" t="s">
        <v>382</v>
      </c>
    </row>
    <row r="198" spans="1:7">
      <c r="A198" s="139" t="s">
        <v>384</v>
      </c>
      <c r="B198" s="140">
        <f>SUM(B17:B46)</f>
        <v>30</v>
      </c>
      <c r="C198" s="140"/>
      <c r="D198" s="140">
        <f>SUM(D17:D46)</f>
        <v>2.145999999999999</v>
      </c>
      <c r="E198" s="144">
        <f t="shared" si="7"/>
        <v>7.1533333333333296E-2</v>
      </c>
      <c r="G198" s="223"/>
    </row>
    <row r="199" spans="1:7">
      <c r="A199" s="139" t="s">
        <v>385</v>
      </c>
      <c r="B199" s="140">
        <f>SUM(B47:B90)</f>
        <v>44</v>
      </c>
      <c r="C199" s="140"/>
      <c r="D199" s="140">
        <f>SUM(D47:D90)</f>
        <v>11.262000000000004</v>
      </c>
      <c r="E199" s="144">
        <f t="shared" ref="E199" si="8">D199/B199</f>
        <v>0.25595454545454555</v>
      </c>
      <c r="G199" s="223"/>
    </row>
    <row r="200" spans="1:7">
      <c r="A200" s="139" t="s">
        <v>387</v>
      </c>
      <c r="B200" s="140">
        <f>SUM(B91:B145)</f>
        <v>54</v>
      </c>
      <c r="C200" s="140"/>
      <c r="D200" s="140">
        <f>SUM(D91:D145)</f>
        <v>8.3030000000000008</v>
      </c>
      <c r="E200" s="144">
        <f t="shared" ref="E200" si="9">D200/B200</f>
        <v>0.15375925925925926</v>
      </c>
      <c r="G200" s="223"/>
    </row>
    <row r="201" spans="1:7">
      <c r="A201" s="139" t="s">
        <v>388</v>
      </c>
      <c r="B201" s="140"/>
      <c r="C201" s="140"/>
      <c r="D201" s="140"/>
      <c r="E201" s="144"/>
      <c r="G201" s="223"/>
    </row>
    <row r="202" spans="1:7">
      <c r="A202" s="142"/>
      <c r="B202" s="143"/>
      <c r="C202" s="143"/>
      <c r="D202" s="143"/>
      <c r="E202" s="144"/>
      <c r="G202" s="185"/>
    </row>
    <row r="203" spans="1:7">
      <c r="D203" s="137"/>
    </row>
    <row r="204" spans="1:7">
      <c r="B204" s="43">
        <f>SUM(B197:B203)</f>
        <v>143</v>
      </c>
      <c r="C204" s="42"/>
      <c r="D204" s="43">
        <f>SUM(D197:D203)</f>
        <v>18.261000000000003</v>
      </c>
      <c r="E204" s="44">
        <f>D204/B204</f>
        <v>0.12769930069930072</v>
      </c>
      <c r="F204" t="s">
        <v>398</v>
      </c>
      <c r="G204" s="223"/>
    </row>
    <row r="213" spans="2:3">
      <c r="B213">
        <v>29.37</v>
      </c>
      <c r="C213" s="186">
        <v>1200</v>
      </c>
    </row>
    <row r="214" spans="2:3">
      <c r="B214">
        <f>C214*B213/C213</f>
        <v>300.97519374999996</v>
      </c>
      <c r="C214" s="240">
        <v>12297.25</v>
      </c>
    </row>
  </sheetData>
  <mergeCells count="36">
    <mergeCell ref="A27:A28"/>
    <mergeCell ref="C148:E148"/>
    <mergeCell ref="A29:A33"/>
    <mergeCell ref="A41:A46"/>
    <mergeCell ref="A50:A55"/>
    <mergeCell ref="A62:A67"/>
    <mergeCell ref="A109:A115"/>
    <mergeCell ref="A116:A123"/>
    <mergeCell ref="A124:A130"/>
    <mergeCell ref="A135:A136"/>
    <mergeCell ref="A68:A77"/>
    <mergeCell ref="A98:A102"/>
    <mergeCell ref="A140:A142"/>
    <mergeCell ref="H152:I152"/>
    <mergeCell ref="K152:L152"/>
    <mergeCell ref="H148:I148"/>
    <mergeCell ref="K148:L148"/>
    <mergeCell ref="D149:D150"/>
    <mergeCell ref="H151:I151"/>
    <mergeCell ref="K151:L151"/>
    <mergeCell ref="M1:P1"/>
    <mergeCell ref="A17:A20"/>
    <mergeCell ref="A21:A23"/>
    <mergeCell ref="A131:A132"/>
    <mergeCell ref="A133:A134"/>
    <mergeCell ref="A2:A5"/>
    <mergeCell ref="A34:A40"/>
    <mergeCell ref="A47:A49"/>
    <mergeCell ref="A56:A61"/>
    <mergeCell ref="A78:A85"/>
    <mergeCell ref="A86:A90"/>
    <mergeCell ref="A92:A97"/>
    <mergeCell ref="A103:A108"/>
    <mergeCell ref="A6:A11"/>
    <mergeCell ref="A12:A16"/>
    <mergeCell ref="A24:A26"/>
  </mergeCells>
  <conditionalFormatting sqref="A153">
    <cfRule type="cellIs" dxfId="32" priority="29" operator="lessThanOrEqual">
      <formula>0</formula>
    </cfRule>
    <cfRule type="cellIs" dxfId="31" priority="30" operator="between">
      <formula>0.05</formula>
      <formula>0</formula>
    </cfRule>
    <cfRule type="cellIs" dxfId="30" priority="31" operator="greaterThan">
      <formula>0.05</formula>
    </cfRule>
  </conditionalFormatting>
  <conditionalFormatting sqref="D151">
    <cfRule type="cellIs" dxfId="29" priority="35" operator="greaterThan">
      <formula>$D$149</formula>
    </cfRule>
    <cfRule type="cellIs" dxfId="28" priority="36" operator="lessThan">
      <formula>$D$149</formula>
    </cfRule>
  </conditionalFormatting>
  <conditionalFormatting sqref="E2:E146">
    <cfRule type="cellIs" dxfId="27" priority="1" stopIfTrue="1" operator="greaterThan">
      <formula>5</formula>
    </cfRule>
  </conditionalFormatting>
  <conditionalFormatting sqref="E175:E202">
    <cfRule type="cellIs" dxfId="26" priority="41" stopIfTrue="1" operator="greaterThan">
      <formula>5</formula>
    </cfRule>
  </conditionalFormatting>
  <conditionalFormatting sqref="E204">
    <cfRule type="cellIs" dxfId="25" priority="37" operator="equal">
      <formula>$A$153</formula>
    </cfRule>
  </conditionalFormatting>
  <conditionalFormatting sqref="F153">
    <cfRule type="cellIs" dxfId="24" priority="34" stopIfTrue="1" operator="greaterThan">
      <formula>5</formula>
    </cfRule>
  </conditionalFormatting>
  <conditionalFormatting sqref="H151:I151">
    <cfRule type="cellIs" dxfId="23" priority="40" stopIfTrue="1" operator="greaterThan">
      <formula>50</formula>
    </cfRule>
  </conditionalFormatting>
  <conditionalFormatting sqref="H152:I152">
    <cfRule type="cellIs" dxfId="22" priority="39" stopIfTrue="1" operator="greaterThan">
      <formula>221</formula>
    </cfRule>
  </conditionalFormatting>
  <conditionalFormatting sqref="K151:L151">
    <cfRule type="cellIs" dxfId="21" priority="33" stopIfTrue="1" operator="greaterThan">
      <formula>50</formula>
    </cfRule>
  </conditionalFormatting>
  <conditionalFormatting sqref="K152:L152">
    <cfRule type="cellIs" dxfId="20" priority="32" stopIfTrue="1" operator="greaterThan">
      <formula>221</formula>
    </cfRule>
  </conditionalFormatting>
  <conditionalFormatting sqref="N148:N160">
    <cfRule type="cellIs" dxfId="19" priority="38" operator="greaterThan">
      <formula>0.5</formula>
    </cfRule>
  </conditionalFormatting>
  <pageMargins left="0.7" right="0.7" top="0.75" bottom="0.75" header="0.3" footer="0.3"/>
  <pageSetup fitToWidth="0"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1844-2BF1-4966-82BC-42264FC5A4C4}">
  <dimension ref="A1:V42"/>
  <sheetViews>
    <sheetView workbookViewId="0">
      <selection activeCell="D16" sqref="D16"/>
    </sheetView>
  </sheetViews>
  <sheetFormatPr defaultRowHeight="15"/>
  <cols>
    <col min="1" max="1" width="38.85546875" bestFit="1" customWidth="1"/>
    <col min="2" max="3" width="9.28515625" customWidth="1"/>
    <col min="4" max="4" width="16.42578125" bestFit="1" customWidth="1"/>
    <col min="5" max="5" width="10.7109375" bestFit="1" customWidth="1"/>
    <col min="6" max="6" width="6.85546875" customWidth="1"/>
    <col min="7" max="7" width="19.85546875" customWidth="1"/>
    <col min="8" max="8" width="10.7109375" bestFit="1" customWidth="1"/>
    <col min="9" max="9" width="6.85546875" customWidth="1"/>
    <col min="10" max="10" width="7.28515625" bestFit="1" customWidth="1"/>
    <col min="13" max="13" width="23" bestFit="1" customWidth="1"/>
    <col min="14" max="14" width="23.42578125" customWidth="1"/>
    <col min="19" max="19" width="36.5703125" bestFit="1" customWidth="1"/>
    <col min="20" max="20" width="10.85546875" customWidth="1"/>
    <col min="21" max="21" width="11.140625" bestFit="1" customWidth="1"/>
    <col min="22" max="22" width="9.5703125" bestFit="1" customWidth="1"/>
  </cols>
  <sheetData>
    <row r="1" spans="1:22">
      <c r="B1" t="s">
        <v>917</v>
      </c>
      <c r="D1" t="s">
        <v>918</v>
      </c>
      <c r="E1" s="177" t="s">
        <v>919</v>
      </c>
      <c r="G1" s="237" t="s">
        <v>920</v>
      </c>
      <c r="H1" s="177" t="s">
        <v>919</v>
      </c>
      <c r="M1" t="s">
        <v>921</v>
      </c>
      <c r="N1" s="653" t="s">
        <v>922</v>
      </c>
      <c r="O1" s="653"/>
      <c r="P1" s="653"/>
      <c r="Q1" s="653"/>
      <c r="R1" s="653"/>
      <c r="S1" s="653"/>
      <c r="T1" s="88" t="s">
        <v>923</v>
      </c>
      <c r="U1" s="244" t="s">
        <v>5</v>
      </c>
      <c r="V1" s="219" t="s">
        <v>924</v>
      </c>
    </row>
    <row r="2" spans="1:22">
      <c r="A2" s="538" t="s">
        <v>925</v>
      </c>
      <c r="B2" s="173">
        <v>0.6</v>
      </c>
      <c r="C2" s="173"/>
      <c r="D2" s="182">
        <f>26/61</f>
        <v>0.42622950819672129</v>
      </c>
      <c r="E2" s="178">
        <f>B2*D2</f>
        <v>0.25573770491803277</v>
      </c>
      <c r="F2" s="18"/>
      <c r="G2" s="182">
        <f>15/62</f>
        <v>0.24193548387096775</v>
      </c>
      <c r="H2" s="178">
        <f>B2*G2</f>
        <v>0.14516129032258066</v>
      </c>
      <c r="M2" t="s">
        <v>926</v>
      </c>
      <c r="N2" s="58">
        <v>2</v>
      </c>
      <c r="T2" s="245">
        <v>100</v>
      </c>
      <c r="U2" s="243">
        <v>2.5099999999999998</v>
      </c>
      <c r="V2" s="246"/>
    </row>
    <row r="3" spans="1:22">
      <c r="A3" s="538" t="s">
        <v>927</v>
      </c>
      <c r="B3" s="173">
        <v>0.4</v>
      </c>
      <c r="C3" s="173"/>
      <c r="D3" s="182">
        <f>9/15</f>
        <v>0.6</v>
      </c>
      <c r="E3" s="179">
        <f t="shared" ref="E3" si="0">B3*D3</f>
        <v>0.24</v>
      </c>
      <c r="F3" s="18"/>
      <c r="G3" s="182">
        <f>6/15</f>
        <v>0.4</v>
      </c>
      <c r="H3" s="179">
        <f>B3*G3</f>
        <v>0.16000000000000003</v>
      </c>
      <c r="M3" t="s">
        <v>928</v>
      </c>
      <c r="N3" s="19">
        <v>0.6</v>
      </c>
      <c r="T3" s="247">
        <v>12297.25</v>
      </c>
      <c r="U3" s="248">
        <f>T3*U2/T2</f>
        <v>308.66097499999995</v>
      </c>
      <c r="V3" s="249">
        <v>25504.7</v>
      </c>
    </row>
    <row r="4" spans="1:22">
      <c r="A4" s="3"/>
      <c r="B4" s="18">
        <f>SUM(B2:B3)</f>
        <v>1</v>
      </c>
      <c r="C4" s="173"/>
      <c r="E4" s="174">
        <f>SUM(E2:E3)</f>
        <v>0.49573770491803276</v>
      </c>
      <c r="F4" s="18"/>
      <c r="H4" s="174">
        <f>SUM(H2:H3)</f>
        <v>0.30516129032258066</v>
      </c>
      <c r="J4" s="18">
        <f xml:space="preserve"> (1 - E8) * (1 - H8)</f>
        <v>0.37045736486112169</v>
      </c>
      <c r="K4" s="175" t="s">
        <v>929</v>
      </c>
      <c r="M4" t="s">
        <v>930</v>
      </c>
      <c r="N4" s="19">
        <f>1-N3</f>
        <v>0.4</v>
      </c>
      <c r="T4" s="240"/>
      <c r="U4" s="240"/>
      <c r="V4" s="240"/>
    </row>
    <row r="5" spans="1:22">
      <c r="C5" s="166"/>
      <c r="F5" s="18"/>
      <c r="J5" s="174">
        <f>1 - J4</f>
        <v>0.62954263513887831</v>
      </c>
      <c r="K5" s="176" t="s">
        <v>931</v>
      </c>
      <c r="M5" t="s">
        <v>915</v>
      </c>
      <c r="N5" s="19">
        <f>(N2*N3-N4)/N2</f>
        <v>0.39999999999999997</v>
      </c>
      <c r="T5" s="240"/>
      <c r="U5" s="240"/>
      <c r="V5" s="240"/>
    </row>
    <row r="6" spans="1:22">
      <c r="A6" s="538" t="s">
        <v>932</v>
      </c>
      <c r="B6" s="173">
        <v>0.7</v>
      </c>
      <c r="D6" s="178">
        <f>E4</f>
        <v>0.49573770491803276</v>
      </c>
      <c r="E6" s="180">
        <f>B6*D6</f>
        <v>0.34701639344262292</v>
      </c>
      <c r="G6" s="178">
        <f>H4</f>
        <v>0.30516129032258066</v>
      </c>
      <c r="H6" s="180">
        <f>B6*G6</f>
        <v>0.21361290322580645</v>
      </c>
      <c r="M6" t="s">
        <v>933</v>
      </c>
      <c r="N6" s="19">
        <f>N5/10</f>
        <v>3.9999999999999994E-2</v>
      </c>
      <c r="T6" s="240"/>
      <c r="U6" s="240"/>
      <c r="V6" s="240"/>
    </row>
    <row r="7" spans="1:22">
      <c r="A7" s="538" t="s">
        <v>934</v>
      </c>
      <c r="B7" s="173">
        <v>0.3</v>
      </c>
      <c r="D7" s="183">
        <f>4/14</f>
        <v>0.2857142857142857</v>
      </c>
      <c r="E7" s="179">
        <f>B7*D7</f>
        <v>8.5714285714285701E-2</v>
      </c>
      <c r="G7" s="183">
        <f>4/9</f>
        <v>0.44444444444444442</v>
      </c>
      <c r="H7" s="179">
        <f>B7*G7</f>
        <v>0.13333333333333333</v>
      </c>
      <c r="T7" s="240"/>
      <c r="U7" s="240"/>
      <c r="V7" s="240"/>
    </row>
    <row r="8" spans="1:22">
      <c r="B8" s="174">
        <f>SUM(B6:B7)</f>
        <v>1</v>
      </c>
      <c r="D8" s="18"/>
      <c r="E8" s="44">
        <f>SUM(E6:E7)</f>
        <v>0.4327306791569086</v>
      </c>
      <c r="G8" s="18"/>
      <c r="H8" s="44">
        <f>SUM(H6:H7)</f>
        <v>0.34694623655913981</v>
      </c>
      <c r="T8" s="240"/>
      <c r="U8" s="240"/>
      <c r="V8" s="240"/>
    </row>
    <row r="9" spans="1:22">
      <c r="B9" s="166"/>
      <c r="D9" s="18"/>
      <c r="E9" s="166"/>
      <c r="G9" s="18"/>
      <c r="H9" s="166"/>
      <c r="T9" s="240"/>
      <c r="U9" s="240"/>
      <c r="V9" s="240"/>
    </row>
    <row r="10" spans="1:22">
      <c r="B10" s="166"/>
      <c r="D10" t="str">
        <f>D1</f>
        <v>Arizona</v>
      </c>
      <c r="E10" s="177" t="s">
        <v>919</v>
      </c>
      <c r="G10" t="str">
        <f>G1</f>
        <v>Cleveland</v>
      </c>
      <c r="H10" s="177" t="s">
        <v>919</v>
      </c>
      <c r="J10" s="18">
        <f xml:space="preserve"> (1 - E11) * (1 - H11)</f>
        <v>0.760876</v>
      </c>
      <c r="K10" s="175" t="s">
        <v>929</v>
      </c>
      <c r="T10" s="240"/>
      <c r="U10" s="240"/>
      <c r="V10" s="240"/>
    </row>
    <row r="11" spans="1:22">
      <c r="D11" s="18"/>
      <c r="E11" s="44">
        <v>0.14699999999999999</v>
      </c>
      <c r="G11" s="18"/>
      <c r="H11" s="44">
        <v>0.108</v>
      </c>
      <c r="J11" s="174">
        <f>1 - J10</f>
        <v>0.239124</v>
      </c>
      <c r="K11" s="176" t="s">
        <v>931</v>
      </c>
    </row>
    <row r="12" spans="1:22">
      <c r="D12" s="18"/>
      <c r="E12" s="166"/>
      <c r="G12" s="18"/>
      <c r="H12" s="166"/>
    </row>
    <row r="13" spans="1:22">
      <c r="B13" s="173"/>
      <c r="D13">
        <v>0.14699999999999999</v>
      </c>
    </row>
    <row r="14" spans="1:22">
      <c r="B14" s="173"/>
      <c r="D14">
        <v>0.108</v>
      </c>
    </row>
    <row r="15" spans="1:22">
      <c r="B15" s="18"/>
      <c r="C15" s="173"/>
      <c r="D15">
        <v>0.239124</v>
      </c>
    </row>
    <row r="16" spans="1:22">
      <c r="C16" s="173"/>
      <c r="D16">
        <v>0.760876</v>
      </c>
    </row>
    <row r="17" spans="2:3">
      <c r="B17" s="173"/>
      <c r="C17" s="18"/>
    </row>
    <row r="18" spans="2:3">
      <c r="B18" s="173"/>
    </row>
    <row r="19" spans="2:3">
      <c r="C19" s="173"/>
    </row>
    <row r="20" spans="2:3">
      <c r="C20" s="173"/>
    </row>
    <row r="41" spans="20:20">
      <c r="T41" s="242"/>
    </row>
    <row r="42" spans="20:20" ht="59.25">
      <c r="T42" s="241" t="s">
        <v>935</v>
      </c>
    </row>
  </sheetData>
  <mergeCells count="1">
    <mergeCell ref="N1:S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7"/>
  <sheetViews>
    <sheetView workbookViewId="0">
      <pane ySplit="1" topLeftCell="A4" activePane="bottomLeft" state="frozen"/>
      <selection pane="bottomLeft" activeCell="O2" sqref="O2"/>
    </sheetView>
  </sheetViews>
  <sheetFormatPr defaultColWidth="9.140625" defaultRowHeight="15"/>
  <cols>
    <col min="1" max="1" width="6.28515625" bestFit="1" customWidth="1"/>
    <col min="2" max="2" width="7.42578125" bestFit="1" customWidth="1"/>
    <col min="3" max="3" width="10.5703125" hidden="1" customWidth="1"/>
    <col min="4" max="4" width="15" style="35" bestFit="1" customWidth="1"/>
    <col min="5" max="5" width="11.140625" style="35" bestFit="1" customWidth="1"/>
    <col min="6" max="7" width="12.7109375" style="35" bestFit="1" customWidth="1"/>
    <col min="8" max="8" width="9.28515625" hidden="1" customWidth="1"/>
    <col min="9" max="9" width="9" style="36" bestFit="1" customWidth="1"/>
    <col min="10" max="10" width="13.28515625" style="35" bestFit="1" customWidth="1"/>
    <col min="11" max="11" width="11" hidden="1" customWidth="1"/>
    <col min="12" max="12" width="12.7109375" style="35" customWidth="1"/>
    <col min="13" max="13" width="11.28515625" style="35" hidden="1" customWidth="1"/>
    <col min="14" max="14" width="14.5703125" style="35" hidden="1" customWidth="1"/>
    <col min="15" max="15" width="38.7109375" style="25" bestFit="1" customWidth="1"/>
    <col min="16" max="16" width="9.28515625" style="25" customWidth="1"/>
    <col min="17" max="17" width="9.140625" style="25" customWidth="1"/>
    <col min="18" max="18" width="17.7109375" style="25" bestFit="1" customWidth="1"/>
    <col min="19" max="19" width="11.42578125" style="25" customWidth="1"/>
    <col min="20" max="20" width="6.7109375" style="25" bestFit="1" customWidth="1"/>
    <col min="21" max="21" width="15.42578125" style="25" bestFit="1" customWidth="1"/>
    <col min="22" max="255" width="11.42578125" style="25" customWidth="1"/>
    <col min="256" max="16384" width="9.140625" style="25"/>
  </cols>
  <sheetData>
    <row r="1" spans="1:21" s="86" customFormat="1" ht="39" customHeight="1">
      <c r="A1" s="79" t="s">
        <v>936</v>
      </c>
      <c r="B1" s="80" t="s">
        <v>937</v>
      </c>
      <c r="C1" s="80" t="s">
        <v>938</v>
      </c>
      <c r="D1" s="81" t="s">
        <v>939</v>
      </c>
      <c r="E1" s="81" t="s">
        <v>940</v>
      </c>
      <c r="F1" s="82" t="s">
        <v>941</v>
      </c>
      <c r="G1" s="82" t="s">
        <v>942</v>
      </c>
      <c r="H1" s="82" t="s">
        <v>943</v>
      </c>
      <c r="I1" s="83" t="s">
        <v>944</v>
      </c>
      <c r="J1" s="81" t="s">
        <v>945</v>
      </c>
      <c r="K1" s="80" t="s">
        <v>946</v>
      </c>
      <c r="L1" s="84" t="s">
        <v>947</v>
      </c>
      <c r="M1" s="85" t="s">
        <v>948</v>
      </c>
      <c r="N1" s="85" t="s">
        <v>949</v>
      </c>
    </row>
    <row r="2" spans="1:21">
      <c r="A2" s="66">
        <v>1</v>
      </c>
      <c r="B2" s="26">
        <f>P7</f>
        <v>45951</v>
      </c>
      <c r="C2" s="26">
        <f t="shared" ref="C2:C37" si="0">DATE(YEAR(B2),MONTH(B2)+$P$8-1,DAY(B2))</f>
        <v>45951</v>
      </c>
      <c r="D2" s="125"/>
      <c r="E2" s="27">
        <v>0</v>
      </c>
      <c r="F2" s="126">
        <f>P6</f>
        <v>700</v>
      </c>
      <c r="G2" s="27">
        <f t="shared" ref="G2:G37" si="1">+F2*$P$9</f>
        <v>210</v>
      </c>
      <c r="H2" s="67">
        <f t="shared" ref="H2:H36" si="2">+B3-B2</f>
        <v>31</v>
      </c>
      <c r="I2" s="18">
        <f>+(G2/F2)/H2</f>
        <v>9.6774193548387101E-3</v>
      </c>
      <c r="J2" s="27">
        <f>+F2*I2</f>
        <v>6.774193548387097</v>
      </c>
      <c r="K2" s="58">
        <f t="shared" ref="K2:K37" si="3">+J2/L2</f>
        <v>0.967741935483871</v>
      </c>
      <c r="L2" s="68">
        <f t="shared" ref="L2:L37" si="4">+F2*$P$11</f>
        <v>7</v>
      </c>
      <c r="M2" s="27">
        <f t="shared" ref="M2:M37" si="5">+F2*$P$14</f>
        <v>7</v>
      </c>
      <c r="N2" s="27">
        <f t="shared" ref="N2:N37" si="6">+M2*$P$15</f>
        <v>52.5</v>
      </c>
      <c r="O2" s="54">
        <f>SUM(E2:E3)+F3</f>
        <v>910</v>
      </c>
      <c r="P2" s="78">
        <f>SUM(E2:E13)</f>
        <v>2556.6739772448673</v>
      </c>
    </row>
    <row r="3" spans="1:21">
      <c r="A3" s="66">
        <v>2</v>
      </c>
      <c r="B3" s="26">
        <f t="shared" ref="B3:B37" si="7">DATE(YEAR(B2),MONTH(B2)+$P$8,DAY(B2))</f>
        <v>45982</v>
      </c>
      <c r="C3" s="26">
        <f t="shared" si="0"/>
        <v>45982</v>
      </c>
      <c r="D3" s="27">
        <f>+F2+G2</f>
        <v>910</v>
      </c>
      <c r="E3" s="27">
        <f t="shared" ref="E3:E37" si="8">+G2*$P$10</f>
        <v>105</v>
      </c>
      <c r="F3" s="27">
        <f>+F2+G2-E3</f>
        <v>805</v>
      </c>
      <c r="G3" s="27">
        <f t="shared" si="1"/>
        <v>241.5</v>
      </c>
      <c r="H3" s="67">
        <f t="shared" si="2"/>
        <v>30</v>
      </c>
      <c r="I3" s="18">
        <f t="shared" ref="I3:I36" si="9">+(G3/F3)/H3</f>
        <v>0.01</v>
      </c>
      <c r="J3" s="27">
        <f t="shared" ref="J3:J37" si="10">+F3*I3</f>
        <v>8.0500000000000007</v>
      </c>
      <c r="K3" s="58">
        <f t="shared" si="3"/>
        <v>1</v>
      </c>
      <c r="L3" s="68">
        <f t="shared" si="4"/>
        <v>8.0500000000000007</v>
      </c>
      <c r="M3" s="27">
        <f t="shared" si="5"/>
        <v>8.0500000000000007</v>
      </c>
      <c r="N3" s="27">
        <f t="shared" si="6"/>
        <v>60.375000000000007</v>
      </c>
    </row>
    <row r="4" spans="1:21">
      <c r="A4" s="66">
        <v>3</v>
      </c>
      <c r="B4" s="26">
        <f t="shared" si="7"/>
        <v>46012</v>
      </c>
      <c r="C4" s="26">
        <f t="shared" si="0"/>
        <v>46012</v>
      </c>
      <c r="D4" s="27">
        <f t="shared" ref="D4:D37" si="11">+F3+G3</f>
        <v>1046.5</v>
      </c>
      <c r="E4" s="27">
        <f t="shared" si="8"/>
        <v>120.75</v>
      </c>
      <c r="F4" s="27">
        <f t="shared" ref="F4:F37" si="12">+F3+G3-E4</f>
        <v>925.75</v>
      </c>
      <c r="G4" s="27">
        <f t="shared" si="1"/>
        <v>277.72499999999997</v>
      </c>
      <c r="H4" s="67">
        <f t="shared" si="2"/>
        <v>31</v>
      </c>
      <c r="I4" s="18">
        <f t="shared" si="9"/>
        <v>9.6774193548387101E-3</v>
      </c>
      <c r="J4" s="27">
        <f t="shared" si="10"/>
        <v>8.9588709677419356</v>
      </c>
      <c r="K4" s="58">
        <f t="shared" si="3"/>
        <v>0.967741935483871</v>
      </c>
      <c r="L4" s="68">
        <f t="shared" si="4"/>
        <v>9.2575000000000003</v>
      </c>
      <c r="M4" s="27">
        <f t="shared" si="5"/>
        <v>9.2575000000000003</v>
      </c>
      <c r="N4" s="27">
        <f t="shared" si="6"/>
        <v>69.431250000000006</v>
      </c>
      <c r="R4"/>
      <c r="S4" s="581">
        <f>P6</f>
        <v>700</v>
      </c>
      <c r="T4" s="647"/>
      <c r="U4" s="16" t="s">
        <v>950</v>
      </c>
    </row>
    <row r="5" spans="1:21">
      <c r="A5" s="66">
        <v>4</v>
      </c>
      <c r="B5" s="26">
        <f t="shared" si="7"/>
        <v>46043</v>
      </c>
      <c r="C5" s="26">
        <f t="shared" si="0"/>
        <v>46043</v>
      </c>
      <c r="D5" s="27">
        <f t="shared" si="11"/>
        <v>1203.4749999999999</v>
      </c>
      <c r="E5" s="27">
        <f t="shared" si="8"/>
        <v>138.86249999999998</v>
      </c>
      <c r="F5" s="27">
        <f t="shared" si="12"/>
        <v>1064.6125</v>
      </c>
      <c r="G5" s="27">
        <f t="shared" si="1"/>
        <v>319.38374999999996</v>
      </c>
      <c r="H5" s="67">
        <f t="shared" si="2"/>
        <v>31</v>
      </c>
      <c r="I5" s="18">
        <f t="shared" si="9"/>
        <v>9.6774193548387101E-3</v>
      </c>
      <c r="J5" s="27">
        <f t="shared" si="10"/>
        <v>10.302701612903226</v>
      </c>
      <c r="K5" s="58">
        <f t="shared" si="3"/>
        <v>0.967741935483871</v>
      </c>
      <c r="L5" s="68">
        <f t="shared" si="4"/>
        <v>10.646125</v>
      </c>
      <c r="M5" s="27">
        <f t="shared" si="5"/>
        <v>10.646125</v>
      </c>
      <c r="N5" s="27">
        <f t="shared" si="6"/>
        <v>79.845937499999991</v>
      </c>
      <c r="O5" s="654" t="s">
        <v>951</v>
      </c>
      <c r="P5" s="654"/>
      <c r="R5" s="17" t="s">
        <v>370</v>
      </c>
      <c r="S5" s="75">
        <f>L2</f>
        <v>7</v>
      </c>
      <c r="T5" s="76">
        <f>S5*10</f>
        <v>70</v>
      </c>
      <c r="U5" s="3" t="s">
        <v>371</v>
      </c>
    </row>
    <row r="6" spans="1:21">
      <c r="A6" s="66">
        <v>5</v>
      </c>
      <c r="B6" s="26">
        <f t="shared" si="7"/>
        <v>46074</v>
      </c>
      <c r="C6" s="26">
        <f t="shared" si="0"/>
        <v>46074</v>
      </c>
      <c r="D6" s="27">
        <f t="shared" si="11"/>
        <v>1383.9962499999999</v>
      </c>
      <c r="E6" s="27">
        <f t="shared" si="8"/>
        <v>159.69187499999998</v>
      </c>
      <c r="F6" s="27">
        <f t="shared" si="12"/>
        <v>1224.3043749999999</v>
      </c>
      <c r="G6" s="27">
        <f t="shared" si="1"/>
        <v>367.29131249999995</v>
      </c>
      <c r="H6" s="67">
        <f t="shared" si="2"/>
        <v>28</v>
      </c>
      <c r="I6" s="18">
        <f t="shared" si="9"/>
        <v>1.0714285714285714E-2</v>
      </c>
      <c r="J6" s="27">
        <f t="shared" si="10"/>
        <v>13.117546874999999</v>
      </c>
      <c r="K6" s="58">
        <f t="shared" si="3"/>
        <v>1.0714285714285714</v>
      </c>
      <c r="L6" s="68">
        <f t="shared" si="4"/>
        <v>12.24304375</v>
      </c>
      <c r="M6" s="27">
        <f t="shared" si="5"/>
        <v>12.24304375</v>
      </c>
      <c r="N6" s="27">
        <f t="shared" si="6"/>
        <v>91.822828125000001</v>
      </c>
      <c r="O6" s="28" t="s">
        <v>952</v>
      </c>
      <c r="P6" s="29">
        <v>700</v>
      </c>
      <c r="R6" s="17" t="s">
        <v>373</v>
      </c>
      <c r="S6" s="46">
        <v>0</v>
      </c>
      <c r="T6" s="60"/>
      <c r="U6" s="3" t="s">
        <v>374</v>
      </c>
    </row>
    <row r="7" spans="1:21">
      <c r="A7" s="66">
        <v>6</v>
      </c>
      <c r="B7" s="26">
        <f t="shared" si="7"/>
        <v>46102</v>
      </c>
      <c r="C7" s="26">
        <f t="shared" si="0"/>
        <v>46102</v>
      </c>
      <c r="D7" s="27">
        <f t="shared" si="11"/>
        <v>1591.5956874999999</v>
      </c>
      <c r="E7" s="251">
        <f t="shared" si="8"/>
        <v>183.64565624999997</v>
      </c>
      <c r="F7" s="27">
        <f t="shared" si="12"/>
        <v>1407.9500312499999</v>
      </c>
      <c r="G7" s="27">
        <f t="shared" si="1"/>
        <v>422.38500937499998</v>
      </c>
      <c r="H7" s="67">
        <f t="shared" si="2"/>
        <v>31</v>
      </c>
      <c r="I7" s="18">
        <f t="shared" si="9"/>
        <v>9.6774193548387101E-3</v>
      </c>
      <c r="J7" s="27">
        <f t="shared" si="10"/>
        <v>13.625322883064516</v>
      </c>
      <c r="K7" s="58">
        <f t="shared" si="3"/>
        <v>0.967741935483871</v>
      </c>
      <c r="L7" s="68">
        <f t="shared" si="4"/>
        <v>14.0795003125</v>
      </c>
      <c r="M7" s="27">
        <f t="shared" si="5"/>
        <v>14.0795003125</v>
      </c>
      <c r="N7" s="27">
        <f t="shared" si="6"/>
        <v>105.59625234375001</v>
      </c>
      <c r="O7" s="28" t="s">
        <v>953</v>
      </c>
      <c r="P7" s="30">
        <v>45951</v>
      </c>
      <c r="R7" s="17" t="s">
        <v>375</v>
      </c>
      <c r="S7" s="581">
        <f>(S6-T6)</f>
        <v>0</v>
      </c>
      <c r="T7" s="582"/>
      <c r="U7" s="16"/>
    </row>
    <row r="8" spans="1:21">
      <c r="A8" s="66">
        <v>7</v>
      </c>
      <c r="B8" s="26">
        <f t="shared" si="7"/>
        <v>46133</v>
      </c>
      <c r="C8" s="26">
        <f t="shared" si="0"/>
        <v>46133</v>
      </c>
      <c r="D8" s="27">
        <f t="shared" si="11"/>
        <v>1830.3350406249999</v>
      </c>
      <c r="E8" s="27">
        <f t="shared" si="8"/>
        <v>211.19250468749999</v>
      </c>
      <c r="F8" s="27">
        <f t="shared" si="12"/>
        <v>1619.1425359374998</v>
      </c>
      <c r="G8" s="27">
        <f t="shared" si="1"/>
        <v>485.7427607812499</v>
      </c>
      <c r="H8" s="67">
        <f t="shared" si="2"/>
        <v>30</v>
      </c>
      <c r="I8" s="18">
        <f t="shared" si="9"/>
        <v>0.01</v>
      </c>
      <c r="J8" s="27">
        <f t="shared" si="10"/>
        <v>16.191425359375</v>
      </c>
      <c r="K8" s="58">
        <f t="shared" si="3"/>
        <v>1</v>
      </c>
      <c r="L8" s="68">
        <f t="shared" si="4"/>
        <v>16.191425359375</v>
      </c>
      <c r="M8" s="27">
        <f t="shared" si="5"/>
        <v>16.191425359375</v>
      </c>
      <c r="N8" s="27">
        <f t="shared" si="6"/>
        <v>121.4356901953125</v>
      </c>
      <c r="O8" s="28" t="s">
        <v>954</v>
      </c>
      <c r="P8" s="31">
        <v>1</v>
      </c>
      <c r="R8" s="17" t="s">
        <v>376</v>
      </c>
      <c r="S8" s="656">
        <f>S4+S7</f>
        <v>700</v>
      </c>
      <c r="T8" s="657"/>
      <c r="U8" s="77"/>
    </row>
    <row r="9" spans="1:21" ht="14.25" customHeight="1">
      <c r="A9" s="66">
        <v>8</v>
      </c>
      <c r="B9" s="26">
        <f t="shared" si="7"/>
        <v>46163</v>
      </c>
      <c r="C9" s="26">
        <f t="shared" si="0"/>
        <v>46163</v>
      </c>
      <c r="D9" s="27">
        <f t="shared" si="11"/>
        <v>2104.8852967187495</v>
      </c>
      <c r="E9" s="27">
        <f t="shared" si="8"/>
        <v>242.87138039062495</v>
      </c>
      <c r="F9" s="27">
        <f t="shared" si="12"/>
        <v>1862.0139163281247</v>
      </c>
      <c r="G9" s="27">
        <f t="shared" si="1"/>
        <v>558.60417489843735</v>
      </c>
      <c r="H9" s="67">
        <f t="shared" si="2"/>
        <v>31</v>
      </c>
      <c r="I9" s="18">
        <f t="shared" si="9"/>
        <v>9.6774193548387101E-3</v>
      </c>
      <c r="J9" s="27">
        <f t="shared" si="10"/>
        <v>18.019489512852822</v>
      </c>
      <c r="K9" s="58">
        <f t="shared" si="3"/>
        <v>0.967741935483871</v>
      </c>
      <c r="L9" s="68">
        <f t="shared" si="4"/>
        <v>18.620139163281248</v>
      </c>
      <c r="M9" s="27">
        <f t="shared" si="5"/>
        <v>18.620139163281248</v>
      </c>
      <c r="N9" s="27">
        <f t="shared" si="6"/>
        <v>139.65104372460937</v>
      </c>
      <c r="O9" s="32" t="s">
        <v>955</v>
      </c>
      <c r="P9" s="33">
        <v>0.3</v>
      </c>
    </row>
    <row r="10" spans="1:21">
      <c r="A10" s="66">
        <v>9</v>
      </c>
      <c r="B10" s="26">
        <f t="shared" si="7"/>
        <v>46194</v>
      </c>
      <c r="C10" s="26">
        <f t="shared" si="0"/>
        <v>46194</v>
      </c>
      <c r="D10" s="27">
        <f t="shared" si="11"/>
        <v>2420.6180912265618</v>
      </c>
      <c r="E10" s="27">
        <f t="shared" si="8"/>
        <v>279.30208744921867</v>
      </c>
      <c r="F10" s="27">
        <f t="shared" si="12"/>
        <v>2141.3160037773432</v>
      </c>
      <c r="G10" s="27">
        <f t="shared" si="1"/>
        <v>642.39480113320292</v>
      </c>
      <c r="H10" s="67">
        <f t="shared" si="2"/>
        <v>30</v>
      </c>
      <c r="I10" s="18">
        <f t="shared" si="9"/>
        <v>0.01</v>
      </c>
      <c r="J10" s="27">
        <f t="shared" si="10"/>
        <v>21.413160037773434</v>
      </c>
      <c r="K10" s="58">
        <f t="shared" si="3"/>
        <v>1</v>
      </c>
      <c r="L10" s="68">
        <f t="shared" si="4"/>
        <v>21.413160037773434</v>
      </c>
      <c r="M10" s="27">
        <f t="shared" si="5"/>
        <v>21.413160037773434</v>
      </c>
      <c r="N10" s="27">
        <f t="shared" si="6"/>
        <v>160.59870028330076</v>
      </c>
      <c r="O10" s="28" t="s">
        <v>956</v>
      </c>
      <c r="P10" s="33">
        <v>0.5</v>
      </c>
    </row>
    <row r="11" spans="1:21">
      <c r="A11" s="66">
        <v>10</v>
      </c>
      <c r="B11" s="26">
        <f t="shared" si="7"/>
        <v>46224</v>
      </c>
      <c r="C11" s="26">
        <f t="shared" si="0"/>
        <v>46224</v>
      </c>
      <c r="D11" s="27">
        <f t="shared" si="11"/>
        <v>2783.7108049105464</v>
      </c>
      <c r="E11" s="27">
        <f t="shared" si="8"/>
        <v>321.19740056660146</v>
      </c>
      <c r="F11" s="27">
        <f t="shared" si="12"/>
        <v>2462.5134043439448</v>
      </c>
      <c r="G11" s="27">
        <f t="shared" si="1"/>
        <v>738.75402130318344</v>
      </c>
      <c r="H11" s="67">
        <f t="shared" si="2"/>
        <v>31</v>
      </c>
      <c r="I11" s="18">
        <f t="shared" si="9"/>
        <v>9.6774193548387101E-3</v>
      </c>
      <c r="J11" s="27">
        <f t="shared" si="10"/>
        <v>23.830774880747853</v>
      </c>
      <c r="K11" s="58">
        <f t="shared" si="3"/>
        <v>0.967741935483871</v>
      </c>
      <c r="L11" s="68">
        <f t="shared" si="4"/>
        <v>24.625134043439449</v>
      </c>
      <c r="M11" s="27">
        <f t="shared" si="5"/>
        <v>24.625134043439449</v>
      </c>
      <c r="N11" s="27">
        <f t="shared" si="6"/>
        <v>184.68850532579586</v>
      </c>
      <c r="O11" s="28" t="s">
        <v>957</v>
      </c>
      <c r="P11" s="33">
        <v>0.01</v>
      </c>
    </row>
    <row r="12" spans="1:21">
      <c r="A12" s="66">
        <v>11</v>
      </c>
      <c r="B12" s="26">
        <f t="shared" si="7"/>
        <v>46255</v>
      </c>
      <c r="C12" s="26">
        <f t="shared" si="0"/>
        <v>46255</v>
      </c>
      <c r="D12" s="27">
        <f t="shared" si="11"/>
        <v>3201.2674256471282</v>
      </c>
      <c r="E12" s="27">
        <f t="shared" si="8"/>
        <v>369.37701065159172</v>
      </c>
      <c r="F12" s="27">
        <f t="shared" si="12"/>
        <v>2831.8904149955365</v>
      </c>
      <c r="G12" s="27">
        <f t="shared" si="1"/>
        <v>849.56712449866097</v>
      </c>
      <c r="H12" s="67">
        <f t="shared" si="2"/>
        <v>31</v>
      </c>
      <c r="I12" s="18">
        <f t="shared" si="9"/>
        <v>9.6774193548387101E-3</v>
      </c>
      <c r="J12" s="27">
        <f t="shared" si="10"/>
        <v>27.40539111286003</v>
      </c>
      <c r="K12" s="58">
        <f t="shared" si="3"/>
        <v>0.967741935483871</v>
      </c>
      <c r="L12" s="68">
        <f t="shared" si="4"/>
        <v>28.318904149955365</v>
      </c>
      <c r="M12" s="27">
        <f t="shared" si="5"/>
        <v>28.318904149955365</v>
      </c>
      <c r="N12" s="27">
        <f t="shared" si="6"/>
        <v>212.39178112466524</v>
      </c>
      <c r="O12" t="s">
        <v>958</v>
      </c>
      <c r="P12" s="29">
        <v>400</v>
      </c>
    </row>
    <row r="13" spans="1:21">
      <c r="A13" s="66">
        <v>12</v>
      </c>
      <c r="B13" s="26">
        <f t="shared" si="7"/>
        <v>46286</v>
      </c>
      <c r="C13" s="26">
        <f t="shared" si="0"/>
        <v>46286</v>
      </c>
      <c r="D13" s="27">
        <f t="shared" si="11"/>
        <v>3681.4575394941976</v>
      </c>
      <c r="E13" s="27">
        <f t="shared" si="8"/>
        <v>424.78356224933049</v>
      </c>
      <c r="F13" s="27">
        <f t="shared" si="12"/>
        <v>3256.6739772448673</v>
      </c>
      <c r="G13" s="27">
        <f t="shared" si="1"/>
        <v>977.00219317346011</v>
      </c>
      <c r="H13" s="67">
        <f t="shared" si="2"/>
        <v>30</v>
      </c>
      <c r="I13" s="18">
        <f t="shared" si="9"/>
        <v>0.01</v>
      </c>
      <c r="J13" s="27">
        <f t="shared" si="10"/>
        <v>32.56673977244867</v>
      </c>
      <c r="K13" s="58">
        <f t="shared" si="3"/>
        <v>1</v>
      </c>
      <c r="L13" s="68">
        <f t="shared" si="4"/>
        <v>32.56673977244867</v>
      </c>
      <c r="M13" s="27">
        <f t="shared" si="5"/>
        <v>32.56673977244867</v>
      </c>
      <c r="N13" s="27">
        <f t="shared" si="6"/>
        <v>244.25054829336503</v>
      </c>
      <c r="O13" s="654" t="s">
        <v>959</v>
      </c>
      <c r="P13" s="654"/>
    </row>
    <row r="14" spans="1:21">
      <c r="A14" s="64">
        <v>13</v>
      </c>
      <c r="B14" s="65">
        <f t="shared" si="7"/>
        <v>46316</v>
      </c>
      <c r="C14" s="65">
        <f t="shared" si="0"/>
        <v>46316</v>
      </c>
      <c r="D14" s="70">
        <f t="shared" si="11"/>
        <v>4233.6761704183273</v>
      </c>
      <c r="E14" s="70">
        <f t="shared" si="8"/>
        <v>488.50109658673006</v>
      </c>
      <c r="F14" s="70">
        <f t="shared" si="12"/>
        <v>3745.1750738315973</v>
      </c>
      <c r="G14" s="70">
        <f t="shared" si="1"/>
        <v>1123.552522149479</v>
      </c>
      <c r="H14" s="71">
        <f t="shared" si="2"/>
        <v>31</v>
      </c>
      <c r="I14" s="72">
        <f t="shared" si="9"/>
        <v>9.6774193548387101E-3</v>
      </c>
      <c r="J14" s="70">
        <f t="shared" si="10"/>
        <v>36.243629746757392</v>
      </c>
      <c r="K14" s="73">
        <f t="shared" si="3"/>
        <v>0.967741935483871</v>
      </c>
      <c r="L14" s="74">
        <f t="shared" si="4"/>
        <v>37.451750738315972</v>
      </c>
      <c r="M14" s="27">
        <f t="shared" si="5"/>
        <v>37.451750738315972</v>
      </c>
      <c r="N14" s="27">
        <f t="shared" si="6"/>
        <v>280.88813053736982</v>
      </c>
      <c r="O14" s="28" t="s">
        <v>960</v>
      </c>
      <c r="P14" s="33">
        <v>0.01</v>
      </c>
    </row>
    <row r="15" spans="1:21">
      <c r="A15" s="66">
        <v>14</v>
      </c>
      <c r="B15" s="26">
        <f t="shared" si="7"/>
        <v>46347</v>
      </c>
      <c r="C15" s="26">
        <f t="shared" si="0"/>
        <v>46347</v>
      </c>
      <c r="D15" s="27">
        <f t="shared" si="11"/>
        <v>4868.7275959810759</v>
      </c>
      <c r="E15" s="27">
        <f t="shared" si="8"/>
        <v>561.77626107473952</v>
      </c>
      <c r="F15" s="27">
        <f t="shared" si="12"/>
        <v>4306.9513349063363</v>
      </c>
      <c r="G15" s="27">
        <f t="shared" si="1"/>
        <v>1292.0854004719008</v>
      </c>
      <c r="H15" s="67">
        <f t="shared" si="2"/>
        <v>30</v>
      </c>
      <c r="I15" s="18">
        <f t="shared" si="9"/>
        <v>0.01</v>
      </c>
      <c r="J15" s="27">
        <f t="shared" si="10"/>
        <v>43.069513349063364</v>
      </c>
      <c r="K15" s="58">
        <f t="shared" si="3"/>
        <v>1</v>
      </c>
      <c r="L15" s="68">
        <f t="shared" si="4"/>
        <v>43.069513349063364</v>
      </c>
      <c r="M15" s="27">
        <f t="shared" si="5"/>
        <v>43.069513349063364</v>
      </c>
      <c r="N15" s="27">
        <f t="shared" si="6"/>
        <v>323.0213501179752</v>
      </c>
      <c r="O15" s="28" t="s">
        <v>961</v>
      </c>
      <c r="P15" s="31">
        <v>7.5</v>
      </c>
    </row>
    <row r="16" spans="1:21">
      <c r="A16" s="66">
        <v>15</v>
      </c>
      <c r="B16" s="26">
        <f t="shared" si="7"/>
        <v>46377</v>
      </c>
      <c r="C16" s="26">
        <f t="shared" si="0"/>
        <v>46377</v>
      </c>
      <c r="D16" s="27">
        <f t="shared" si="11"/>
        <v>5599.0367353782367</v>
      </c>
      <c r="E16" s="27">
        <f t="shared" si="8"/>
        <v>646.04270023595041</v>
      </c>
      <c r="F16" s="27">
        <f t="shared" si="12"/>
        <v>4952.9940351422865</v>
      </c>
      <c r="G16" s="27">
        <f t="shared" si="1"/>
        <v>1485.898210542686</v>
      </c>
      <c r="H16" s="67">
        <f t="shared" si="2"/>
        <v>31</v>
      </c>
      <c r="I16" s="18">
        <f t="shared" si="9"/>
        <v>9.6774193548387101E-3</v>
      </c>
      <c r="J16" s="27">
        <f t="shared" si="10"/>
        <v>47.932200340086645</v>
      </c>
      <c r="K16" s="58">
        <f t="shared" si="3"/>
        <v>0.967741935483871</v>
      </c>
      <c r="L16" s="68">
        <f t="shared" si="4"/>
        <v>49.529940351422866</v>
      </c>
      <c r="M16" s="27">
        <f t="shared" si="5"/>
        <v>49.529940351422866</v>
      </c>
      <c r="N16" s="27">
        <f t="shared" si="6"/>
        <v>371.4745526356715</v>
      </c>
    </row>
    <row r="17" spans="1:16">
      <c r="A17" s="66">
        <v>16</v>
      </c>
      <c r="B17" s="26">
        <f t="shared" si="7"/>
        <v>46408</v>
      </c>
      <c r="C17" s="26">
        <f t="shared" si="0"/>
        <v>46408</v>
      </c>
      <c r="D17" s="27">
        <f t="shared" si="11"/>
        <v>6438.8922456849723</v>
      </c>
      <c r="E17" s="69">
        <f t="shared" si="8"/>
        <v>742.949105271343</v>
      </c>
      <c r="F17" s="27">
        <f t="shared" si="12"/>
        <v>5695.9431404136294</v>
      </c>
      <c r="G17" s="27">
        <f t="shared" si="1"/>
        <v>1708.7829421240888</v>
      </c>
      <c r="H17" s="67">
        <f t="shared" si="2"/>
        <v>31</v>
      </c>
      <c r="I17" s="18">
        <f t="shared" si="9"/>
        <v>9.6774193548387101E-3</v>
      </c>
      <c r="J17" s="27">
        <f t="shared" si="10"/>
        <v>55.122030391099642</v>
      </c>
      <c r="K17" s="58">
        <f t="shared" si="3"/>
        <v>0.967741935483871</v>
      </c>
      <c r="L17" s="68">
        <f t="shared" si="4"/>
        <v>56.959431404136296</v>
      </c>
      <c r="M17" s="27">
        <f t="shared" si="5"/>
        <v>56.959431404136296</v>
      </c>
      <c r="N17" s="27">
        <f t="shared" si="6"/>
        <v>427.19573553102225</v>
      </c>
      <c r="O17" s="655" t="s">
        <v>962</v>
      </c>
      <c r="P17" s="655"/>
    </row>
    <row r="18" spans="1:16">
      <c r="A18" s="66">
        <v>17</v>
      </c>
      <c r="B18" s="26">
        <f t="shared" si="7"/>
        <v>46439</v>
      </c>
      <c r="C18" s="26">
        <f t="shared" si="0"/>
        <v>46439</v>
      </c>
      <c r="D18" s="27">
        <f t="shared" si="11"/>
        <v>7404.726082537718</v>
      </c>
      <c r="E18" s="27">
        <f t="shared" si="8"/>
        <v>854.39147106204439</v>
      </c>
      <c r="F18" s="27">
        <f t="shared" si="12"/>
        <v>6550.3346114756732</v>
      </c>
      <c r="G18" s="27">
        <f t="shared" si="1"/>
        <v>1965.100383442702</v>
      </c>
      <c r="H18" s="67">
        <f t="shared" si="2"/>
        <v>28</v>
      </c>
      <c r="I18" s="18">
        <f t="shared" si="9"/>
        <v>1.0714285714285714E-2</v>
      </c>
      <c r="J18" s="27">
        <f t="shared" si="10"/>
        <v>70.182156551525068</v>
      </c>
      <c r="K18" s="58">
        <f t="shared" si="3"/>
        <v>1.0714285714285714</v>
      </c>
      <c r="L18" s="68">
        <f t="shared" si="4"/>
        <v>65.503346114756738</v>
      </c>
      <c r="M18" s="27">
        <f t="shared" si="5"/>
        <v>65.503346114756738</v>
      </c>
      <c r="N18" s="27">
        <f t="shared" si="6"/>
        <v>491.27509586067555</v>
      </c>
      <c r="O18" s="34" t="s">
        <v>963</v>
      </c>
      <c r="P18" s="26">
        <f>INDEX(A2:N37,COUNTIF(E2:E37,"&lt;="&amp;P12)+1,2)</f>
        <v>46286</v>
      </c>
    </row>
    <row r="19" spans="1:16">
      <c r="A19" s="66">
        <v>18</v>
      </c>
      <c r="B19" s="26">
        <f t="shared" si="7"/>
        <v>46467</v>
      </c>
      <c r="C19" s="26">
        <f t="shared" si="0"/>
        <v>46467</v>
      </c>
      <c r="D19" s="27">
        <f t="shared" si="11"/>
        <v>8515.4349949183743</v>
      </c>
      <c r="E19" s="27">
        <f t="shared" si="8"/>
        <v>982.55019172135098</v>
      </c>
      <c r="F19" s="27">
        <f t="shared" si="12"/>
        <v>7532.8848031970228</v>
      </c>
      <c r="G19" s="27">
        <f t="shared" si="1"/>
        <v>2259.8654409591068</v>
      </c>
      <c r="H19" s="67">
        <f t="shared" si="2"/>
        <v>31</v>
      </c>
      <c r="I19" s="18">
        <f t="shared" si="9"/>
        <v>9.6774193548387101E-3</v>
      </c>
      <c r="J19" s="27">
        <f t="shared" si="10"/>
        <v>72.898885192229258</v>
      </c>
      <c r="K19" s="58">
        <f t="shared" si="3"/>
        <v>0.96774193548387111</v>
      </c>
      <c r="L19" s="68">
        <f t="shared" si="4"/>
        <v>75.328848031970224</v>
      </c>
      <c r="M19" s="27">
        <f t="shared" si="5"/>
        <v>75.328848031970224</v>
      </c>
      <c r="N19" s="27">
        <f t="shared" si="6"/>
        <v>564.96636023977669</v>
      </c>
    </row>
    <row r="20" spans="1:16">
      <c r="A20" s="66">
        <v>19</v>
      </c>
      <c r="B20" s="26">
        <f t="shared" si="7"/>
        <v>46498</v>
      </c>
      <c r="C20" s="26">
        <f t="shared" si="0"/>
        <v>46498</v>
      </c>
      <c r="D20" s="27">
        <f t="shared" si="11"/>
        <v>9792.7502441561301</v>
      </c>
      <c r="E20" s="27">
        <f t="shared" si="8"/>
        <v>1129.9327204795534</v>
      </c>
      <c r="F20" s="27">
        <f t="shared" si="12"/>
        <v>8662.8175236765765</v>
      </c>
      <c r="G20" s="27">
        <f t="shared" si="1"/>
        <v>2598.8452571029729</v>
      </c>
      <c r="H20" s="67">
        <f t="shared" si="2"/>
        <v>30</v>
      </c>
      <c r="I20" s="18">
        <f t="shared" si="9"/>
        <v>0.01</v>
      </c>
      <c r="J20" s="27">
        <f t="shared" si="10"/>
        <v>86.62817523676577</v>
      </c>
      <c r="K20" s="58">
        <f t="shared" si="3"/>
        <v>1</v>
      </c>
      <c r="L20" s="68">
        <f t="shared" si="4"/>
        <v>86.62817523676577</v>
      </c>
      <c r="M20" s="27">
        <f t="shared" si="5"/>
        <v>86.62817523676577</v>
      </c>
      <c r="N20" s="27">
        <f t="shared" si="6"/>
        <v>649.71131427574323</v>
      </c>
    </row>
    <row r="21" spans="1:16">
      <c r="A21" s="66">
        <v>20</v>
      </c>
      <c r="B21" s="26">
        <f t="shared" si="7"/>
        <v>46528</v>
      </c>
      <c r="C21" s="26">
        <f t="shared" si="0"/>
        <v>46528</v>
      </c>
      <c r="D21" s="27">
        <f t="shared" si="11"/>
        <v>11261.662780779548</v>
      </c>
      <c r="E21" s="27">
        <f t="shared" si="8"/>
        <v>1299.4226285514865</v>
      </c>
      <c r="F21" s="27">
        <f t="shared" si="12"/>
        <v>9962.2401522280616</v>
      </c>
      <c r="G21" s="27">
        <f t="shared" si="1"/>
        <v>2988.6720456684184</v>
      </c>
      <c r="H21" s="67">
        <f t="shared" si="2"/>
        <v>31</v>
      </c>
      <c r="I21" s="18">
        <f t="shared" si="9"/>
        <v>9.6774193548387101E-3</v>
      </c>
      <c r="J21" s="27">
        <f t="shared" si="10"/>
        <v>96.408775666723187</v>
      </c>
      <c r="K21" s="58">
        <f t="shared" si="3"/>
        <v>0.96774193548387111</v>
      </c>
      <c r="L21" s="68">
        <f t="shared" si="4"/>
        <v>99.622401522280612</v>
      </c>
      <c r="M21" s="27">
        <f t="shared" si="5"/>
        <v>99.622401522280612</v>
      </c>
      <c r="N21" s="27">
        <f t="shared" si="6"/>
        <v>747.16801141710459</v>
      </c>
    </row>
    <row r="22" spans="1:16">
      <c r="A22" s="66">
        <v>21</v>
      </c>
      <c r="B22" s="26">
        <f t="shared" si="7"/>
        <v>46559</v>
      </c>
      <c r="C22" s="26">
        <f t="shared" si="0"/>
        <v>46559</v>
      </c>
      <c r="D22" s="27">
        <f t="shared" si="11"/>
        <v>12950.912197896479</v>
      </c>
      <c r="E22" s="27">
        <f t="shared" si="8"/>
        <v>1494.3360228342092</v>
      </c>
      <c r="F22" s="27">
        <f t="shared" si="12"/>
        <v>11456.57617506227</v>
      </c>
      <c r="G22" s="27">
        <f t="shared" si="1"/>
        <v>3436.9728525186806</v>
      </c>
      <c r="H22" s="67">
        <f t="shared" si="2"/>
        <v>30</v>
      </c>
      <c r="I22" s="18">
        <f t="shared" si="9"/>
        <v>0.01</v>
      </c>
      <c r="J22" s="27">
        <f t="shared" si="10"/>
        <v>114.5657617506227</v>
      </c>
      <c r="K22" s="58">
        <f t="shared" si="3"/>
        <v>1</v>
      </c>
      <c r="L22" s="68">
        <f t="shared" si="4"/>
        <v>114.5657617506227</v>
      </c>
      <c r="M22" s="27">
        <f t="shared" si="5"/>
        <v>114.5657617506227</v>
      </c>
      <c r="N22" s="27">
        <f t="shared" si="6"/>
        <v>859.24321312967027</v>
      </c>
    </row>
    <row r="23" spans="1:16">
      <c r="A23" s="66">
        <v>22</v>
      </c>
      <c r="B23" s="26">
        <f t="shared" si="7"/>
        <v>46589</v>
      </c>
      <c r="C23" s="26">
        <f t="shared" si="0"/>
        <v>46589</v>
      </c>
      <c r="D23" s="27">
        <f t="shared" si="11"/>
        <v>14893.54902758095</v>
      </c>
      <c r="E23" s="27">
        <f t="shared" si="8"/>
        <v>1718.4864262593403</v>
      </c>
      <c r="F23" s="27">
        <f t="shared" si="12"/>
        <v>13175.06260132161</v>
      </c>
      <c r="G23" s="27">
        <f t="shared" si="1"/>
        <v>3952.5187803964827</v>
      </c>
      <c r="H23" s="67">
        <f t="shared" si="2"/>
        <v>31</v>
      </c>
      <c r="I23" s="18">
        <f t="shared" si="9"/>
        <v>9.6774193548387101E-3</v>
      </c>
      <c r="J23" s="27">
        <f t="shared" si="10"/>
        <v>127.50060581924139</v>
      </c>
      <c r="K23" s="58">
        <f t="shared" si="3"/>
        <v>0.96774193548387089</v>
      </c>
      <c r="L23" s="68">
        <f t="shared" si="4"/>
        <v>131.75062601321611</v>
      </c>
      <c r="M23" s="27">
        <f t="shared" si="5"/>
        <v>131.75062601321611</v>
      </c>
      <c r="N23" s="27">
        <f t="shared" si="6"/>
        <v>988.1296950991208</v>
      </c>
    </row>
    <row r="24" spans="1:16">
      <c r="A24" s="66">
        <v>23</v>
      </c>
      <c r="B24" s="26">
        <f t="shared" si="7"/>
        <v>46620</v>
      </c>
      <c r="C24" s="26">
        <f t="shared" si="0"/>
        <v>46620</v>
      </c>
      <c r="D24" s="27">
        <f t="shared" si="11"/>
        <v>17127.581381718093</v>
      </c>
      <c r="E24" s="27">
        <f t="shared" si="8"/>
        <v>1976.2593901982414</v>
      </c>
      <c r="F24" s="27">
        <f t="shared" si="12"/>
        <v>15151.321991519852</v>
      </c>
      <c r="G24" s="27">
        <f t="shared" si="1"/>
        <v>4545.3965974559551</v>
      </c>
      <c r="H24" s="67">
        <f t="shared" si="2"/>
        <v>31</v>
      </c>
      <c r="I24" s="18">
        <f t="shared" si="9"/>
        <v>9.6774193548387101E-3</v>
      </c>
      <c r="J24" s="27">
        <f t="shared" si="10"/>
        <v>146.6256966921276</v>
      </c>
      <c r="K24" s="58">
        <f t="shared" si="3"/>
        <v>0.96774193548387111</v>
      </c>
      <c r="L24" s="68">
        <f t="shared" si="4"/>
        <v>151.5132199151985</v>
      </c>
      <c r="M24" s="27">
        <f t="shared" si="5"/>
        <v>151.5132199151985</v>
      </c>
      <c r="N24" s="27">
        <f t="shared" si="6"/>
        <v>1136.3491493639888</v>
      </c>
    </row>
    <row r="25" spans="1:16">
      <c r="A25" s="66">
        <v>24</v>
      </c>
      <c r="B25" s="26">
        <f t="shared" si="7"/>
        <v>46651</v>
      </c>
      <c r="C25" s="26">
        <f t="shared" si="0"/>
        <v>46651</v>
      </c>
      <c r="D25" s="27">
        <f t="shared" si="11"/>
        <v>19696.718588975808</v>
      </c>
      <c r="E25" s="27">
        <f t="shared" si="8"/>
        <v>2272.6982987279775</v>
      </c>
      <c r="F25" s="27">
        <f t="shared" si="12"/>
        <v>17424.02029024783</v>
      </c>
      <c r="G25" s="27">
        <f t="shared" si="1"/>
        <v>5227.2060870743489</v>
      </c>
      <c r="H25" s="67">
        <f t="shared" si="2"/>
        <v>30</v>
      </c>
      <c r="I25" s="18">
        <f t="shared" si="9"/>
        <v>0.01</v>
      </c>
      <c r="J25" s="27">
        <f t="shared" si="10"/>
        <v>174.2402029024783</v>
      </c>
      <c r="K25" s="58">
        <f t="shared" si="3"/>
        <v>1</v>
      </c>
      <c r="L25" s="68">
        <f t="shared" si="4"/>
        <v>174.2402029024783</v>
      </c>
      <c r="M25" s="27">
        <f t="shared" si="5"/>
        <v>174.2402029024783</v>
      </c>
      <c r="N25" s="27">
        <f t="shared" si="6"/>
        <v>1306.8015217685872</v>
      </c>
    </row>
    <row r="26" spans="1:16">
      <c r="A26" s="64">
        <v>25</v>
      </c>
      <c r="B26" s="65">
        <f t="shared" si="7"/>
        <v>46681</v>
      </c>
      <c r="C26" s="65">
        <f t="shared" si="0"/>
        <v>46681</v>
      </c>
      <c r="D26" s="70">
        <f t="shared" si="11"/>
        <v>22651.226377322178</v>
      </c>
      <c r="E26" s="70">
        <f t="shared" si="8"/>
        <v>2613.6030435371745</v>
      </c>
      <c r="F26" s="70">
        <f t="shared" si="12"/>
        <v>20037.623333785003</v>
      </c>
      <c r="G26" s="70">
        <f t="shared" si="1"/>
        <v>6011.2870001355004</v>
      </c>
      <c r="H26" s="71">
        <f t="shared" si="2"/>
        <v>31</v>
      </c>
      <c r="I26" s="72">
        <f t="shared" si="9"/>
        <v>9.6774193548387101E-3</v>
      </c>
      <c r="J26" s="70">
        <f t="shared" si="10"/>
        <v>193.91248387533875</v>
      </c>
      <c r="K26" s="73">
        <f t="shared" si="3"/>
        <v>0.967741935483871</v>
      </c>
      <c r="L26" s="74">
        <f t="shared" si="4"/>
        <v>200.37623333785004</v>
      </c>
      <c r="M26" s="27">
        <f t="shared" si="5"/>
        <v>200.37623333785004</v>
      </c>
      <c r="N26" s="27">
        <f t="shared" si="6"/>
        <v>1502.8217500338753</v>
      </c>
    </row>
    <row r="27" spans="1:16">
      <c r="A27" s="66">
        <v>26</v>
      </c>
      <c r="B27" s="26">
        <f t="shared" si="7"/>
        <v>46712</v>
      </c>
      <c r="C27" s="26">
        <f t="shared" si="0"/>
        <v>46712</v>
      </c>
      <c r="D27" s="27">
        <f t="shared" si="11"/>
        <v>26048.910333920503</v>
      </c>
      <c r="E27" s="69">
        <f t="shared" si="8"/>
        <v>3005.6435000677502</v>
      </c>
      <c r="F27" s="27">
        <f t="shared" si="12"/>
        <v>23043.266833852751</v>
      </c>
      <c r="G27" s="27">
        <f t="shared" si="1"/>
        <v>6912.9800501558248</v>
      </c>
      <c r="H27" s="67">
        <f t="shared" si="2"/>
        <v>30</v>
      </c>
      <c r="I27" s="18">
        <f t="shared" si="9"/>
        <v>0.01</v>
      </c>
      <c r="J27" s="27">
        <f t="shared" si="10"/>
        <v>230.43266833852752</v>
      </c>
      <c r="K27" s="58">
        <f t="shared" si="3"/>
        <v>1</v>
      </c>
      <c r="L27" s="68">
        <f t="shared" si="4"/>
        <v>230.43266833852752</v>
      </c>
      <c r="M27" s="27">
        <f t="shared" si="5"/>
        <v>230.43266833852752</v>
      </c>
      <c r="N27" s="27">
        <f t="shared" si="6"/>
        <v>1728.2450125389564</v>
      </c>
    </row>
    <row r="28" spans="1:16">
      <c r="A28" s="66">
        <v>27</v>
      </c>
      <c r="B28" s="26">
        <f t="shared" si="7"/>
        <v>46742</v>
      </c>
      <c r="C28" s="26">
        <f t="shared" si="0"/>
        <v>46742</v>
      </c>
      <c r="D28" s="27">
        <f t="shared" si="11"/>
        <v>29956.246884008575</v>
      </c>
      <c r="E28" s="27">
        <f t="shared" si="8"/>
        <v>3456.4900250779124</v>
      </c>
      <c r="F28" s="27">
        <f t="shared" si="12"/>
        <v>26499.756858930661</v>
      </c>
      <c r="G28" s="27">
        <f t="shared" si="1"/>
        <v>7949.9270576791978</v>
      </c>
      <c r="H28" s="67">
        <f t="shared" si="2"/>
        <v>31</v>
      </c>
      <c r="I28" s="18">
        <f t="shared" si="9"/>
        <v>9.6774193548387101E-3</v>
      </c>
      <c r="J28" s="27">
        <f t="shared" si="10"/>
        <v>256.44925992513544</v>
      </c>
      <c r="K28" s="58">
        <f t="shared" si="3"/>
        <v>0.96774193548387089</v>
      </c>
      <c r="L28" s="68">
        <f t="shared" si="4"/>
        <v>264.99756858930664</v>
      </c>
      <c r="M28" s="27">
        <f t="shared" si="5"/>
        <v>264.99756858930664</v>
      </c>
      <c r="N28" s="27">
        <f t="shared" si="6"/>
        <v>1987.4817644197997</v>
      </c>
    </row>
    <row r="29" spans="1:16">
      <c r="A29" s="66">
        <v>28</v>
      </c>
      <c r="B29" s="26">
        <f t="shared" si="7"/>
        <v>46773</v>
      </c>
      <c r="C29" s="26">
        <f t="shared" si="0"/>
        <v>46773</v>
      </c>
      <c r="D29" s="27">
        <f t="shared" si="11"/>
        <v>34449.683916609858</v>
      </c>
      <c r="E29" s="27">
        <f t="shared" si="8"/>
        <v>3974.9635288395989</v>
      </c>
      <c r="F29" s="27">
        <f t="shared" si="12"/>
        <v>30474.72038777026</v>
      </c>
      <c r="G29" s="27">
        <f t="shared" si="1"/>
        <v>9142.4161163310782</v>
      </c>
      <c r="H29" s="67">
        <f t="shared" si="2"/>
        <v>31</v>
      </c>
      <c r="I29" s="18">
        <f t="shared" si="9"/>
        <v>9.6774193548387101E-3</v>
      </c>
      <c r="J29" s="27">
        <f t="shared" si="10"/>
        <v>294.91664891390576</v>
      </c>
      <c r="K29" s="58">
        <f t="shared" si="3"/>
        <v>0.96774193548387111</v>
      </c>
      <c r="L29" s="68">
        <f t="shared" si="4"/>
        <v>304.74720387770259</v>
      </c>
      <c r="M29" s="27">
        <f t="shared" si="5"/>
        <v>304.74720387770259</v>
      </c>
      <c r="N29" s="27">
        <f t="shared" si="6"/>
        <v>2285.6040290827696</v>
      </c>
    </row>
    <row r="30" spans="1:16">
      <c r="A30" s="66">
        <v>29</v>
      </c>
      <c r="B30" s="26">
        <f t="shared" si="7"/>
        <v>46804</v>
      </c>
      <c r="C30" s="26">
        <f t="shared" si="0"/>
        <v>46804</v>
      </c>
      <c r="D30" s="27">
        <f t="shared" si="11"/>
        <v>39617.136504101334</v>
      </c>
      <c r="E30" s="27">
        <f t="shared" si="8"/>
        <v>4571.2080581655391</v>
      </c>
      <c r="F30" s="27">
        <f t="shared" si="12"/>
        <v>35045.928445935795</v>
      </c>
      <c r="G30" s="27">
        <f t="shared" si="1"/>
        <v>10513.778533780738</v>
      </c>
      <c r="H30" s="67">
        <f t="shared" si="2"/>
        <v>29</v>
      </c>
      <c r="I30" s="18">
        <f t="shared" si="9"/>
        <v>1.0344827586206896E-2</v>
      </c>
      <c r="J30" s="27">
        <f t="shared" si="10"/>
        <v>362.54408737174958</v>
      </c>
      <c r="K30" s="58">
        <f t="shared" si="3"/>
        <v>1.0344827586206895</v>
      </c>
      <c r="L30" s="68">
        <f t="shared" si="4"/>
        <v>350.45928445935795</v>
      </c>
      <c r="M30" s="27">
        <f t="shared" si="5"/>
        <v>350.45928445935795</v>
      </c>
      <c r="N30" s="27">
        <f t="shared" si="6"/>
        <v>2628.4446334451845</v>
      </c>
    </row>
    <row r="31" spans="1:16">
      <c r="A31" s="66">
        <v>30</v>
      </c>
      <c r="B31" s="26">
        <f t="shared" si="7"/>
        <v>46833</v>
      </c>
      <c r="C31" s="26">
        <f t="shared" si="0"/>
        <v>46833</v>
      </c>
      <c r="D31" s="27">
        <f t="shared" si="11"/>
        <v>45559.706979716531</v>
      </c>
      <c r="E31" s="27">
        <f t="shared" si="8"/>
        <v>5256.8892668903691</v>
      </c>
      <c r="F31" s="27">
        <f t="shared" si="12"/>
        <v>40302.81771282616</v>
      </c>
      <c r="G31" s="27">
        <f t="shared" si="1"/>
        <v>12090.845313847847</v>
      </c>
      <c r="H31" s="67">
        <f t="shared" si="2"/>
        <v>31</v>
      </c>
      <c r="I31" s="18">
        <f t="shared" si="9"/>
        <v>9.6774193548387101E-3</v>
      </c>
      <c r="J31" s="27">
        <f t="shared" si="10"/>
        <v>390.02726818864028</v>
      </c>
      <c r="K31" s="58">
        <f t="shared" si="3"/>
        <v>0.96774193548387089</v>
      </c>
      <c r="L31" s="68">
        <f t="shared" si="4"/>
        <v>403.02817712826163</v>
      </c>
      <c r="M31" s="27">
        <f t="shared" si="5"/>
        <v>403.02817712826163</v>
      </c>
      <c r="N31" s="27">
        <f t="shared" si="6"/>
        <v>3022.7113284619622</v>
      </c>
    </row>
    <row r="32" spans="1:16">
      <c r="A32" s="66">
        <v>31</v>
      </c>
      <c r="B32" s="26">
        <f t="shared" si="7"/>
        <v>46864</v>
      </c>
      <c r="C32" s="26">
        <f t="shared" si="0"/>
        <v>46864</v>
      </c>
      <c r="D32" s="27">
        <f t="shared" si="11"/>
        <v>52393.66302667401</v>
      </c>
      <c r="E32" s="27">
        <f t="shared" si="8"/>
        <v>6045.4226569239236</v>
      </c>
      <c r="F32" s="27">
        <f t="shared" si="12"/>
        <v>46348.240369750085</v>
      </c>
      <c r="G32" s="27">
        <f t="shared" si="1"/>
        <v>13904.472110925026</v>
      </c>
      <c r="H32" s="67">
        <f t="shared" si="2"/>
        <v>30</v>
      </c>
      <c r="I32" s="18">
        <f t="shared" si="9"/>
        <v>0.01</v>
      </c>
      <c r="J32" s="27">
        <f t="shared" si="10"/>
        <v>463.48240369750084</v>
      </c>
      <c r="K32" s="58">
        <f t="shared" si="3"/>
        <v>1</v>
      </c>
      <c r="L32" s="68">
        <f t="shared" si="4"/>
        <v>463.48240369750084</v>
      </c>
      <c r="M32" s="27">
        <f t="shared" si="5"/>
        <v>463.48240369750084</v>
      </c>
      <c r="N32" s="27">
        <f t="shared" si="6"/>
        <v>3476.1180277312565</v>
      </c>
    </row>
    <row r="33" spans="1:14">
      <c r="A33" s="66">
        <v>32</v>
      </c>
      <c r="B33" s="26">
        <f t="shared" si="7"/>
        <v>46894</v>
      </c>
      <c r="C33" s="26">
        <f t="shared" si="0"/>
        <v>46894</v>
      </c>
      <c r="D33" s="27">
        <f t="shared" si="11"/>
        <v>60252.712480675109</v>
      </c>
      <c r="E33" s="27">
        <f t="shared" si="8"/>
        <v>6952.2360554625129</v>
      </c>
      <c r="F33" s="27">
        <f t="shared" si="12"/>
        <v>53300.476425212597</v>
      </c>
      <c r="G33" s="27">
        <f t="shared" si="1"/>
        <v>15990.142927563778</v>
      </c>
      <c r="H33" s="67">
        <f t="shared" si="2"/>
        <v>31</v>
      </c>
      <c r="I33" s="18">
        <f t="shared" si="9"/>
        <v>9.6774193548387101E-3</v>
      </c>
      <c r="J33" s="27">
        <f t="shared" si="10"/>
        <v>515.81106217947672</v>
      </c>
      <c r="K33" s="58">
        <f t="shared" si="3"/>
        <v>0.967741935483871</v>
      </c>
      <c r="L33" s="68">
        <f t="shared" si="4"/>
        <v>533.00476425212594</v>
      </c>
      <c r="M33" s="27">
        <f t="shared" si="5"/>
        <v>533.00476425212594</v>
      </c>
      <c r="N33" s="27">
        <f t="shared" si="6"/>
        <v>3997.5357318909446</v>
      </c>
    </row>
    <row r="34" spans="1:14">
      <c r="A34" s="66">
        <v>33</v>
      </c>
      <c r="B34" s="26">
        <f t="shared" si="7"/>
        <v>46925</v>
      </c>
      <c r="C34" s="26">
        <f t="shared" si="0"/>
        <v>46925</v>
      </c>
      <c r="D34" s="27">
        <f t="shared" si="11"/>
        <v>69290.619352776383</v>
      </c>
      <c r="E34" s="27">
        <f t="shared" si="8"/>
        <v>7995.0714637818892</v>
      </c>
      <c r="F34" s="27">
        <f t="shared" si="12"/>
        <v>61295.547888994493</v>
      </c>
      <c r="G34" s="27">
        <f t="shared" si="1"/>
        <v>18388.664366698347</v>
      </c>
      <c r="H34" s="67">
        <f t="shared" si="2"/>
        <v>30</v>
      </c>
      <c r="I34" s="18">
        <f t="shared" si="9"/>
        <v>0.01</v>
      </c>
      <c r="J34" s="27">
        <f t="shared" si="10"/>
        <v>612.95547888994497</v>
      </c>
      <c r="K34" s="58">
        <f t="shared" si="3"/>
        <v>1</v>
      </c>
      <c r="L34" s="68">
        <f t="shared" si="4"/>
        <v>612.95547888994497</v>
      </c>
      <c r="M34" s="27">
        <f t="shared" si="5"/>
        <v>612.95547888994497</v>
      </c>
      <c r="N34" s="27">
        <f t="shared" si="6"/>
        <v>4597.1660916745877</v>
      </c>
    </row>
    <row r="35" spans="1:14">
      <c r="A35" s="66">
        <v>34</v>
      </c>
      <c r="B35" s="26">
        <f t="shared" si="7"/>
        <v>46955</v>
      </c>
      <c r="C35" s="26">
        <f t="shared" si="0"/>
        <v>46955</v>
      </c>
      <c r="D35" s="27">
        <f t="shared" si="11"/>
        <v>79684.212255692837</v>
      </c>
      <c r="E35" s="27">
        <f t="shared" si="8"/>
        <v>9194.3321833491736</v>
      </c>
      <c r="F35" s="27">
        <f t="shared" si="12"/>
        <v>70489.880072343658</v>
      </c>
      <c r="G35" s="27">
        <f t="shared" si="1"/>
        <v>21146.964021703097</v>
      </c>
      <c r="H35" s="67">
        <f t="shared" si="2"/>
        <v>31</v>
      </c>
      <c r="I35" s="18">
        <f t="shared" si="9"/>
        <v>9.6774193548387101E-3</v>
      </c>
      <c r="J35" s="27">
        <f t="shared" si="10"/>
        <v>682.16012973235797</v>
      </c>
      <c r="K35" s="58">
        <f t="shared" si="3"/>
        <v>0.967741935483871</v>
      </c>
      <c r="L35" s="68">
        <f t="shared" si="4"/>
        <v>704.89880072343658</v>
      </c>
      <c r="M35" s="27">
        <f t="shared" si="5"/>
        <v>704.89880072343658</v>
      </c>
      <c r="N35" s="27">
        <f t="shared" si="6"/>
        <v>5286.7410054257743</v>
      </c>
    </row>
    <row r="36" spans="1:14">
      <c r="A36" s="66">
        <v>35</v>
      </c>
      <c r="B36" s="26">
        <f t="shared" si="7"/>
        <v>46986</v>
      </c>
      <c r="C36" s="26">
        <f t="shared" si="0"/>
        <v>46986</v>
      </c>
      <c r="D36" s="27">
        <f t="shared" si="11"/>
        <v>91636.844094046755</v>
      </c>
      <c r="E36" s="27">
        <f t="shared" si="8"/>
        <v>10573.482010851549</v>
      </c>
      <c r="F36" s="27">
        <f t="shared" si="12"/>
        <v>81063.362083195214</v>
      </c>
      <c r="G36" s="27">
        <f t="shared" si="1"/>
        <v>24319.008624958562</v>
      </c>
      <c r="H36" s="67">
        <f t="shared" si="2"/>
        <v>31</v>
      </c>
      <c r="I36" s="18">
        <f t="shared" si="9"/>
        <v>9.6774193548387101E-3</v>
      </c>
      <c r="J36" s="27">
        <f t="shared" si="10"/>
        <v>784.48414919221182</v>
      </c>
      <c r="K36" s="58">
        <f t="shared" si="3"/>
        <v>0.967741935483871</v>
      </c>
      <c r="L36" s="68">
        <f t="shared" si="4"/>
        <v>810.63362083195216</v>
      </c>
      <c r="M36" s="27">
        <f t="shared" si="5"/>
        <v>810.63362083195216</v>
      </c>
      <c r="N36" s="27">
        <f t="shared" si="6"/>
        <v>6079.7521562396414</v>
      </c>
    </row>
    <row r="37" spans="1:14">
      <c r="A37" s="66">
        <v>36</v>
      </c>
      <c r="B37" s="26">
        <f t="shared" si="7"/>
        <v>47017</v>
      </c>
      <c r="C37" s="26">
        <f t="shared" si="0"/>
        <v>47017</v>
      </c>
      <c r="D37" s="27">
        <f t="shared" si="11"/>
        <v>105382.37070815377</v>
      </c>
      <c r="E37" s="27">
        <f t="shared" si="8"/>
        <v>12159.504312479281</v>
      </c>
      <c r="F37" s="27">
        <f t="shared" si="12"/>
        <v>93222.866395674486</v>
      </c>
      <c r="G37" s="27">
        <f t="shared" si="1"/>
        <v>27966.859918702346</v>
      </c>
      <c r="H37" s="67"/>
      <c r="I37" s="18"/>
      <c r="J37" s="27">
        <f t="shared" si="10"/>
        <v>0</v>
      </c>
      <c r="K37" s="58">
        <f t="shared" si="3"/>
        <v>0</v>
      </c>
      <c r="L37" s="68">
        <f t="shared" si="4"/>
        <v>932.22866395674487</v>
      </c>
      <c r="M37" s="27">
        <f t="shared" si="5"/>
        <v>932.22866395674487</v>
      </c>
      <c r="N37" s="27">
        <f t="shared" si="6"/>
        <v>6991.7149796755866</v>
      </c>
    </row>
  </sheetData>
  <mergeCells count="6">
    <mergeCell ref="O5:P5"/>
    <mergeCell ref="O13:P13"/>
    <mergeCell ref="O17:P17"/>
    <mergeCell ref="S4:T4"/>
    <mergeCell ref="S7:T7"/>
    <mergeCell ref="S8:T8"/>
  </mergeCells>
  <conditionalFormatting sqref="A14:B14 D14:I14 K14">
    <cfRule type="expression" dxfId="18" priority="3" stopIfTrue="1">
      <formula>($B$14=$P$18)</formula>
    </cfRule>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
  <sheetViews>
    <sheetView workbookViewId="0">
      <selection activeCell="D2" sqref="D2"/>
    </sheetView>
  </sheetViews>
  <sheetFormatPr defaultColWidth="11.42578125" defaultRowHeight="15"/>
  <cols>
    <col min="1" max="1" width="16.85546875" bestFit="1" customWidth="1"/>
    <col min="2" max="2" width="12.85546875" customWidth="1"/>
    <col min="3" max="3" width="9" customWidth="1"/>
    <col min="4" max="4" width="11.85546875" customWidth="1"/>
    <col min="5" max="5" width="8.42578125" bestFit="1" customWidth="1"/>
    <col min="6" max="6" width="7.7109375" bestFit="1" customWidth="1"/>
    <col min="7" max="7" width="12.85546875" bestFit="1" customWidth="1"/>
  </cols>
  <sheetData>
    <row r="1" spans="1:7">
      <c r="A1" s="55" t="s">
        <v>964</v>
      </c>
      <c r="B1" s="56" t="s">
        <v>965</v>
      </c>
      <c r="C1" s="56" t="s">
        <v>966</v>
      </c>
      <c r="D1" s="56" t="s">
        <v>967</v>
      </c>
      <c r="E1" s="56" t="s">
        <v>966</v>
      </c>
    </row>
    <row r="2" spans="1:7">
      <c r="A2" s="49" t="s">
        <v>398</v>
      </c>
      <c r="B2" s="61">
        <f>SUM(B4:B8)</f>
        <v>297.69890755043576</v>
      </c>
      <c r="C2" s="63">
        <f>SUM(C4:C8)</f>
        <v>0.99999999999999989</v>
      </c>
      <c r="D2" s="62" t="e">
        <f>#REF!+0</f>
        <v>#REF!</v>
      </c>
      <c r="E2" s="63" t="e">
        <f>(D2-B2)/B2</f>
        <v>#REF!</v>
      </c>
      <c r="F2" s="50"/>
    </row>
    <row r="3" spans="1:7">
      <c r="B3" s="50"/>
      <c r="D3" s="50"/>
    </row>
    <row r="4" spans="1:7">
      <c r="A4" t="s">
        <v>968</v>
      </c>
      <c r="B4" s="50">
        <v>5.4938695562496047</v>
      </c>
      <c r="C4" s="18">
        <f t="shared" ref="C4:C7" si="0">B4/$B$2</f>
        <v>1.8454449838109805E-2</v>
      </c>
      <c r="D4" s="50" t="e">
        <f t="shared" ref="D4:D7" si="1">$D$2*C4</f>
        <v>#REF!</v>
      </c>
      <c r="E4" s="98"/>
      <c r="F4" s="50"/>
    </row>
    <row r="5" spans="1:7">
      <c r="A5" t="s">
        <v>969</v>
      </c>
      <c r="B5" s="50">
        <v>5.7229409898235017</v>
      </c>
      <c r="C5" s="18">
        <f t="shared" si="0"/>
        <v>1.9223923382567093E-2</v>
      </c>
      <c r="D5" s="50" t="e">
        <f t="shared" si="1"/>
        <v>#REF!</v>
      </c>
      <c r="E5" s="98"/>
      <c r="F5" s="50"/>
    </row>
    <row r="6" spans="1:7">
      <c r="A6" t="s">
        <v>970</v>
      </c>
      <c r="B6" s="50">
        <v>29.972097004362656</v>
      </c>
      <c r="C6" s="18">
        <f t="shared" si="0"/>
        <v>0.10067923074015588</v>
      </c>
      <c r="D6" s="50" t="e">
        <f t="shared" si="1"/>
        <v>#REF!</v>
      </c>
      <c r="E6" s="98"/>
      <c r="F6" s="50"/>
    </row>
    <row r="7" spans="1:7">
      <c r="A7" t="s">
        <v>971</v>
      </c>
      <c r="B7" s="50">
        <v>256.51</v>
      </c>
      <c r="C7" s="18">
        <f t="shared" si="0"/>
        <v>0.86164239603916715</v>
      </c>
      <c r="D7" s="50" t="e">
        <f t="shared" si="1"/>
        <v>#REF!</v>
      </c>
      <c r="E7" s="18"/>
      <c r="F7" s="50"/>
    </row>
    <row r="8" spans="1:7">
      <c r="B8" s="50"/>
      <c r="D8" s="50"/>
    </row>
    <row r="9" spans="1:7">
      <c r="A9" t="s">
        <v>972</v>
      </c>
      <c r="B9" s="51">
        <f>B2-SUM(B4:B8)</f>
        <v>0</v>
      </c>
      <c r="C9" s="52"/>
      <c r="D9" s="51" t="e">
        <f>D2-SUM(D4:D8)</f>
        <v>#REF!</v>
      </c>
    </row>
    <row r="10" spans="1:7">
      <c r="B10" s="50"/>
      <c r="D10" s="50"/>
      <c r="E10" s="18">
        <v>0.8</v>
      </c>
      <c r="F10" s="53" t="s">
        <v>973</v>
      </c>
    </row>
    <row r="11" spans="1:7">
      <c r="A11" t="str">
        <f t="shared" ref="A11:B14" si="2">A4</f>
        <v>Ysi</v>
      </c>
      <c r="B11" s="50">
        <f t="shared" si="2"/>
        <v>5.4938695562496047</v>
      </c>
      <c r="C11" s="54" t="e">
        <f t="shared" ref="C11:C13" si="3">D11-B11</f>
        <v>#REF!</v>
      </c>
      <c r="D11" s="50" t="e">
        <f>D4</f>
        <v>#REF!</v>
      </c>
      <c r="E11" s="50" t="e">
        <f>C11*1</f>
        <v>#REF!</v>
      </c>
      <c r="F11" s="50" t="e">
        <f t="shared" ref="F11:F13" si="4">B11+E11</f>
        <v>#REF!</v>
      </c>
    </row>
    <row r="12" spans="1:7">
      <c r="A12" t="str">
        <f t="shared" si="2"/>
        <v>Roso</v>
      </c>
      <c r="B12" s="50">
        <f t="shared" si="2"/>
        <v>5.7229409898235017</v>
      </c>
      <c r="C12" s="54" t="e">
        <f t="shared" si="3"/>
        <v>#REF!</v>
      </c>
      <c r="D12" s="50" t="e">
        <f>D5</f>
        <v>#REF!</v>
      </c>
      <c r="E12" s="50" t="e">
        <f>C12*1</f>
        <v>#REF!</v>
      </c>
      <c r="F12" s="50" t="e">
        <f t="shared" si="4"/>
        <v>#REF!</v>
      </c>
    </row>
    <row r="13" spans="1:7">
      <c r="A13" t="str">
        <f t="shared" si="2"/>
        <v>Sarahi</v>
      </c>
      <c r="B13" s="50">
        <f t="shared" si="2"/>
        <v>29.972097004362656</v>
      </c>
      <c r="C13" s="54" t="e">
        <f t="shared" si="3"/>
        <v>#REF!</v>
      </c>
      <c r="D13" s="50" t="e">
        <f>D6</f>
        <v>#REF!</v>
      </c>
      <c r="E13" s="50" t="e">
        <f t="shared" ref="E13" si="5">C13*0.8</f>
        <v>#REF!</v>
      </c>
      <c r="F13" s="50" t="e">
        <f t="shared" si="4"/>
        <v>#REF!</v>
      </c>
    </row>
    <row r="14" spans="1:7">
      <c r="A14" t="str">
        <f t="shared" si="2"/>
        <v>Franklin</v>
      </c>
      <c r="B14" s="50">
        <f t="shared" si="2"/>
        <v>256.51</v>
      </c>
      <c r="C14" s="54" t="e">
        <f t="shared" ref="C14" si="6">D14-B14</f>
        <v>#REF!</v>
      </c>
      <c r="D14" s="50" t="e">
        <f>D7</f>
        <v>#REF!</v>
      </c>
      <c r="E14" s="50" t="e">
        <f>C14*1</f>
        <v>#REF!</v>
      </c>
      <c r="F14" s="50" t="e">
        <f t="shared" ref="F14" si="7">B14+E14</f>
        <v>#REF!</v>
      </c>
      <c r="G14" s="2"/>
    </row>
    <row r="15" spans="1:7">
      <c r="D15" s="50"/>
      <c r="E15" s="50"/>
    </row>
    <row r="16" spans="1:7">
      <c r="D16" s="50"/>
      <c r="E16" s="50"/>
      <c r="F16" s="50"/>
    </row>
    <row r="17" spans="3:7">
      <c r="D17" s="50"/>
      <c r="E17" s="50"/>
      <c r="F17" s="50"/>
    </row>
    <row r="18" spans="3:7">
      <c r="D18" s="50"/>
      <c r="E18" s="50"/>
      <c r="F18" s="50"/>
    </row>
    <row r="19" spans="3:7">
      <c r="D19" s="50"/>
      <c r="E19" s="50"/>
      <c r="F19" s="50"/>
    </row>
    <row r="20" spans="3:7">
      <c r="D20" s="50"/>
      <c r="E20" s="50"/>
      <c r="F20" s="50"/>
      <c r="G20" s="50"/>
    </row>
    <row r="21" spans="3:7">
      <c r="D21" s="50"/>
      <c r="E21" s="50"/>
      <c r="F21" s="50"/>
    </row>
    <row r="22" spans="3:7">
      <c r="F22" s="50"/>
    </row>
    <row r="28" spans="3:7">
      <c r="C28" s="88"/>
      <c r="D28" s="89">
        <v>26.382633317159424</v>
      </c>
      <c r="E28" s="90">
        <v>20</v>
      </c>
    </row>
    <row r="29" spans="3:7">
      <c r="C29" s="91">
        <v>0.54514024243546766</v>
      </c>
      <c r="D29" s="87">
        <v>14.382235122602335</v>
      </c>
      <c r="E29" s="92">
        <f>$E$28*C29</f>
        <v>10.902804848709353</v>
      </c>
    </row>
    <row r="30" spans="3:7">
      <c r="C30" s="93">
        <v>0.4548597575645324</v>
      </c>
      <c r="D30" s="94">
        <v>12.000398194557091</v>
      </c>
      <c r="E30" s="95">
        <f>$E$28*C30</f>
        <v>9.0971951512906486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5"/>
  <sheetViews>
    <sheetView workbookViewId="0">
      <selection activeCell="H3" sqref="H3"/>
    </sheetView>
  </sheetViews>
  <sheetFormatPr defaultColWidth="9.140625" defaultRowHeight="15"/>
  <cols>
    <col min="1" max="1" width="8.42578125" bestFit="1" customWidth="1"/>
    <col min="2" max="2" width="6.28515625" customWidth="1"/>
    <col min="3" max="3" width="14.5703125" customWidth="1"/>
    <col min="4" max="4" width="8" bestFit="1" customWidth="1"/>
    <col min="5" max="5" width="5.7109375" bestFit="1" customWidth="1"/>
    <col min="6" max="6" width="9.5703125" style="101" bestFit="1" customWidth="1"/>
    <col min="7" max="7" width="8.42578125" bestFit="1" customWidth="1"/>
    <col min="8" max="8" width="6.28515625" bestFit="1" customWidth="1"/>
    <col min="9" max="9" width="14.5703125" bestFit="1" customWidth="1"/>
    <col min="10" max="10" width="7.28515625" bestFit="1" customWidth="1"/>
    <col min="11" max="11" width="5.7109375" bestFit="1" customWidth="1"/>
    <col min="12" max="12" width="3.140625" bestFit="1" customWidth="1"/>
  </cols>
  <sheetData>
    <row r="1" spans="1:13">
      <c r="A1" s="5" t="s">
        <v>916</v>
      </c>
      <c r="B1" s="4" t="s">
        <v>2</v>
      </c>
      <c r="C1" s="5" t="s">
        <v>3</v>
      </c>
      <c r="D1" s="6" t="s">
        <v>4</v>
      </c>
      <c r="E1" s="6" t="s">
        <v>5</v>
      </c>
      <c r="F1" s="100"/>
      <c r="G1" s="112" t="s">
        <v>916</v>
      </c>
      <c r="H1" s="113" t="s">
        <v>2</v>
      </c>
      <c r="I1" s="114" t="s">
        <v>3</v>
      </c>
      <c r="J1" s="115" t="s">
        <v>4</v>
      </c>
      <c r="K1" s="115" t="s">
        <v>5</v>
      </c>
      <c r="L1" s="116"/>
    </row>
    <row r="2" spans="1:13">
      <c r="A2" s="118">
        <v>2.98</v>
      </c>
      <c r="B2" s="118">
        <v>1.36</v>
      </c>
      <c r="C2" s="118">
        <f>(A2*B2)-A2</f>
        <v>1.0728000000000004</v>
      </c>
      <c r="D2" s="119">
        <f>SUM(C$2:$C2)/SUM(A$2:$A2)</f>
        <v>0.36000000000000015</v>
      </c>
      <c r="E2" s="118">
        <f>C2</f>
        <v>1.0728000000000004</v>
      </c>
      <c r="F2" s="120">
        <v>44192</v>
      </c>
      <c r="G2" s="121">
        <v>3</v>
      </c>
      <c r="H2" s="122">
        <v>1.21</v>
      </c>
      <c r="I2" s="122">
        <f>(G2*H2)-G2</f>
        <v>0.62999999999999989</v>
      </c>
      <c r="J2" s="123">
        <f>SUM($I$2:I2)/SUM($G$2:G2)</f>
        <v>0.20999999999999996</v>
      </c>
      <c r="K2" s="122">
        <f>I2</f>
        <v>0.62999999999999989</v>
      </c>
      <c r="L2" s="104">
        <v>1</v>
      </c>
    </row>
    <row r="3" spans="1:13">
      <c r="A3" s="37">
        <f>A2+C2</f>
        <v>4.0528000000000004</v>
      </c>
      <c r="B3" s="37">
        <v>1</v>
      </c>
      <c r="C3" s="37">
        <f t="shared" ref="C3:C4" si="0">(A3*B3)-A3</f>
        <v>0</v>
      </c>
      <c r="D3" s="48">
        <f>SUM(C$2:$C3)/SUM(A$2:$A3)</f>
        <v>0.152542372881356</v>
      </c>
      <c r="E3" s="37">
        <f t="shared" ref="E3:E4" si="1">E2+C3</f>
        <v>1.0728000000000004</v>
      </c>
      <c r="F3" s="102"/>
      <c r="G3" s="103">
        <f>G2+I2</f>
        <v>3.63</v>
      </c>
      <c r="H3" s="37">
        <v>1</v>
      </c>
      <c r="I3" s="37">
        <f t="shared" ref="I3:I11" si="2">(G3*H3)-G3</f>
        <v>0</v>
      </c>
      <c r="J3" s="47">
        <f>SUM($I$2:I3)/SUM($G$2:G3)</f>
        <v>9.5022624434389122E-2</v>
      </c>
      <c r="K3" s="37">
        <f t="shared" ref="K3:K11" si="3">K2+I3</f>
        <v>0.62999999999999989</v>
      </c>
      <c r="L3" s="104">
        <v>2</v>
      </c>
      <c r="M3" t="s">
        <v>974</v>
      </c>
    </row>
    <row r="4" spans="1:13">
      <c r="A4" s="37">
        <f t="shared" ref="A4:A11" si="4">A3+C3</f>
        <v>4.0528000000000004</v>
      </c>
      <c r="B4" s="37">
        <v>1</v>
      </c>
      <c r="C4" s="37">
        <f t="shared" si="0"/>
        <v>0</v>
      </c>
      <c r="D4" s="48">
        <f>SUM(C$2:$C4)/SUM(A$2:$A4)</f>
        <v>9.6774193548387136E-2</v>
      </c>
      <c r="E4" s="37">
        <f t="shared" si="1"/>
        <v>1.0728000000000004</v>
      </c>
      <c r="F4" s="102"/>
      <c r="G4" s="103">
        <f t="shared" ref="G4:G11" si="5">G3+I3</f>
        <v>3.63</v>
      </c>
      <c r="H4" s="37">
        <v>1</v>
      </c>
      <c r="I4" s="37">
        <f t="shared" si="2"/>
        <v>0</v>
      </c>
      <c r="J4" s="47">
        <f>SUM($I$2:I4)/SUM($G$2:G4)</f>
        <v>6.1403508771929814E-2</v>
      </c>
      <c r="K4" s="37">
        <f t="shared" si="3"/>
        <v>0.62999999999999989</v>
      </c>
      <c r="L4" s="104">
        <v>3</v>
      </c>
    </row>
    <row r="5" spans="1:13">
      <c r="A5" s="37">
        <f t="shared" si="4"/>
        <v>4.0528000000000004</v>
      </c>
      <c r="B5" s="37">
        <v>1</v>
      </c>
      <c r="C5" s="37">
        <f t="shared" ref="C5:C11" si="6">(A5*B5)-A5</f>
        <v>0</v>
      </c>
      <c r="D5" s="48">
        <f>SUM(C$2:$C5)/SUM(A$2:$A5)</f>
        <v>7.0866141732283491E-2</v>
      </c>
      <c r="E5" s="37">
        <f t="shared" ref="E5:E11" si="7">E4+C5</f>
        <v>1.0728000000000004</v>
      </c>
      <c r="F5" s="102"/>
      <c r="G5" s="108">
        <f t="shared" si="5"/>
        <v>3.63</v>
      </c>
      <c r="H5" s="40">
        <v>1</v>
      </c>
      <c r="I5" s="40">
        <f t="shared" si="2"/>
        <v>0</v>
      </c>
      <c r="J5" s="48">
        <f>SUM($I$2:I5)/SUM($G$2:G5)</f>
        <v>4.5356371490280767E-2</v>
      </c>
      <c r="K5" s="40">
        <f t="shared" si="3"/>
        <v>0.62999999999999989</v>
      </c>
      <c r="L5" s="104">
        <v>4</v>
      </c>
    </row>
    <row r="6" spans="1:13">
      <c r="A6" s="37">
        <f t="shared" si="4"/>
        <v>4.0528000000000004</v>
      </c>
      <c r="B6" s="37">
        <v>1</v>
      </c>
      <c r="C6" s="37">
        <f t="shared" si="6"/>
        <v>0</v>
      </c>
      <c r="D6" s="48">
        <f>SUM(C$2:$C6)/SUM(A$2:$A6)</f>
        <v>5.5900621118012438E-2</v>
      </c>
      <c r="E6" s="37">
        <f t="shared" si="7"/>
        <v>1.0728000000000004</v>
      </c>
      <c r="F6" s="102"/>
      <c r="G6" s="117">
        <f>G2*1/2</f>
        <v>1.5</v>
      </c>
      <c r="H6" s="97">
        <v>1</v>
      </c>
      <c r="I6" s="97">
        <f t="shared" si="2"/>
        <v>0</v>
      </c>
      <c r="J6" s="96">
        <f>SUM($I$2:I6)/SUM($G$2:G6)</f>
        <v>4.0935672514619874E-2</v>
      </c>
      <c r="K6" s="97">
        <f t="shared" si="3"/>
        <v>0.62999999999999989</v>
      </c>
      <c r="L6" s="106">
        <v>5</v>
      </c>
    </row>
    <row r="7" spans="1:13">
      <c r="A7" s="37">
        <f t="shared" si="4"/>
        <v>4.0528000000000004</v>
      </c>
      <c r="B7" s="37">
        <v>1</v>
      </c>
      <c r="C7" s="37">
        <f t="shared" si="6"/>
        <v>0</v>
      </c>
      <c r="D7" s="48">
        <f>SUM(C$2:$C7)/SUM(A$2:$A7)</f>
        <v>4.6153846153846163E-2</v>
      </c>
      <c r="E7" s="37">
        <f t="shared" si="7"/>
        <v>1.0728000000000004</v>
      </c>
      <c r="F7" s="102"/>
      <c r="G7" s="103">
        <f t="shared" si="5"/>
        <v>1.5</v>
      </c>
      <c r="H7" s="37">
        <v>1</v>
      </c>
      <c r="I7" s="37">
        <f t="shared" si="2"/>
        <v>0</v>
      </c>
      <c r="J7" s="47">
        <f>SUM($I$2:I7)/SUM($G$2:G7)</f>
        <v>3.7300177619893418E-2</v>
      </c>
      <c r="K7" s="37">
        <f t="shared" si="3"/>
        <v>0.62999999999999989</v>
      </c>
      <c r="L7" s="107">
        <v>6</v>
      </c>
    </row>
    <row r="8" spans="1:13">
      <c r="A8" s="37">
        <f t="shared" si="4"/>
        <v>4.0528000000000004</v>
      </c>
      <c r="B8" s="37">
        <v>1</v>
      </c>
      <c r="C8" s="37">
        <f t="shared" si="6"/>
        <v>0</v>
      </c>
      <c r="D8" s="48">
        <f>SUM(C$2:$C8)/SUM(A$2:$A8)</f>
        <v>3.9301310043668131E-2</v>
      </c>
      <c r="E8" s="37">
        <f t="shared" si="7"/>
        <v>1.0728000000000004</v>
      </c>
      <c r="F8" s="102"/>
      <c r="G8" s="108">
        <f t="shared" si="5"/>
        <v>1.5</v>
      </c>
      <c r="H8" s="40">
        <v>1</v>
      </c>
      <c r="I8" s="40">
        <f t="shared" si="2"/>
        <v>0</v>
      </c>
      <c r="J8" s="48">
        <f>SUM($I$2:I8)/SUM($G$2:G8)</f>
        <v>3.4257748776508966E-2</v>
      </c>
      <c r="K8" s="40">
        <f t="shared" si="3"/>
        <v>0.62999999999999989</v>
      </c>
      <c r="L8" s="107">
        <v>7</v>
      </c>
    </row>
    <row r="9" spans="1:13">
      <c r="A9" s="37">
        <f t="shared" si="4"/>
        <v>4.0528000000000004</v>
      </c>
      <c r="B9" s="37">
        <v>1</v>
      </c>
      <c r="C9" s="37">
        <f t="shared" si="6"/>
        <v>0</v>
      </c>
      <c r="D9" s="48">
        <f>SUM(C$2:$C9)/SUM(A$2:$A9)</f>
        <v>3.4220532319391643E-2</v>
      </c>
      <c r="E9" s="37">
        <f t="shared" si="7"/>
        <v>1.0728000000000004</v>
      </c>
      <c r="F9" s="102"/>
      <c r="G9" s="117">
        <f>G6*2</f>
        <v>3</v>
      </c>
      <c r="H9" s="97">
        <v>1</v>
      </c>
      <c r="I9" s="97">
        <f t="shared" si="2"/>
        <v>0</v>
      </c>
      <c r="J9" s="96">
        <f>SUM($I$2:I9)/SUM($G$2:G9)</f>
        <v>2.9453015427769982E-2</v>
      </c>
      <c r="K9" s="97">
        <f t="shared" si="3"/>
        <v>0.62999999999999989</v>
      </c>
      <c r="L9" s="109">
        <v>8</v>
      </c>
    </row>
    <row r="10" spans="1:13">
      <c r="A10" s="37">
        <f t="shared" si="4"/>
        <v>4.0528000000000004</v>
      </c>
      <c r="B10" s="37">
        <v>1</v>
      </c>
      <c r="C10" s="37">
        <f t="shared" si="6"/>
        <v>0</v>
      </c>
      <c r="D10" s="48">
        <f>SUM(C$2:$C10)/SUM(A$2:$A10)</f>
        <v>3.0303030303030307E-2</v>
      </c>
      <c r="E10" s="37">
        <f t="shared" si="7"/>
        <v>1.0728000000000004</v>
      </c>
      <c r="F10" s="102"/>
      <c r="G10" s="103">
        <f t="shared" si="5"/>
        <v>3</v>
      </c>
      <c r="H10" s="37">
        <v>1</v>
      </c>
      <c r="I10" s="37">
        <f t="shared" si="2"/>
        <v>0</v>
      </c>
      <c r="J10" s="47">
        <f>SUM($I$2:I10)/SUM($G$2:G10)</f>
        <v>2.5830258302583019E-2</v>
      </c>
      <c r="K10" s="37">
        <f t="shared" si="3"/>
        <v>0.62999999999999989</v>
      </c>
      <c r="L10" s="110">
        <v>9</v>
      </c>
    </row>
    <row r="11" spans="1:13">
      <c r="A11" s="37">
        <f t="shared" si="4"/>
        <v>4.0528000000000004</v>
      </c>
      <c r="B11" s="37">
        <v>1</v>
      </c>
      <c r="C11" s="39">
        <f t="shared" si="6"/>
        <v>0</v>
      </c>
      <c r="D11" s="47">
        <f>SUM(C$2:$C11)/SUM(A$2:$A11)</f>
        <v>2.7190332326283994E-2</v>
      </c>
      <c r="E11" s="41">
        <f t="shared" si="7"/>
        <v>1.0728000000000004</v>
      </c>
      <c r="F11" s="102"/>
      <c r="G11" s="105">
        <f t="shared" si="5"/>
        <v>3</v>
      </c>
      <c r="H11" s="38">
        <v>1</v>
      </c>
      <c r="I11" s="38">
        <f t="shared" si="2"/>
        <v>0</v>
      </c>
      <c r="J11" s="59">
        <f>SUM($I$2:I11)/SUM($G$2:G11)</f>
        <v>2.3001095290251912E-2</v>
      </c>
      <c r="K11" s="38">
        <f t="shared" si="3"/>
        <v>0.62999999999999989</v>
      </c>
      <c r="L11" s="111">
        <v>10</v>
      </c>
    </row>
    <row r="15" spans="1:13">
      <c r="F15"/>
    </row>
    <row r="16" spans="1:13">
      <c r="F16"/>
    </row>
    <row r="17" spans="6:6">
      <c r="F17"/>
    </row>
    <row r="18" spans="6:6">
      <c r="F18"/>
    </row>
    <row r="19" spans="6:6">
      <c r="F19"/>
    </row>
    <row r="20" spans="6:6">
      <c r="F20"/>
    </row>
    <row r="21" spans="6:6">
      <c r="F21"/>
    </row>
    <row r="22" spans="6:6">
      <c r="F22"/>
    </row>
    <row r="23" spans="6:6">
      <c r="F23"/>
    </row>
    <row r="24" spans="6:6">
      <c r="F24"/>
    </row>
    <row r="25" spans="6:6">
      <c r="F25"/>
    </row>
  </sheetData>
  <conditionalFormatting sqref="D2:D11">
    <cfRule type="cellIs" dxfId="1" priority="1" stopIfTrue="1" operator="greaterThan">
      <formula>5</formula>
    </cfRule>
  </conditionalFormatting>
  <conditionalFormatting sqref="J2:J11">
    <cfRule type="cellIs" dxfId="0" priority="8" stopIfTrue="1" operator="greaterThan">
      <formula>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Franklin</dc:creator>
  <cp:keywords/>
  <dc:description/>
  <cp:lastModifiedBy/>
  <cp:revision/>
  <dcterms:created xsi:type="dcterms:W3CDTF">2017-07-09T17:05:11Z</dcterms:created>
  <dcterms:modified xsi:type="dcterms:W3CDTF">2026-02-12T13:24:45Z</dcterms:modified>
  <cp:category/>
  <cp:contentStatus/>
</cp:coreProperties>
</file>