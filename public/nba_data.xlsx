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08A2E217-F319-4B61-8218-D3B114B316D1}"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4178"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17" i="17" l="1"/>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166" i="17"/>
  <c r="I848" i="17"/>
  <c r="L848" i="17" s="1"/>
  <c r="I798" i="17"/>
  <c r="L798" i="17" s="1"/>
  <c r="I774" i="17"/>
  <c r="L774" i="17" s="1"/>
  <c r="I1160" i="17"/>
  <c r="C1160" i="17"/>
  <c r="C1155" i="17"/>
  <c r="C1154" i="17"/>
  <c r="J1153" i="17"/>
  <c r="I1153" i="17"/>
  <c r="C1153" i="17"/>
  <c r="K1152" i="17"/>
  <c r="C1152" i="17"/>
  <c r="K1151" i="17"/>
  <c r="C1151" i="17"/>
  <c r="K1150" i="17"/>
  <c r="C1150" i="17"/>
  <c r="K1149" i="17"/>
  <c r="K1153" i="17" s="1"/>
  <c r="C1147" i="17"/>
  <c r="C1146" i="17"/>
  <c r="C1145" i="17"/>
  <c r="C1144" i="17"/>
  <c r="C1143" i="17"/>
  <c r="C1142" i="17"/>
  <c r="I756" i="17"/>
  <c r="L756" i="17" s="1"/>
  <c r="I753" i="17"/>
  <c r="L753" i="17" s="1"/>
  <c r="I738" i="17"/>
  <c r="L738" i="17" s="1"/>
  <c r="I729" i="17"/>
  <c r="L729" i="17" s="1"/>
  <c r="I717" i="17"/>
  <c r="L717" i="17" s="1"/>
  <c r="E1160" i="17"/>
  <c r="F1160"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J1117" i="17" l="1"/>
  <c r="I1117" i="17"/>
  <c r="L1117" i="17" s="1"/>
  <c r="F1117" i="17"/>
  <c r="F1116" i="17"/>
  <c r="F1115" i="17"/>
  <c r="F1114" i="17"/>
  <c r="F1113" i="17"/>
  <c r="F1112" i="17"/>
  <c r="F1111" i="17"/>
  <c r="F1110" i="17"/>
  <c r="F1109" i="17"/>
  <c r="F1108" i="17"/>
  <c r="F1107" i="17"/>
  <c r="F1106" i="17"/>
  <c r="F1105" i="17"/>
  <c r="F1104" i="17"/>
  <c r="G1103" i="17"/>
  <c r="G1104" i="17" s="1"/>
  <c r="G1105" i="17" s="1"/>
  <c r="G1106" i="17" s="1"/>
  <c r="G1107" i="17" s="1"/>
  <c r="G1108" i="17" s="1"/>
  <c r="G1109" i="17" s="1"/>
  <c r="G1110" i="17" s="1"/>
  <c r="G1111" i="17" s="1"/>
  <c r="G1112" i="17" s="1"/>
  <c r="G1113" i="17" s="1"/>
  <c r="G1114" i="17" s="1"/>
  <c r="G1115" i="17" s="1"/>
  <c r="G1116" i="17" s="1"/>
  <c r="G1117" i="17" s="1"/>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142" i="17"/>
  <c r="F2" i="17"/>
  <c r="E1143" i="17"/>
  <c r="F1143" i="17" s="1"/>
  <c r="E1144" i="17"/>
  <c r="F1144" i="17" s="1"/>
  <c r="E1145" i="17"/>
  <c r="J125" i="17"/>
  <c r="I21" i="17"/>
  <c r="L21" i="17" s="1"/>
  <c r="E1146" i="17"/>
  <c r="F1146" i="17" s="1"/>
  <c r="J180" i="17"/>
  <c r="I134" i="17"/>
  <c r="L134" i="17" s="1"/>
  <c r="E1147" i="17"/>
  <c r="F1147" i="17" s="1"/>
  <c r="J263" i="17"/>
  <c r="I190" i="17"/>
  <c r="L190" i="17" s="1"/>
  <c r="C1148" i="17"/>
  <c r="I378" i="17"/>
  <c r="L378" i="17" s="1"/>
  <c r="C1149" i="17"/>
  <c r="E1150" i="17"/>
  <c r="F1150" i="17" s="1"/>
  <c r="J519" i="17"/>
  <c r="I464" i="17"/>
  <c r="L464" i="17" s="1"/>
  <c r="E1151" i="17"/>
  <c r="F1151" i="17" s="1"/>
  <c r="J556" i="17"/>
  <c r="I526" i="17"/>
  <c r="L526" i="17" s="1"/>
  <c r="E1152" i="17"/>
  <c r="F1152" i="17" s="1"/>
  <c r="J613" i="17"/>
  <c r="I565" i="17"/>
  <c r="L565" i="17" s="1"/>
  <c r="E1153" i="17"/>
  <c r="F1153" i="17" s="1"/>
  <c r="J692" i="17"/>
  <c r="I623" i="17"/>
  <c r="L623" i="17" s="1"/>
  <c r="I692" i="17"/>
  <c r="L692" i="17" s="1"/>
  <c r="E1154" i="17"/>
  <c r="F1154" i="17" s="1"/>
  <c r="J756" i="17"/>
  <c r="I695" i="17"/>
  <c r="L695" i="17" s="1"/>
  <c r="E1155" i="17"/>
  <c r="F1155" i="17" s="1"/>
  <c r="C1158" i="17"/>
  <c r="C1159" i="17"/>
  <c r="K675" i="17" l="1"/>
  <c r="I408" i="17"/>
  <c r="L408" i="17" s="1"/>
  <c r="E1149" i="17"/>
  <c r="F1149" i="17" s="1"/>
  <c r="J454" i="17"/>
  <c r="E1148" i="17"/>
  <c r="F1148" i="17" s="1"/>
  <c r="J357" i="17"/>
  <c r="I276" i="17"/>
  <c r="L276" i="17" s="1"/>
  <c r="K402" i="17"/>
  <c r="E1159" i="17"/>
  <c r="F1159" i="17" s="1"/>
  <c r="F1145" i="17"/>
  <c r="E1158" i="17"/>
  <c r="F1158" i="17" s="1"/>
  <c r="F11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<sst xmlns="http://schemas.openxmlformats.org/spreadsheetml/2006/main" count="2589" uniqueCount="1052">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</sst>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5">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NBA!$G$2:$G$1118</c:f>
              <c:numCache>
                <c:formatCode>#,##0.00;[Red]#,##0.00</c:formatCode>
                <c:ptCount val="1117"/>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1119</xdr:row>
      <xdr:rowOff>0</xdr:rowOff>
    </xdr:from>
    <xdr:to>
      <xdr:col>10</xdr:col>
      <xdr:colOff>0</xdr:colOff>
      <xdr:row>1139</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7.604733101849"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417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8">
      <pivotArea outline="0" fieldPosition="0">
        <references count="1">
          <reference field="4294967294" count="1" selected="0">
            <x v="1"/>
          </reference>
        </references>
      </pivotArea>
    </format>
    <format dxfId="109">
      <pivotArea outline="0" fieldPosition="0">
        <references count="1">
          <reference field="4294967294" count="1" selected="0">
            <x v="3"/>
          </reference>
        </references>
      </pivotArea>
    </format>
    <format dxfId="110">
      <pivotArea dataOnly="0" labelOnly="1" outline="0" fieldPosition="0">
        <references count="1">
          <reference field="4294967294" count="1">
            <x v="3"/>
          </reference>
        </references>
      </pivotArea>
    </format>
    <format dxfId="111">
      <pivotArea outline="0" fieldPosition="0">
        <references count="1">
          <reference field="4294967294" count="1" selected="0">
            <x v="5"/>
          </reference>
        </references>
      </pivotArea>
    </format>
    <format dxfId="112">
      <pivotArea dataOnly="0" labelOnly="1" outline="0" fieldPosition="0">
        <references count="1">
          <reference field="4294967294" count="1">
            <x v="5"/>
          </reference>
        </references>
      </pivotArea>
    </format>
    <format dxfId="113">
      <pivotArea outline="0" fieldPosition="0">
        <references count="1">
          <reference field="4294967294" count="1" selected="0">
            <x v="7"/>
          </reference>
        </references>
      </pivotArea>
    </format>
    <format dxfId="114">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74"/>
  <sheetViews>
    <sheetView tabSelected="1" topLeftCell="A1104" workbookViewId="0">
      <selection activeCell="G1112" sqref="G1112"/>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9">
        <v>45992</v>
      </c>
      <c r="C2" s="471">
        <v>1</v>
      </c>
      <c r="D2" s="465"/>
      <c r="E2" s="465">
        <f t="shared" ref="E2:E65" si="0">(C2*D2)-C2</f>
        <v>-1</v>
      </c>
      <c r="F2" s="466">
        <f>SUM($E$2:E2)/SUM($C$2:C2)</f>
        <v>-1</v>
      </c>
      <c r="G2" s="465">
        <f>E2</f>
        <v>-1</v>
      </c>
      <c r="H2" s="475" t="s">
        <v>10</v>
      </c>
      <c r="I2" s="2"/>
      <c r="J2" s="2"/>
      <c r="K2" s="2"/>
      <c r="O2" s="58"/>
      <c r="P2" s="58"/>
    </row>
    <row r="3" spans="1:16">
      <c r="A3"/>
      <c r="B3" s="529"/>
      <c r="C3" s="468">
        <v>1</v>
      </c>
      <c r="D3" s="37">
        <v>2</v>
      </c>
      <c r="E3" s="37">
        <f t="shared" si="0"/>
        <v>1</v>
      </c>
      <c r="F3" s="47">
        <f>SUM($E$2:E3)/SUM($C$2:C3)</f>
        <v>0</v>
      </c>
      <c r="G3" s="37">
        <f t="shared" ref="G3:G47" si="1">G2+E3</f>
        <v>0</v>
      </c>
      <c r="H3" s="472" t="s">
        <v>11</v>
      </c>
      <c r="I3" s="2"/>
      <c r="J3" s="2"/>
      <c r="K3" s="2"/>
      <c r="O3" s="58"/>
      <c r="P3" s="58"/>
    </row>
    <row r="4" spans="1:16">
      <c r="A4"/>
      <c r="B4" s="529"/>
      <c r="C4" s="468">
        <v>1</v>
      </c>
      <c r="D4" s="37">
        <v>1.8</v>
      </c>
      <c r="E4" s="37">
        <f t="shared" si="0"/>
        <v>0.8</v>
      </c>
      <c r="F4" s="47">
        <f>SUM($E$2:E4)/SUM($C$2:C4)</f>
        <v>0.26666666666666666</v>
      </c>
      <c r="G4" s="37">
        <f t="shared" si="1"/>
        <v>0.8</v>
      </c>
      <c r="H4" s="472" t="s">
        <v>12</v>
      </c>
      <c r="I4" s="2"/>
      <c r="J4" s="2"/>
      <c r="K4" s="2"/>
      <c r="O4" s="58"/>
      <c r="P4" s="58"/>
    </row>
    <row r="5" spans="1:16">
      <c r="A5"/>
      <c r="B5" s="529"/>
      <c r="C5" s="468">
        <v>1</v>
      </c>
      <c r="D5" s="37">
        <v>1.91</v>
      </c>
      <c r="E5" s="37">
        <f t="shared" si="0"/>
        <v>0.90999999999999992</v>
      </c>
      <c r="F5" s="47">
        <f>SUM($E$2:E5)/SUM($C$2:C5)</f>
        <v>0.42749999999999999</v>
      </c>
      <c r="G5" s="37">
        <f t="shared" si="1"/>
        <v>1.71</v>
      </c>
      <c r="H5" s="472" t="s">
        <v>13</v>
      </c>
      <c r="I5" s="2"/>
      <c r="J5" s="2"/>
      <c r="K5" s="2"/>
      <c r="O5" s="58"/>
      <c r="P5" s="58"/>
    </row>
    <row r="6" spans="1:16">
      <c r="A6"/>
      <c r="B6" s="529"/>
      <c r="C6" s="468">
        <v>1</v>
      </c>
      <c r="D6" s="37">
        <v>1.9</v>
      </c>
      <c r="E6" s="37">
        <f t="shared" si="0"/>
        <v>0.89999999999999991</v>
      </c>
      <c r="F6" s="47">
        <f>SUM($E$2:E6)/SUM($C$2:C6)</f>
        <v>0.52200000000000002</v>
      </c>
      <c r="G6" s="37">
        <f t="shared" si="1"/>
        <v>2.61</v>
      </c>
      <c r="H6" s="472" t="s">
        <v>14</v>
      </c>
      <c r="I6" s="2"/>
      <c r="J6" s="2"/>
      <c r="K6" s="2"/>
      <c r="O6" s="58"/>
      <c r="P6" s="58"/>
    </row>
    <row r="7" spans="1:16">
      <c r="A7"/>
      <c r="B7" s="529"/>
      <c r="C7" s="468">
        <v>1</v>
      </c>
      <c r="D7" s="37">
        <v>1.9</v>
      </c>
      <c r="E7" s="37">
        <f t="shared" si="0"/>
        <v>0.89999999999999991</v>
      </c>
      <c r="F7" s="47">
        <f>SUM($E$2:E7)/SUM($C$2:C7)</f>
        <v>0.58499999999999996</v>
      </c>
      <c r="G7" s="37">
        <f t="shared" si="1"/>
        <v>3.51</v>
      </c>
      <c r="H7" s="472" t="s">
        <v>15</v>
      </c>
      <c r="I7" s="2"/>
      <c r="J7" s="2"/>
      <c r="K7" s="2"/>
      <c r="O7" s="58"/>
      <c r="P7" s="58"/>
    </row>
    <row r="8" spans="1:16">
      <c r="A8"/>
      <c r="B8" s="529"/>
      <c r="C8" s="510">
        <v>1</v>
      </c>
      <c r="D8" s="38">
        <v>1.9</v>
      </c>
      <c r="E8" s="38">
        <f t="shared" si="0"/>
        <v>0.89999999999999991</v>
      </c>
      <c r="F8" s="59">
        <f>SUM($E$2:E8)/SUM($C$2:C8)</f>
        <v>0.63</v>
      </c>
      <c r="G8" s="38">
        <f t="shared" si="1"/>
        <v>4.41</v>
      </c>
      <c r="H8" s="469" t="s">
        <v>16</v>
      </c>
      <c r="I8" s="2"/>
      <c r="J8" s="2"/>
      <c r="K8" s="2"/>
      <c r="O8" s="58"/>
      <c r="P8" s="58"/>
    </row>
    <row r="9" spans="1:16">
      <c r="A9"/>
      <c r="B9" s="529"/>
      <c r="C9" s="471">
        <v>1</v>
      </c>
      <c r="D9" s="465"/>
      <c r="E9" s="465">
        <f t="shared" si="0"/>
        <v>-1</v>
      </c>
      <c r="F9" s="466">
        <f>SUM($E$2:E9)/SUM($C$2:C9)</f>
        <v>0.42625000000000002</v>
      </c>
      <c r="G9" s="465">
        <f t="shared" si="1"/>
        <v>3.41</v>
      </c>
      <c r="H9" s="475" t="s">
        <v>17</v>
      </c>
      <c r="I9" s="2"/>
      <c r="J9" s="2"/>
      <c r="K9" s="2"/>
      <c r="O9" s="58"/>
      <c r="P9" s="58"/>
    </row>
    <row r="10" spans="1:16">
      <c r="A10"/>
      <c r="B10" s="529"/>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9"/>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9"/>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9"/>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9"/>
      <c r="C14" s="510">
        <v>1</v>
      </c>
      <c r="D14" s="38"/>
      <c r="E14" s="38">
        <f t="shared" si="0"/>
        <v>-1</v>
      </c>
      <c r="F14" s="59">
        <f>SUM($E$2:E14)/SUM($C$2:C14)</f>
        <v>0.45184615384615395</v>
      </c>
      <c r="G14" s="38">
        <f t="shared" si="1"/>
        <v>5.8740000000000014</v>
      </c>
      <c r="H14" s="469" t="s">
        <v>22</v>
      </c>
      <c r="I14" s="2"/>
      <c r="J14" s="2"/>
      <c r="K14" s="2"/>
      <c r="O14" s="58"/>
      <c r="P14" s="58"/>
    </row>
    <row r="15" spans="1:16">
      <c r="A15"/>
      <c r="B15" s="529"/>
      <c r="C15" s="471">
        <v>1</v>
      </c>
      <c r="D15" s="465"/>
      <c r="E15" s="465">
        <f t="shared" si="0"/>
        <v>-1</v>
      </c>
      <c r="F15" s="466">
        <f>SUM($E$2:E15)/SUM($C$2:C15)</f>
        <v>0.34814285714285725</v>
      </c>
      <c r="G15" s="465">
        <f t="shared" si="1"/>
        <v>4.8740000000000014</v>
      </c>
      <c r="H15" s="475" t="s">
        <v>23</v>
      </c>
      <c r="I15" s="2"/>
      <c r="J15" s="2"/>
      <c r="K15" s="2"/>
      <c r="O15" s="58"/>
      <c r="P15" s="58"/>
    </row>
    <row r="16" spans="1:16">
      <c r="A16"/>
      <c r="B16" s="529"/>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9"/>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9"/>
      <c r="C18" s="468">
        <v>1</v>
      </c>
      <c r="D18" s="37"/>
      <c r="E18" s="37">
        <f t="shared" si="0"/>
        <v>-1</v>
      </c>
      <c r="F18" s="47">
        <f>SUM($E$2:E18)/SUM($C$2:C18)</f>
        <v>0.31282352941176478</v>
      </c>
      <c r="G18" s="37">
        <f t="shared" si="1"/>
        <v>5.3180000000000014</v>
      </c>
      <c r="H18" s="472" t="s">
        <v>26</v>
      </c>
      <c r="I18" s="2"/>
      <c r="J18" s="2"/>
      <c r="K18" s="2"/>
      <c r="O18" s="58"/>
      <c r="P18" s="58"/>
    </row>
    <row r="19" spans="1:16">
      <c r="A19"/>
      <c r="B19" s="529"/>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9"/>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9"/>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8">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9"/>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9"/>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9"/>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9"/>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9"/>
      <c r="C27" s="471">
        <v>1</v>
      </c>
      <c r="D27" s="465"/>
      <c r="E27" s="465">
        <f t="shared" si="0"/>
        <v>-1</v>
      </c>
      <c r="F27" s="466">
        <f>SUM($E$2:E27)/SUM($C$2:C27)</f>
        <v>0.341423076923077</v>
      </c>
      <c r="G27" s="465">
        <f t="shared" si="1"/>
        <v>8.8770000000000024</v>
      </c>
      <c r="H27" s="475" t="s">
        <v>34</v>
      </c>
      <c r="I27" s="2"/>
      <c r="J27" s="2"/>
      <c r="K27" s="2"/>
      <c r="O27" s="58"/>
      <c r="P27" s="58"/>
    </row>
    <row r="28" spans="1:16">
      <c r="A28"/>
      <c r="B28" s="529"/>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9"/>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9"/>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9"/>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9"/>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9"/>
      <c r="C33" s="471">
        <v>1</v>
      </c>
      <c r="D33" s="465"/>
      <c r="E33" s="465">
        <f t="shared" si="0"/>
        <v>-1</v>
      </c>
      <c r="F33" s="466">
        <f>SUM($E$2:E33)/SUM($C$2:C33)</f>
        <v>0.3860312500000001</v>
      </c>
      <c r="G33" s="465">
        <f t="shared" si="1"/>
        <v>12.353000000000003</v>
      </c>
      <c r="H33" s="475" t="s">
        <v>40</v>
      </c>
      <c r="I33" s="2"/>
      <c r="J33" s="2"/>
      <c r="K33" s="2"/>
      <c r="O33" s="58"/>
      <c r="P33" s="58"/>
    </row>
    <row r="34" spans="1:16">
      <c r="A34"/>
      <c r="B34" s="529"/>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9"/>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9"/>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9"/>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9"/>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8">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9"/>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9"/>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9"/>
      <c r="C42" s="468">
        <v>1</v>
      </c>
      <c r="D42" s="37"/>
      <c r="E42" s="37">
        <f t="shared" si="0"/>
        <v>-1</v>
      </c>
      <c r="F42" s="47">
        <f>SUM($E$2:E42)/SUM($C$2:C42)</f>
        <v>0.42753658536585376</v>
      </c>
      <c r="G42" s="37">
        <f t="shared" si="1"/>
        <v>17.529000000000003</v>
      </c>
      <c r="H42" s="472" t="s">
        <v>46</v>
      </c>
      <c r="I42" s="2"/>
      <c r="J42" s="2"/>
      <c r="K42" s="2"/>
      <c r="O42" s="58"/>
      <c r="P42" s="58"/>
    </row>
    <row r="43" spans="1:16">
      <c r="A43"/>
      <c r="B43" s="529"/>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9"/>
      <c r="C44" s="468">
        <v>1</v>
      </c>
      <c r="D44" s="37"/>
      <c r="E44" s="37">
        <f t="shared" si="0"/>
        <v>-1</v>
      </c>
      <c r="F44" s="47">
        <f>SUM($E$2:E44)/SUM($C$2:C44)</f>
        <v>0.40444186046511638</v>
      </c>
      <c r="G44" s="37">
        <f t="shared" si="1"/>
        <v>17.391000000000005</v>
      </c>
      <c r="H44" s="472" t="s">
        <v>47</v>
      </c>
      <c r="I44" s="2"/>
      <c r="J44" s="2"/>
      <c r="K44" s="2"/>
      <c r="O44" s="58"/>
      <c r="P44" s="58"/>
    </row>
    <row r="45" spans="1:16">
      <c r="A45"/>
      <c r="B45" s="529"/>
      <c r="C45" s="512">
        <v>1</v>
      </c>
      <c r="D45" s="40"/>
      <c r="E45" s="40">
        <f t="shared" si="0"/>
        <v>-1</v>
      </c>
      <c r="F45" s="48">
        <f>SUM($E$2:E45)/SUM($C$2:C45)</f>
        <v>0.37252272727272739</v>
      </c>
      <c r="G45" s="40">
        <f t="shared" si="1"/>
        <v>16.391000000000005</v>
      </c>
      <c r="H45" s="467" t="s">
        <v>48</v>
      </c>
      <c r="I45" s="2"/>
      <c r="J45" s="2"/>
      <c r="K45" s="2"/>
      <c r="O45" s="58"/>
      <c r="P45" s="58"/>
    </row>
    <row r="46" spans="1:16">
      <c r="A46"/>
      <c r="B46" s="534"/>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4"/>
      <c r="C47" s="514">
        <v>1</v>
      </c>
      <c r="D47" s="37"/>
      <c r="E47" s="37">
        <f t="shared" si="0"/>
        <v>-1</v>
      </c>
      <c r="F47" s="47">
        <f>SUM($E$2:E47)/SUM($C$2:C47)</f>
        <v>0.3533260869565219</v>
      </c>
      <c r="G47" s="37">
        <f t="shared" si="1"/>
        <v>16.253000000000007</v>
      </c>
      <c r="H47" s="472" t="s">
        <v>10</v>
      </c>
      <c r="I47" s="2"/>
      <c r="J47" s="2"/>
      <c r="K47" s="2"/>
      <c r="O47" s="58"/>
      <c r="P47" s="58"/>
    </row>
    <row r="48" spans="1:16">
      <c r="A48"/>
      <c r="B48" s="534"/>
      <c r="C48" s="514">
        <v>1</v>
      </c>
      <c r="D48" s="37"/>
      <c r="E48" s="37">
        <f t="shared" si="0"/>
        <v>-1</v>
      </c>
      <c r="F48" s="47">
        <f>SUM($E$2:E48)/SUM($C$2:C48)</f>
        <v>0.32453191489361716</v>
      </c>
      <c r="G48" s="37">
        <f>G47+E48</f>
        <v>15.253000000000007</v>
      </c>
      <c r="H48" s="472" t="s">
        <v>49</v>
      </c>
      <c r="I48" s="2"/>
      <c r="J48" s="2"/>
      <c r="K48" s="2"/>
      <c r="O48" s="58"/>
      <c r="P48" s="58"/>
    </row>
    <row r="49" spans="1:16">
      <c r="A49"/>
      <c r="B49" s="534"/>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9"/>
      <c r="C50" s="471">
        <v>1</v>
      </c>
      <c r="D50" s="465"/>
      <c r="E50" s="465">
        <f t="shared" si="0"/>
        <v>-1</v>
      </c>
      <c r="F50" s="466">
        <f>SUM($E$2:E50)/SUM($C$2:C50)</f>
        <v>0.27046938775510221</v>
      </c>
      <c r="G50" s="465">
        <f t="shared" si="2"/>
        <v>13.253000000000007</v>
      </c>
      <c r="H50" s="475" t="s">
        <v>51</v>
      </c>
      <c r="I50" s="2"/>
      <c r="J50" s="2"/>
      <c r="K50" s="2"/>
      <c r="O50" s="58"/>
      <c r="P50" s="58"/>
    </row>
    <row r="51" spans="1:16">
      <c r="A51"/>
      <c r="B51" s="529"/>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9"/>
      <c r="C52" s="468">
        <v>1</v>
      </c>
      <c r="D52" s="37"/>
      <c r="E52" s="37">
        <f t="shared" si="0"/>
        <v>-1</v>
      </c>
      <c r="F52" s="47">
        <f>SUM($E$2:E52)/SUM($C$2:C52)</f>
        <v>0.25421568627450997</v>
      </c>
      <c r="G52" s="37">
        <f t="shared" si="2"/>
        <v>12.965000000000007</v>
      </c>
      <c r="H52" s="472" t="s">
        <v>53</v>
      </c>
      <c r="I52" s="2"/>
      <c r="J52" s="2"/>
      <c r="K52" s="2"/>
      <c r="O52" s="58"/>
      <c r="P52" s="58"/>
    </row>
    <row r="53" spans="1:16">
      <c r="A53"/>
      <c r="B53" s="529"/>
      <c r="C53" s="468">
        <v>1</v>
      </c>
      <c r="D53" s="37"/>
      <c r="E53" s="37">
        <f t="shared" si="0"/>
        <v>-1</v>
      </c>
      <c r="F53" s="47">
        <f>SUM($E$2:E53)/SUM($C$2:C53)</f>
        <v>0.23009615384615398</v>
      </c>
      <c r="G53" s="37">
        <f t="shared" si="2"/>
        <v>11.965000000000007</v>
      </c>
      <c r="H53" s="472" t="s">
        <v>54</v>
      </c>
      <c r="I53" s="2"/>
      <c r="J53" s="2"/>
      <c r="K53" s="2"/>
      <c r="O53" s="58"/>
      <c r="P53" s="58"/>
    </row>
    <row r="54" spans="1:16">
      <c r="A54"/>
      <c r="B54" s="529"/>
      <c r="C54" s="468">
        <v>1</v>
      </c>
      <c r="D54" s="37"/>
      <c r="E54" s="37">
        <f t="shared" si="0"/>
        <v>-1</v>
      </c>
      <c r="F54" s="47">
        <f>SUM($E$2:E54)/SUM($C$2:C54)</f>
        <v>0.20688679245283031</v>
      </c>
      <c r="G54" s="37">
        <f t="shared" si="2"/>
        <v>10.965000000000007</v>
      </c>
      <c r="H54" s="472" t="s">
        <v>55</v>
      </c>
      <c r="I54" s="2"/>
      <c r="J54" s="2"/>
      <c r="K54" s="2"/>
      <c r="O54" s="58"/>
      <c r="P54" s="58"/>
    </row>
    <row r="55" spans="1:16">
      <c r="A55"/>
      <c r="B55" s="529"/>
      <c r="C55" s="468">
        <v>1</v>
      </c>
      <c r="D55" s="37"/>
      <c r="E55" s="37">
        <f t="shared" si="0"/>
        <v>-1</v>
      </c>
      <c r="F55" s="47">
        <f>SUM($E$2:E55)/SUM($C$2:C55)</f>
        <v>0.18453703703703717</v>
      </c>
      <c r="G55" s="37">
        <f t="shared" si="2"/>
        <v>9.965000000000007</v>
      </c>
      <c r="H55" s="472" t="s">
        <v>56</v>
      </c>
      <c r="I55" s="2"/>
      <c r="J55" s="2"/>
      <c r="K55" s="2"/>
      <c r="O55" s="58"/>
      <c r="P55" s="58"/>
    </row>
    <row r="56" spans="1:16">
      <c r="A56"/>
      <c r="B56" s="529"/>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8">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9"/>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9"/>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9"/>
      <c r="C60" s="471">
        <v>1</v>
      </c>
      <c r="D60" s="465"/>
      <c r="E60" s="465">
        <f t="shared" si="0"/>
        <v>-1</v>
      </c>
      <c r="F60" s="466">
        <f>SUM($E$2:E60)/SUM($C$2:C60)</f>
        <v>0.14632203389830523</v>
      </c>
      <c r="G60" s="465">
        <f t="shared" si="2"/>
        <v>8.633000000000008</v>
      </c>
      <c r="H60" s="475" t="s">
        <v>34</v>
      </c>
      <c r="I60" s="2"/>
      <c r="J60" s="2"/>
      <c r="K60" s="2"/>
      <c r="O60" s="58"/>
      <c r="P60" s="58"/>
    </row>
    <row r="61" spans="1:16">
      <c r="A61"/>
      <c r="B61" s="529"/>
      <c r="C61" s="468">
        <v>1</v>
      </c>
      <c r="D61" s="37"/>
      <c r="E61" s="37">
        <f t="shared" si="0"/>
        <v>-1</v>
      </c>
      <c r="F61" s="47">
        <f>SUM($E$2:E61)/SUM($C$2:C61)</f>
        <v>0.12721666666666681</v>
      </c>
      <c r="G61" s="37">
        <f t="shared" si="2"/>
        <v>7.633000000000008</v>
      </c>
      <c r="H61" s="472" t="s">
        <v>19</v>
      </c>
      <c r="I61" s="2"/>
      <c r="J61" s="2"/>
      <c r="K61" s="2"/>
      <c r="O61" s="58"/>
      <c r="P61" s="58"/>
    </row>
    <row r="62" spans="1:16">
      <c r="A62"/>
      <c r="B62" s="529"/>
      <c r="C62" s="468">
        <v>1</v>
      </c>
      <c r="D62" s="37"/>
      <c r="E62" s="37">
        <f t="shared" si="0"/>
        <v>-1</v>
      </c>
      <c r="F62" s="47">
        <f>SUM($E$2:E62)/SUM($C$2:C62)</f>
        <v>0.10873770491803292</v>
      </c>
      <c r="G62" s="37">
        <f t="shared" si="2"/>
        <v>6.633000000000008</v>
      </c>
      <c r="H62" s="472" t="s">
        <v>20</v>
      </c>
      <c r="I62" s="2"/>
      <c r="J62" s="2"/>
      <c r="K62" s="2"/>
      <c r="O62" s="58"/>
      <c r="P62" s="58"/>
    </row>
    <row r="63" spans="1:16">
      <c r="A63"/>
      <c r="B63" s="529"/>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9"/>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9"/>
      <c r="C65" s="471">
        <v>1</v>
      </c>
      <c r="D65" s="465"/>
      <c r="E65" s="465">
        <f t="shared" si="0"/>
        <v>-1</v>
      </c>
      <c r="F65" s="466">
        <f>SUM($E$2:E65)/SUM($C$2:C65)</f>
        <v>0.11614062500000014</v>
      </c>
      <c r="G65" s="465">
        <f t="shared" si="2"/>
        <v>7.4330000000000087</v>
      </c>
      <c r="H65" s="475" t="s">
        <v>58</v>
      </c>
      <c r="I65" s="2"/>
      <c r="J65" s="2"/>
      <c r="K65" s="2"/>
      <c r="O65" s="58"/>
      <c r="P65" s="58"/>
    </row>
    <row r="66" spans="1:16">
      <c r="A66"/>
      <c r="B66" s="529"/>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9"/>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9"/>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9"/>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8">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9"/>
      <c r="C71" s="468">
        <v>1</v>
      </c>
      <c r="D71" s="37"/>
      <c r="E71" s="37">
        <f t="shared" si="3"/>
        <v>-1</v>
      </c>
      <c r="F71" s="47">
        <f>SUM($E$2:E71)/SUM($C$2:C71)</f>
        <v>0.12018571428571441</v>
      </c>
      <c r="G71" s="37">
        <f t="shared" si="2"/>
        <v>8.4130000000000091</v>
      </c>
      <c r="H71" s="472" t="s">
        <v>38</v>
      </c>
      <c r="I71" s="2"/>
      <c r="J71" s="2"/>
      <c r="K71" s="2"/>
      <c r="O71" s="58"/>
      <c r="P71" s="58"/>
    </row>
    <row r="72" spans="1:16">
      <c r="A72"/>
      <c r="B72" s="529"/>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9"/>
      <c r="C73" s="468">
        <v>1</v>
      </c>
      <c r="D73" s="37">
        <v>1.8</v>
      </c>
      <c r="E73" s="37">
        <f t="shared" si="3"/>
        <v>0.8</v>
      </c>
      <c r="F73" s="47">
        <f>SUM($E$2:E73)/SUM($C$2:C73)</f>
        <v>0.1399305555555557</v>
      </c>
      <c r="G73" s="37">
        <f t="shared" si="2"/>
        <v>10.07500000000001</v>
      </c>
      <c r="H73" s="472" t="s">
        <v>21</v>
      </c>
      <c r="I73" s="2"/>
      <c r="J73" s="2"/>
      <c r="K73" s="2"/>
      <c r="O73" s="58"/>
      <c r="P73" s="58"/>
    </row>
    <row r="74" spans="1:16">
      <c r="A74"/>
      <c r="B74" s="529"/>
      <c r="C74" s="468">
        <v>1</v>
      </c>
      <c r="D74" s="37"/>
      <c r="E74" s="37">
        <f t="shared" si="3"/>
        <v>-1</v>
      </c>
      <c r="F74" s="47">
        <f>SUM($E$2:E74)/SUM($C$2:C74)</f>
        <v>0.12431506849315083</v>
      </c>
      <c r="G74" s="37">
        <f t="shared" si="2"/>
        <v>9.0750000000000099</v>
      </c>
      <c r="H74" s="472" t="s">
        <v>46</v>
      </c>
      <c r="I74" s="2"/>
      <c r="J74" s="2"/>
      <c r="K74" s="2"/>
      <c r="O74" s="58"/>
      <c r="P74" s="58"/>
    </row>
    <row r="75" spans="1:16">
      <c r="A75"/>
      <c r="B75" s="529"/>
      <c r="C75" s="468">
        <v>1</v>
      </c>
      <c r="D75" s="37"/>
      <c r="E75" s="37">
        <f t="shared" si="3"/>
        <v>-1</v>
      </c>
      <c r="F75" s="47">
        <f>SUM($E$2:E75)/SUM($C$2:C75)</f>
        <v>0.10912162162162176</v>
      </c>
      <c r="G75" s="37">
        <f t="shared" si="2"/>
        <v>8.0750000000000099</v>
      </c>
      <c r="H75" s="472" t="s">
        <v>16</v>
      </c>
      <c r="I75" s="2"/>
      <c r="J75" s="2"/>
      <c r="K75" s="2"/>
      <c r="O75" s="58"/>
      <c r="P75" s="58"/>
    </row>
    <row r="76" spans="1:16">
      <c r="A76"/>
      <c r="B76" s="529"/>
      <c r="C76" s="468">
        <v>1</v>
      </c>
      <c r="D76" s="37"/>
      <c r="E76" s="37">
        <f t="shared" si="3"/>
        <v>-1</v>
      </c>
      <c r="F76" s="47">
        <f>SUM($E$2:E76)/SUM($C$2:C76)</f>
        <v>9.4333333333333463E-2</v>
      </c>
      <c r="G76" s="37">
        <f t="shared" si="2"/>
        <v>7.0750000000000099</v>
      </c>
      <c r="H76" s="472" t="s">
        <v>12</v>
      </c>
      <c r="I76" s="2"/>
      <c r="J76" s="2"/>
      <c r="K76" s="2"/>
      <c r="O76" s="58"/>
      <c r="P76" s="58"/>
    </row>
    <row r="77" spans="1:16">
      <c r="A77"/>
      <c r="B77" s="529"/>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9"/>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9"/>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9"/>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9"/>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9"/>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9"/>
      <c r="C83" s="468">
        <v>1</v>
      </c>
      <c r="D83" s="37"/>
      <c r="E83" s="37">
        <f t="shared" si="3"/>
        <v>-1</v>
      </c>
      <c r="F83" s="47">
        <f>SUM($E$2:E83)/SUM($C$2:C83)</f>
        <v>0.13869512195121966</v>
      </c>
      <c r="G83" s="37">
        <f t="shared" si="2"/>
        <v>11.373000000000012</v>
      </c>
      <c r="H83" s="472" t="s">
        <v>32</v>
      </c>
      <c r="I83" s="2"/>
      <c r="J83" s="2"/>
      <c r="K83" s="2"/>
      <c r="O83" s="58"/>
      <c r="P83" s="58"/>
    </row>
    <row r="84" spans="1:16">
      <c r="A84"/>
      <c r="B84" s="529"/>
      <c r="C84" s="510">
        <v>1</v>
      </c>
      <c r="D84" s="38"/>
      <c r="E84" s="38">
        <f t="shared" si="3"/>
        <v>-1</v>
      </c>
      <c r="F84" s="59">
        <f>SUM($E$2:E84)/SUM($C$2:C84)</f>
        <v>0.12497590361445797</v>
      </c>
      <c r="G84" s="38">
        <f t="shared" si="2"/>
        <v>10.373000000000012</v>
      </c>
      <c r="H84" s="469" t="s">
        <v>50</v>
      </c>
      <c r="I84" s="2"/>
      <c r="J84" s="2"/>
      <c r="K84" s="2"/>
      <c r="O84" s="58"/>
      <c r="P84" s="58"/>
    </row>
    <row r="85" spans="1:16">
      <c r="A85"/>
      <c r="B85" s="529"/>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9"/>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9"/>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9"/>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9"/>
      <c r="C89" s="468">
        <v>1</v>
      </c>
      <c r="D89" s="37"/>
      <c r="E89" s="37">
        <f t="shared" si="3"/>
        <v>-1</v>
      </c>
      <c r="F89" s="47">
        <f>SUM($E$2:E89)/SUM($C$2:C89)</f>
        <v>0.14060227272727285</v>
      </c>
      <c r="G89" s="37">
        <f t="shared" si="2"/>
        <v>12.373000000000012</v>
      </c>
      <c r="H89" s="472" t="s">
        <v>66</v>
      </c>
      <c r="I89" s="2"/>
      <c r="J89" s="2"/>
      <c r="K89" s="2"/>
      <c r="O89" s="58"/>
      <c r="P89" s="58"/>
    </row>
    <row r="90" spans="1:16">
      <c r="A90"/>
      <c r="B90" s="529"/>
      <c r="C90" s="468">
        <v>1</v>
      </c>
      <c r="D90" s="37"/>
      <c r="E90" s="37">
        <f t="shared" si="3"/>
        <v>-1</v>
      </c>
      <c r="F90" s="47">
        <f>SUM($E$2:E90)/SUM($C$2:C90)</f>
        <v>0.12778651685393272</v>
      </c>
      <c r="G90" s="37">
        <f t="shared" si="2"/>
        <v>11.373000000000012</v>
      </c>
      <c r="H90" s="472" t="s">
        <v>67</v>
      </c>
      <c r="I90" s="2"/>
      <c r="J90" s="2"/>
      <c r="K90" s="2"/>
      <c r="O90" s="58"/>
      <c r="P90" s="58"/>
    </row>
    <row r="91" spans="1:16">
      <c r="A91"/>
      <c r="B91" s="529"/>
      <c r="C91" s="468">
        <v>1</v>
      </c>
      <c r="D91" s="37"/>
      <c r="E91" s="37">
        <f t="shared" si="3"/>
        <v>-1</v>
      </c>
      <c r="F91" s="47">
        <f>SUM($E$2:E91)/SUM($C$2:C91)</f>
        <v>0.11525555555555568</v>
      </c>
      <c r="G91" s="37">
        <f t="shared" si="2"/>
        <v>10.373000000000012</v>
      </c>
      <c r="H91" s="472" t="s">
        <v>68</v>
      </c>
      <c r="I91" s="2"/>
      <c r="J91" s="2"/>
      <c r="K91" s="2"/>
      <c r="O91" s="58"/>
      <c r="P91" s="58"/>
    </row>
    <row r="92" spans="1:16">
      <c r="A92"/>
      <c r="B92" s="529"/>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8">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9"/>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9"/>
      <c r="C95" s="468">
        <v>1</v>
      </c>
      <c r="D95" s="37"/>
      <c r="E95" s="37">
        <f t="shared" si="3"/>
        <v>-1</v>
      </c>
      <c r="F95" s="47">
        <f>SUM($E$2:E95)/SUM($C$2:C95)</f>
        <v>8.8010638297872465E-2</v>
      </c>
      <c r="G95" s="37">
        <f t="shared" si="2"/>
        <v>8.2730000000000121</v>
      </c>
      <c r="H95" s="472" t="s">
        <v>39</v>
      </c>
      <c r="I95" s="2"/>
      <c r="J95" s="2"/>
      <c r="K95" s="2"/>
      <c r="O95" s="58"/>
      <c r="P95" s="58"/>
    </row>
    <row r="96" spans="1:16">
      <c r="A96"/>
      <c r="B96" s="529"/>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9"/>
      <c r="C97" s="510">
        <v>1</v>
      </c>
      <c r="D97" s="38"/>
      <c r="E97" s="38">
        <f t="shared" si="3"/>
        <v>-1</v>
      </c>
      <c r="F97" s="59">
        <f>SUM($E$2:E97)/SUM($C$2:C97)</f>
        <v>8.4739583333333465E-2</v>
      </c>
      <c r="G97" s="38">
        <f t="shared" si="2"/>
        <v>8.1350000000000122</v>
      </c>
      <c r="H97" s="469" t="s">
        <v>12</v>
      </c>
      <c r="I97" s="2"/>
      <c r="J97" s="2"/>
      <c r="K97" s="2"/>
      <c r="O97" s="58"/>
      <c r="P97" s="58"/>
    </row>
    <row r="98" spans="1:16">
      <c r="A98"/>
      <c r="B98" s="529"/>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9"/>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9"/>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9"/>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9"/>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9"/>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9"/>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9"/>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9"/>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9"/>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9"/>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9"/>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9"/>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8">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9"/>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9"/>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9"/>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9"/>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9"/>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9"/>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9"/>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9"/>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9"/>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9"/>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9"/>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9"/>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9"/>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9"/>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8">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9"/>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9"/>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9"/>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9"/>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9"/>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9"/>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9"/>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9"/>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8">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9"/>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9"/>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9"/>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9"/>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8">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9"/>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9"/>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9"/>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9"/>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9"/>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9"/>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9"/>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9"/>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9"/>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8">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9"/>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9"/>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9"/>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9"/>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9"/>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9"/>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9"/>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9"/>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9"/>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9"/>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9"/>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9"/>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9"/>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9"/>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8">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9"/>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9"/>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9"/>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9"/>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9"/>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9"/>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9"/>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9"/>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9"/>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9"/>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9"/>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9"/>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9"/>
      <c r="C178" s="471">
        <v>1</v>
      </c>
      <c r="D178" s="465"/>
      <c r="E178" s="465">
        <f t="shared" si="6"/>
        <v>-1</v>
      </c>
      <c r="F178" s="466">
        <f>SUM($E$2:E178)/SUM($C$2:C178)</f>
        <v>2.8378531073446386E-2</v>
      </c>
      <c r="G178" s="465">
        <f t="shared" si="5"/>
        <v>5.0230000000000103</v>
      </c>
      <c r="H178" s="475" t="s">
        <v>98</v>
      </c>
      <c r="O178" s="58"/>
      <c r="P178" s="58"/>
    </row>
    <row r="179" spans="1:16">
      <c r="A179"/>
      <c r="B179" s="529"/>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9"/>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8">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9"/>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9"/>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9"/>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9"/>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9"/>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9"/>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9"/>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9"/>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9"/>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8">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9"/>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9"/>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9"/>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9"/>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9"/>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8">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9"/>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9"/>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9"/>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9"/>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9"/>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9"/>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9"/>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9"/>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9"/>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9"/>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9"/>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9"/>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9"/>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9"/>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9"/>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9"/>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9"/>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9"/>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9"/>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9"/>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9"/>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9"/>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9"/>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8">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9"/>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9"/>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9"/>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9"/>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9"/>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9"/>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9"/>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9"/>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9"/>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8">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9"/>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9"/>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9"/>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9"/>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9"/>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9"/>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9"/>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9"/>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9"/>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9"/>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9"/>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9"/>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9"/>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9"/>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9"/>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9"/>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9"/>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9"/>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8">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9"/>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9"/>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9"/>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9"/>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9"/>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9"/>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9"/>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9"/>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9"/>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9"/>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9"/>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9"/>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9"/>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8">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9"/>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9"/>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9"/>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9"/>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9"/>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9"/>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9"/>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9"/>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9"/>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9"/>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9"/>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9"/>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8">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9"/>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9"/>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9"/>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9"/>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9"/>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9"/>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9"/>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9"/>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9"/>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9"/>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9"/>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9"/>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9"/>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9"/>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9"/>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9"/>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9"/>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9"/>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9"/>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9"/>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9"/>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9"/>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9"/>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9"/>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9"/>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8">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9"/>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9"/>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9"/>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9"/>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9"/>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9"/>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9"/>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9"/>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9"/>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9"/>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9"/>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8">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9"/>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9"/>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9"/>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9"/>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9"/>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9"/>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9"/>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9"/>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9"/>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9"/>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9"/>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9"/>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9"/>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9"/>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9"/>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9"/>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8">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9"/>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9"/>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9"/>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9"/>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9"/>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9"/>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9"/>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9"/>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9"/>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9"/>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9"/>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8">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9"/>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9"/>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9"/>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9"/>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9"/>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9"/>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9"/>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9"/>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9"/>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9"/>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9"/>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9"/>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9"/>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8">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9"/>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9"/>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9"/>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9"/>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9"/>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9"/>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9"/>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9"/>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9"/>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9"/>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9"/>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9"/>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9"/>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9"/>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9"/>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9"/>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9"/>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9"/>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9"/>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9"/>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8">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9"/>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9"/>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9"/>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9"/>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9"/>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9"/>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9"/>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9"/>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8">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9"/>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9"/>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9"/>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9"/>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9"/>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9"/>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9"/>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9"/>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9"/>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9"/>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9"/>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9"/>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9"/>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9"/>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8">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9"/>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9"/>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9"/>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9"/>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9"/>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8">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9"/>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9"/>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9"/>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9"/>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9"/>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9"/>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9"/>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9"/>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9"/>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9"/>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9"/>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9"/>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9"/>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9"/>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9"/>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9"/>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9"/>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8">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9"/>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9"/>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9"/>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9"/>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9"/>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9"/>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9"/>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9"/>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9"/>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9"/>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9"/>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9"/>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9"/>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8">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9"/>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9"/>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9"/>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9"/>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9"/>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9"/>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9"/>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9"/>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9"/>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9"/>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9"/>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9"/>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9"/>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8">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9"/>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9"/>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9"/>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9"/>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9"/>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9"/>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9"/>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9"/>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9"/>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8">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9"/>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9"/>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9"/>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9"/>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9"/>
      <c r="C470" s="471">
        <v>1</v>
      </c>
      <c r="D470" s="465"/>
      <c r="E470" s="465">
        <f t="shared" si="16"/>
        <v>-1</v>
      </c>
      <c r="F470" s="466">
        <f>SUM($E$2:E470)/SUM($C$2:C470)</f>
        <v>3.0255509545488279E-2</v>
      </c>
      <c r="G470" s="465">
        <f t="shared" si="15"/>
        <v>14.189833976834002</v>
      </c>
      <c r="H470" s="475" t="s">
        <v>24</v>
      </c>
      <c r="O470" s="58"/>
      <c r="P470" s="58"/>
    </row>
    <row r="471" spans="1:16">
      <c r="A471"/>
      <c r="B471" s="529"/>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8">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9"/>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9"/>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9"/>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9"/>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9"/>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9"/>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9"/>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9"/>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9"/>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9"/>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0"/>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8">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9"/>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9"/>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9"/>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8">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9"/>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9"/>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9"/>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9"/>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9"/>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9"/>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9"/>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9"/>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9"/>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9"/>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9"/>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8">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9"/>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9"/>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9"/>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9"/>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9"/>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9"/>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9"/>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8">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9"/>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9"/>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9"/>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9"/>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9"/>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9"/>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9"/>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9"/>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9"/>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9"/>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0"/>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9">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9"/>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9"/>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9"/>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9"/>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9"/>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9"/>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8">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9"/>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8">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9"/>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9"/>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9"/>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9"/>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9"/>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9"/>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9"/>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9"/>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8">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9"/>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9"/>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9"/>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9"/>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9"/>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9"/>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9"/>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9"/>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0"/>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9">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9"/>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9"/>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9"/>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9"/>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8">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9"/>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9"/>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0"/>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9">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9"/>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9"/>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9"/>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9"/>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9"/>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9"/>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9"/>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0"/>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9">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9"/>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9"/>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9"/>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9"/>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8">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9"/>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9"/>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9"/>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0"/>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9">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9"/>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9"/>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9"/>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9"/>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9"/>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9"/>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9"/>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0"/>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9">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9"/>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9"/>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9"/>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9"/>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9"/>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9"/>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8">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9"/>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9"/>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9"/>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9"/>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9"/>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9"/>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9"/>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9"/>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9"/>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9"/>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9"/>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9"/>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9"/>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8">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9"/>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9"/>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9"/>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9"/>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9"/>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9"/>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9"/>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8">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9"/>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9"/>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9"/>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9"/>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9"/>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9"/>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9"/>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9"/>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9"/>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8">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9"/>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9"/>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9"/>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9"/>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9"/>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9"/>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9"/>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9"/>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9"/>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8">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9"/>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9"/>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9"/>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9"/>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9"/>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9"/>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9"/>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9"/>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9"/>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9"/>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9"/>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9"/>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9"/>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9"/>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8">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9"/>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9"/>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9"/>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9"/>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9"/>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9"/>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9"/>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9"/>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8">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9"/>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9"/>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9"/>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9"/>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9"/>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9"/>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9"/>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9"/>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9"/>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9"/>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0"/>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9">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9"/>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9"/>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9"/>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9"/>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9"/>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8">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9"/>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9"/>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9"/>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9"/>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9"/>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9"/>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9"/>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9"/>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9"/>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9"/>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9"/>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9"/>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9"/>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9"/>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9"/>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9"/>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8">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9"/>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9"/>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8">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9"/>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9"/>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9"/>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9"/>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9"/>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9"/>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9"/>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9"/>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9"/>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9"/>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9"/>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8">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9"/>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9"/>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9"/>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9"/>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9"/>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9"/>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9"/>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9"/>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9"/>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8">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9"/>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9"/>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9"/>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9"/>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9"/>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9"/>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9"/>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9"/>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9"/>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9"/>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9"/>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8">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9"/>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9"/>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9"/>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9"/>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9"/>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9"/>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9"/>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0"/>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9">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9"/>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9"/>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9"/>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9"/>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9"/>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9"/>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9"/>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9"/>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9"/>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9"/>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9"/>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9"/>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9"/>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9"/>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8">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9"/>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0"/>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8">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9"/>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9"/>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9"/>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9"/>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9"/>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9"/>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9"/>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9"/>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9"/>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9"/>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9"/>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9"/>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8">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9"/>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9"/>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9"/>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9"/>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8">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9"/>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9"/>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9"/>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9"/>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9"/>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9"/>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9"/>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9"/>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9"/>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9"/>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9"/>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9"/>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9"/>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9"/>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9"/>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9"/>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9"/>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9"/>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9"/>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9"/>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9"/>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9"/>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0"/>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8">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9"/>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9"/>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9"/>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9"/>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8">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9"/>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9"/>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9"/>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9"/>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9"/>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9"/>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9"/>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9"/>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9"/>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9"/>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9"/>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9"/>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9"/>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9"/>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9"/>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9"/>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9"/>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9"/>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0"/>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8">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9"/>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9"/>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9"/>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9"/>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9"/>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9"/>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9"/>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9"/>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9"/>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9"/>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9"/>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9"/>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9"/>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9"/>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8">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9"/>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9"/>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9"/>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9"/>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9"/>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9"/>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9"/>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9"/>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0"/>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8">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9"/>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9"/>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9"/>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9"/>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9"/>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9"/>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9"/>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9"/>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9"/>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9"/>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9"/>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9"/>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9"/>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9"/>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9"/>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9"/>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9"/>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8">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9"/>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9"/>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9"/>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0"/>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9">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9"/>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9"/>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9"/>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9"/>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9"/>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9"/>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9"/>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9"/>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9"/>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9"/>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9"/>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9"/>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9"/>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8">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9"/>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9"/>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9"/>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9"/>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9"/>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9"/>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9"/>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9"/>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9"/>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9"/>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0"/>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9">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9"/>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9"/>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9"/>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9"/>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9"/>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9"/>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9"/>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9"/>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9"/>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9"/>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9"/>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9"/>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9"/>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8">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9"/>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9"/>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9"/>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9"/>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9"/>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9"/>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9"/>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9"/>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9"/>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0"/>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8">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9"/>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9"/>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9"/>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9"/>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9"/>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9"/>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9"/>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9"/>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8">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9"/>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9"/>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9"/>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9"/>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9"/>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9"/>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9"/>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9"/>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9"/>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9"/>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9"/>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9"/>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9"/>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9"/>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8">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9"/>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9"/>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0"/>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8">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9"/>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9"/>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9"/>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9"/>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9"/>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9"/>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9"/>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9"/>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9"/>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9"/>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9"/>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9"/>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9"/>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9"/>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8">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9"/>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9"/>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9"/>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9"/>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9"/>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9"/>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9"/>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0"/>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8">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9"/>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9"/>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9"/>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9"/>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9"/>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9"/>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9"/>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9"/>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9"/>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9"/>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9"/>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9"/>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9"/>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9"/>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9"/>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8">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9"/>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9"/>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9"/>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9"/>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9"/>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9"/>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9"/>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9"/>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9"/>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9"/>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8">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9"/>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9"/>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9"/>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9"/>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9"/>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9"/>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9"/>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9"/>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8">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9"/>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9"/>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9"/>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9"/>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9"/>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9"/>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9"/>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9"/>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9"/>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9"/>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9"/>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9"/>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9"/>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9"/>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9"/>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9"/>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9"/>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9"/>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8">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9"/>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9"/>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9"/>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9"/>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SUM(E1030:E1131)</f>
        <v>-3.7370000000000014</v>
      </c>
      <c r="K1034" s="2">
        <f>SUM(E932:E1131)</f>
        <v>10.540000000000012</v>
      </c>
      <c r="L1034" s="2">
        <f>I1034/C1034</f>
        <v>0.9870000000000001</v>
      </c>
      <c r="O1034" s="58"/>
      <c r="P1034" s="58"/>
    </row>
    <row r="1035" spans="1:16">
      <c r="A1035"/>
      <c r="B1035" s="528">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9"/>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9"/>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9"/>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9"/>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9"/>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9"/>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9"/>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9"/>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9"/>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9"/>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9"/>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9"/>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8">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9"/>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9"/>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9"/>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9"/>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9"/>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9"/>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9"/>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9"/>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9"/>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9"/>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8">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9"/>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9"/>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9"/>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9"/>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9"/>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9"/>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9"/>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9"/>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9"/>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9"/>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9"/>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9"/>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9"/>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9"/>
      <c r="C1073" s="509">
        <v>1</v>
      </c>
      <c r="D1073" s="482"/>
      <c r="E1073" s="482">
        <f t="shared" si="34"/>
        <v>-1</v>
      </c>
      <c r="F1073" s="485">
        <f>SUM($E$2:E1073)/SUM($C$2:C1073)</f>
        <v>5.2525031694807829E-2</v>
      </c>
      <c r="G1073" s="478">
        <f t="shared" si="33"/>
        <v>56.306833976833992</v>
      </c>
      <c r="H1073" s="486" t="s">
        <v>32</v>
      </c>
      <c r="I1073" s="2">
        <f>SUM(E1059:E1073)</f>
        <v>-2.0339999999999998</v>
      </c>
      <c r="J1073" s="2">
        <f>SUM(E1030:E1136)</f>
        <v>-3.7370000000000014</v>
      </c>
      <c r="K1073" s="2">
        <f>SUM(E932:E1136)</f>
        <v>10.540000000000012</v>
      </c>
      <c r="L1073" s="2">
        <f>I1073/C1073</f>
        <v>-2.0339999999999998</v>
      </c>
      <c r="O1073" s="58"/>
      <c r="P1073" s="58"/>
    </row>
    <row r="1074" spans="1:16">
      <c r="A1074"/>
      <c r="B1074" s="528">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9"/>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9"/>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9"/>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9"/>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9"/>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9"/>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9"/>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9"/>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9"/>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9"/>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9"/>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9"/>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9"/>
      <c r="C1087" s="508">
        <v>1</v>
      </c>
      <c r="D1087" s="481"/>
      <c r="E1087" s="481">
        <f t="shared" si="34"/>
        <v>-1</v>
      </c>
      <c r="F1087" s="483">
        <f>SUM($E$2:E1087)/SUM($C$2:C1087)</f>
        <v>5.0779773459331476E-2</v>
      </c>
      <c r="G1087" s="479">
        <f t="shared" ref="G1087:G1117" si="35">G1086+E1087</f>
        <v>55.146833976833982</v>
      </c>
      <c r="H1087" s="484" t="s">
        <v>32</v>
      </c>
      <c r="I1087" s="2"/>
      <c r="J1087" s="2"/>
      <c r="K1087" s="2"/>
      <c r="L1087" s="2"/>
      <c r="O1087" s="58"/>
      <c r="P1087" s="58"/>
    </row>
    <row r="1088" spans="1:16">
      <c r="A1088"/>
      <c r="B1088" s="529"/>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9"/>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9"/>
      <c r="C1090" s="508">
        <v>1</v>
      </c>
      <c r="D1090" s="477"/>
      <c r="E1090" s="481">
        <f t="shared" ref="E1090:E1117"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29"/>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8">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29"/>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29"/>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29"/>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29"/>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29"/>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29"/>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29"/>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29"/>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29"/>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29"/>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SUM(E1030:E1133)</f>
        <v>-3.7370000000000014</v>
      </c>
      <c r="K1102" s="2">
        <f>SUM(E932:E1133)</f>
        <v>10.540000000000012</v>
      </c>
      <c r="L1102" s="2">
        <f>I1102/C1102</f>
        <v>2.0700000000000003</v>
      </c>
      <c r="O1102" s="58"/>
      <c r="P1102" s="58"/>
    </row>
    <row r="1103" spans="1:16">
      <c r="A1103"/>
      <c r="B1103" s="528">
        <v>46096</v>
      </c>
      <c r="C1103" s="508">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29"/>
      <c r="C1104" s="508">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29"/>
      <c r="C1105" s="508">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29"/>
      <c r="C1106" s="508">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29"/>
      <c r="C1107" s="509">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29"/>
      <c r="C1108" s="508">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29"/>
      <c r="C1109" s="508">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29"/>
      <c r="C1110" s="508">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29"/>
      <c r="C1111" s="508">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29"/>
      <c r="C1112" s="508">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29"/>
      <c r="C1113" s="509">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29"/>
      <c r="C1114" s="508">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29"/>
      <c r="C1115" s="508">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29"/>
      <c r="C1116" s="508">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0"/>
      <c r="C1117" s="509">
        <v>1</v>
      </c>
      <c r="D1117" s="520"/>
      <c r="E1117" s="482">
        <f t="shared" si="36"/>
        <v>-1</v>
      </c>
      <c r="F1117" s="485">
        <f>SUM($E$2:E1117)/SUM($C$2:C1117)</f>
        <v>5.0620818975657692E-2</v>
      </c>
      <c r="G1117" s="478">
        <f t="shared" si="35"/>
        <v>56.492833976833985</v>
      </c>
      <c r="H1117" s="486" t="s">
        <v>21</v>
      </c>
      <c r="I1117" s="2">
        <f>SUM(E1103:E1117)</f>
        <v>3.2759999999999998</v>
      </c>
      <c r="J1117" s="2">
        <f>SUM(E1030:E1127)</f>
        <v>-3.7370000000000014</v>
      </c>
      <c r="L1117" s="2">
        <f>I1117/C1117</f>
        <v>3.2759999999999998</v>
      </c>
      <c r="O1117" s="58"/>
      <c r="P1117" s="58"/>
    </row>
    <row r="1118" spans="1:16">
      <c r="A1118"/>
      <c r="D1118"/>
      <c r="E1118"/>
      <c r="F1118"/>
      <c r="G1118"/>
      <c r="L1118" s="2"/>
      <c r="N1118" s="19"/>
      <c r="O1118" s="58"/>
      <c r="P1118" s="58"/>
    </row>
    <row r="1119" spans="1:16">
      <c r="A1119"/>
      <c r="D1119"/>
      <c r="E1119"/>
      <c r="F1119"/>
      <c r="G1119"/>
      <c r="L1119" s="18"/>
      <c r="N1119" s="19"/>
      <c r="O1119" s="58"/>
      <c r="P1119" s="58"/>
    </row>
    <row r="1120" spans="1:16">
      <c r="A1120"/>
      <c r="D1120"/>
      <c r="E1120"/>
      <c r="F1120"/>
      <c r="G1120"/>
      <c r="O1120" s="58"/>
      <c r="P1120" s="58"/>
    </row>
    <row r="1121" spans="1:16">
      <c r="A1121"/>
      <c r="D1121"/>
      <c r="E1121"/>
      <c r="F1121"/>
      <c r="G1121"/>
      <c r="P1121" s="58"/>
    </row>
    <row r="1122" spans="1:16">
      <c r="A1122"/>
      <c r="D1122"/>
      <c r="E1122"/>
      <c r="F1122"/>
      <c r="G1122"/>
      <c r="P1122" s="58"/>
    </row>
    <row r="1123" spans="1:16">
      <c r="A1123"/>
      <c r="D1123"/>
      <c r="E1123"/>
      <c r="F1123"/>
      <c r="G1123"/>
      <c r="P1123" s="58"/>
    </row>
    <row r="1124" spans="1:16">
      <c r="A1124"/>
      <c r="D1124"/>
      <c r="E1124"/>
      <c r="F1124"/>
      <c r="G1124"/>
      <c r="P1124" s="58"/>
    </row>
    <row r="1125" spans="1:16">
      <c r="A1125"/>
      <c r="D1125"/>
      <c r="E1125"/>
      <c r="F1125"/>
      <c r="G1125"/>
    </row>
    <row r="1126" spans="1:16">
      <c r="A1126"/>
      <c r="D1126"/>
      <c r="E1126"/>
      <c r="F1126"/>
      <c r="G1126"/>
    </row>
    <row r="1127" spans="1:16">
      <c r="A1127"/>
      <c r="D1127"/>
      <c r="E1127"/>
      <c r="F1127"/>
      <c r="G1127"/>
    </row>
    <row r="1128" spans="1:16">
      <c r="A1128"/>
      <c r="D1128"/>
      <c r="E1128"/>
      <c r="F1128"/>
      <c r="G1128"/>
    </row>
    <row r="1129" spans="1:16">
      <c r="A1129"/>
      <c r="D1129"/>
      <c r="E1129"/>
      <c r="F1129"/>
      <c r="G1129"/>
    </row>
    <row r="1130" spans="1:16">
      <c r="A1130"/>
      <c r="D1130"/>
      <c r="E1130"/>
      <c r="F1130"/>
      <c r="G1130"/>
    </row>
    <row r="1131" spans="1:16">
      <c r="A1131"/>
      <c r="D1131"/>
      <c r="E1131"/>
      <c r="F1131"/>
      <c r="G1131"/>
    </row>
    <row r="1132" spans="1:16">
      <c r="A1132"/>
      <c r="D1132"/>
      <c r="E1132"/>
      <c r="F1132"/>
      <c r="G1132"/>
    </row>
    <row r="1133" spans="1:16">
      <c r="A1133"/>
      <c r="D1133"/>
      <c r="E1133"/>
      <c r="F1133"/>
      <c r="G1133"/>
    </row>
    <row r="1134" spans="1:16">
      <c r="A1134"/>
      <c r="D1134"/>
      <c r="E1134"/>
      <c r="F1134"/>
      <c r="G1134"/>
    </row>
    <row r="1135" spans="1:16">
      <c r="A1135"/>
      <c r="D1135"/>
      <c r="E1135"/>
      <c r="F1135"/>
      <c r="G1135"/>
    </row>
    <row r="1136" spans="1:16">
      <c r="A1136"/>
      <c r="D1136"/>
      <c r="E1136"/>
      <c r="F1136"/>
      <c r="G1136"/>
    </row>
    <row r="1137" spans="1:14">
      <c r="A1137"/>
      <c r="D1137"/>
      <c r="E1137"/>
      <c r="F1137"/>
      <c r="G1137"/>
    </row>
    <row r="1138" spans="1:14">
      <c r="A1138"/>
      <c r="D1138"/>
      <c r="E1138"/>
      <c r="F1138"/>
      <c r="G1138"/>
    </row>
    <row r="1139" spans="1:14">
      <c r="A1139"/>
      <c r="D1139"/>
      <c r="E1139"/>
      <c r="F1139"/>
      <c r="G1139"/>
    </row>
    <row r="1140" spans="1:14">
      <c r="A1140"/>
      <c r="D1140"/>
      <c r="E1140"/>
      <c r="F1140"/>
      <c r="G1140"/>
    </row>
    <row r="1141" spans="1:14">
      <c r="A1141"/>
      <c r="B1141" s="457" t="s">
        <v>408</v>
      </c>
      <c r="C1141" s="458" t="s">
        <v>1</v>
      </c>
      <c r="D1141" s="488"/>
      <c r="E1141" s="489" t="s">
        <v>3</v>
      </c>
      <c r="F1141" s="490" t="s">
        <v>4</v>
      </c>
      <c r="G1141"/>
      <c r="H1141" s="531" t="s">
        <v>409</v>
      </c>
      <c r="I1141" s="531"/>
    </row>
    <row r="1142" spans="1:14">
      <c r="A1142"/>
      <c r="B1142" s="145" t="s">
        <v>410</v>
      </c>
      <c r="C1142" s="146" t="e">
        <f>SUM(#REF!)</f>
        <v>#REF!</v>
      </c>
      <c r="D1142" s="146"/>
      <c r="E1142" s="146" t="e">
        <f>SUM(#REF!)</f>
        <v>#REF!</v>
      </c>
      <c r="F1142" s="491" t="e">
        <f>E1142/C1142</f>
        <v>#REF!</v>
      </c>
      <c r="G1142" s="138"/>
      <c r="H1142" s="362"/>
    </row>
    <row r="1143" spans="1:14">
      <c r="A1143"/>
      <c r="B1143" s="145" t="s">
        <v>411</v>
      </c>
      <c r="C1143" s="146" t="e">
        <f>SUM(#REF!)</f>
        <v>#REF!</v>
      </c>
      <c r="D1143" s="146"/>
      <c r="E1143" s="146" t="e">
        <f>SUM(#REF!)</f>
        <v>#REF!</v>
      </c>
      <c r="F1143" s="491" t="e">
        <f>E1143/C1143</f>
        <v>#REF!</v>
      </c>
      <c r="G1143" s="138"/>
      <c r="H1143" s="362"/>
      <c r="I1143" s="523"/>
    </row>
    <row r="1144" spans="1:14">
      <c r="A1144"/>
      <c r="B1144" s="145" t="s">
        <v>412</v>
      </c>
      <c r="C1144" s="146" t="e">
        <f>SUM(#REF!)</f>
        <v>#REF!</v>
      </c>
      <c r="D1144" s="146"/>
      <c r="E1144" s="452" t="e">
        <f>SUM(#REF!)</f>
        <v>#REF!</v>
      </c>
      <c r="F1144" s="152" t="e">
        <f>E1144/C1144</f>
        <v>#REF!</v>
      </c>
      <c r="G1144" s="532" t="s">
        <v>413</v>
      </c>
      <c r="H1144" s="533"/>
    </row>
    <row r="1145" spans="1:14">
      <c r="A1145"/>
      <c r="B1145" s="145" t="s">
        <v>414</v>
      </c>
      <c r="C1145" s="146">
        <f>SUM(C2:C125)</f>
        <v>124</v>
      </c>
      <c r="D1145" s="146"/>
      <c r="E1145" s="146">
        <f>SUM(E2:E125)</f>
        <v>-1.5479999999999898</v>
      </c>
      <c r="F1145" s="491">
        <f>E1145/C1145</f>
        <v>-1.2483870967741853E-2</v>
      </c>
      <c r="G1145"/>
    </row>
    <row r="1146" spans="1:14">
      <c r="A1146"/>
      <c r="B1146" s="145" t="s">
        <v>415</v>
      </c>
      <c r="C1146" s="146">
        <f>SUM(C126:C180)</f>
        <v>55</v>
      </c>
      <c r="D1146" s="146"/>
      <c r="E1146" s="146">
        <f>SUM(E126:E180)</f>
        <v>4.5710000000000006</v>
      </c>
      <c r="F1146" s="491">
        <f>E1146/C1146</f>
        <v>8.3109090909090924E-2</v>
      </c>
      <c r="G1146"/>
    </row>
    <row r="1147" spans="1:14">
      <c r="A1147"/>
      <c r="B1147" s="145" t="s">
        <v>416</v>
      </c>
      <c r="C1147" s="146">
        <f>SUM(C181:C263)</f>
        <v>83</v>
      </c>
      <c r="D1147" s="146"/>
      <c r="E1147" s="146">
        <f>SUM(E181:E263)</f>
        <v>6.3589999999999991</v>
      </c>
      <c r="F1147" s="491">
        <f>E1147/C1147</f>
        <v>7.6614457831325297E-2</v>
      </c>
      <c r="G1147"/>
    </row>
    <row r="1148" spans="1:14">
      <c r="A1148"/>
      <c r="B1148" s="145" t="s">
        <v>417</v>
      </c>
      <c r="C1148" s="146">
        <f>SUM(C264:C357)</f>
        <v>94</v>
      </c>
      <c r="D1148" s="146"/>
      <c r="E1148" s="146">
        <f>SUM(E264:E357)</f>
        <v>3.7619999999999987</v>
      </c>
      <c r="F1148" s="491">
        <f>E1148/C1148</f>
        <v>4.0021276595744663E-2</v>
      </c>
      <c r="G1148"/>
      <c r="M1148" s="454"/>
    </row>
    <row r="1149" spans="1:14">
      <c r="A1149"/>
      <c r="B1149" s="145" t="s">
        <v>418</v>
      </c>
      <c r="C1149" s="146">
        <f>SUM(C358:C454)</f>
        <v>97</v>
      </c>
      <c r="D1149" s="146"/>
      <c r="E1149" s="146">
        <f>SUM(E358:E454)</f>
        <v>4.6408339768339824</v>
      </c>
      <c r="F1149" s="491">
        <f>E1149/C1149</f>
        <v>4.7843649245711162E-2</v>
      </c>
      <c r="G1149"/>
      <c r="I1149" s="453">
        <v>-50.734390000000062</v>
      </c>
      <c r="J1149" s="454">
        <v>46.224360000000004</v>
      </c>
      <c r="K1149" s="454">
        <f>I1149+J1149</f>
        <v>-4.5100300000000573</v>
      </c>
      <c r="L1149" s="453"/>
      <c r="M1149" s="454"/>
    </row>
    <row r="1150" spans="1:14">
      <c r="A1150"/>
      <c r="B1150" s="145" t="s">
        <v>419</v>
      </c>
      <c r="C1150" s="146">
        <f>SUM(C455:C519)</f>
        <v>65</v>
      </c>
      <c r="D1150" s="146"/>
      <c r="E1150" s="146">
        <f>SUM(E455:E519)</f>
        <v>-8.9409999999999989</v>
      </c>
      <c r="F1150" s="491">
        <f>E1150/C1150</f>
        <v>-0.13755384615384614</v>
      </c>
      <c r="G1150"/>
      <c r="I1150" s="453">
        <v>-31.943870000000008</v>
      </c>
      <c r="J1150" s="455">
        <v>45.426540000000003</v>
      </c>
      <c r="K1150" s="454">
        <f>I1150+J1150</f>
        <v>13.482669999999995</v>
      </c>
      <c r="L1150" s="453"/>
      <c r="M1150" s="454"/>
    </row>
    <row r="1151" spans="1:14">
      <c r="A1151"/>
      <c r="B1151" s="145" t="s">
        <v>420</v>
      </c>
      <c r="C1151" s="146">
        <f>SUM(C520:C556)</f>
        <v>37</v>
      </c>
      <c r="D1151" s="146"/>
      <c r="E1151" s="146">
        <f>SUM(E520:E556)</f>
        <v>9.789000000000005</v>
      </c>
      <c r="F1151" s="152">
        <f>E1151/C1151</f>
        <v>0.26456756756756772</v>
      </c>
      <c r="G1151"/>
      <c r="I1151" s="453">
        <v>-27.048020000000008</v>
      </c>
      <c r="J1151" s="454">
        <v>38.596669999999996</v>
      </c>
      <c r="K1151" s="454">
        <f>I1151+J1151</f>
        <v>11.548649999999988</v>
      </c>
      <c r="L1151" s="453"/>
      <c r="M1151" s="454"/>
      <c r="N1151" s="454"/>
    </row>
    <row r="1152" spans="1:14">
      <c r="A1152"/>
      <c r="B1152" s="145" t="s">
        <v>421</v>
      </c>
      <c r="C1152" s="146">
        <f>SUM(C557:C613)</f>
        <v>57</v>
      </c>
      <c r="D1152" s="146"/>
      <c r="E1152" s="452">
        <f>SUM(E557:E613)</f>
        <v>15.689000000000005</v>
      </c>
      <c r="F1152" s="491">
        <f>E1152/C1152</f>
        <v>0.27524561403508779</v>
      </c>
      <c r="G1152"/>
      <c r="I1152" s="453">
        <v>-9.4171099999999885</v>
      </c>
      <c r="J1152" s="454">
        <v>24.18810999999998</v>
      </c>
      <c r="K1152" s="454">
        <f>I1152+J1152</f>
        <v>14.770999999999992</v>
      </c>
      <c r="L1152" s="453"/>
      <c r="M1152" s="454"/>
    </row>
    <row r="1153" spans="1:13">
      <c r="A1153"/>
      <c r="B1153" s="145" t="s">
        <v>422</v>
      </c>
      <c r="C1153" s="146">
        <f>SUM(C614:C692)</f>
        <v>79</v>
      </c>
      <c r="D1153" s="146"/>
      <c r="E1153" s="146">
        <f>SUM(E614:E692)</f>
        <v>15.838000000000001</v>
      </c>
      <c r="F1153" s="491">
        <f>E1153/C1153</f>
        <v>0.20048101265822785</v>
      </c>
      <c r="G1153"/>
      <c r="I1153" s="453">
        <f>SUM(I1149:I1152)</f>
        <v>-119.14339000000007</v>
      </c>
      <c r="J1153" s="453">
        <f>SUM(J1149:J1152)</f>
        <v>154.43567999999999</v>
      </c>
      <c r="K1153" s="454">
        <f>SUM(K1149:K1152)</f>
        <v>35.292289999999916</v>
      </c>
      <c r="L1153" s="453"/>
      <c r="M1153" s="454"/>
    </row>
    <row r="1154" spans="1:13">
      <c r="A1154"/>
      <c r="B1154" s="145" t="s">
        <v>423</v>
      </c>
      <c r="C1154" s="146">
        <f>SUM(C693:C756)</f>
        <v>64</v>
      </c>
      <c r="D1154" s="146"/>
      <c r="E1154" s="146">
        <f>SUM(E693:E756)</f>
        <v>0.9469999999999994</v>
      </c>
      <c r="F1154" s="491">
        <f>E1154/C1154</f>
        <v>1.4796874999999991E-2</v>
      </c>
      <c r="G1154"/>
      <c r="I1154" s="453"/>
      <c r="J1154" s="453"/>
      <c r="K1154" s="454"/>
      <c r="M1154" s="454"/>
    </row>
    <row r="1155" spans="1:13">
      <c r="A1155"/>
      <c r="B1155" s="145" t="s">
        <v>424</v>
      </c>
      <c r="C1155" s="146">
        <f>SUM(C898:C898)</f>
        <v>1</v>
      </c>
      <c r="D1155" s="146"/>
      <c r="E1155" s="146">
        <f>SUM(E898:E898)</f>
        <v>-1</v>
      </c>
      <c r="F1155" s="491">
        <f>E1155/C1155</f>
        <v>-1</v>
      </c>
      <c r="G1155" s="138">
        <v>-117.22220276640927</v>
      </c>
      <c r="H1155" s="362">
        <v>156.29627035521236</v>
      </c>
      <c r="I1155" s="453"/>
      <c r="J1155" s="453"/>
      <c r="K1155" s="454"/>
      <c r="M1155" s="454"/>
    </row>
    <row r="1156" spans="1:13">
      <c r="A1156"/>
      <c r="B1156" s="142"/>
      <c r="C1156" s="143"/>
      <c r="D1156" s="143"/>
      <c r="E1156" s="143"/>
      <c r="F1156" s="144"/>
      <c r="G1156" s="492"/>
      <c r="H1156" s="229"/>
    </row>
    <row r="1157" spans="1:13">
      <c r="A1157"/>
      <c r="D1157"/>
      <c r="E1157" s="137"/>
      <c r="F1157"/>
      <c r="G1157" s="227"/>
      <c r="H1157" s="227"/>
    </row>
    <row r="1158" spans="1:13">
      <c r="A1158"/>
      <c r="C1158" s="43" t="e">
        <f>SUM(C1142:C1157)</f>
        <v>#REF!</v>
      </c>
      <c r="D1158" s="42"/>
      <c r="E1158" s="43" t="e">
        <f>SUM(E1142:E1157)</f>
        <v>#REF!</v>
      </c>
      <c r="F1158" s="44" t="e">
        <f>E1158/C1158</f>
        <v>#REF!</v>
      </c>
      <c r="G1158" s="42" t="s">
        <v>425</v>
      </c>
      <c r="H1158" s="228"/>
    </row>
    <row r="1159" spans="1:13">
      <c r="A1159"/>
      <c r="C1159" s="43">
        <f>SUM(C1145:C1156)</f>
        <v>756</v>
      </c>
      <c r="D1159" s="42"/>
      <c r="E1159" s="43">
        <f>SUM(E1145:E1156)</f>
        <v>50.106833976834004</v>
      </c>
      <c r="F1159" s="44">
        <f>E1159/C1159</f>
        <v>6.6278880921738101E-2</v>
      </c>
      <c r="G1159" s="42" t="s">
        <v>426</v>
      </c>
      <c r="H1159" s="57"/>
      <c r="I1159" s="236">
        <v>40</v>
      </c>
      <c r="J1159" s="236">
        <v>21062</v>
      </c>
    </row>
    <row r="1160" spans="1:13">
      <c r="A1160"/>
      <c r="C1160" s="43">
        <f>SUM(C704:C756)</f>
        <v>53</v>
      </c>
      <c r="D1160" s="42"/>
      <c r="E1160" s="43">
        <f>SUM(E704:E756)</f>
        <v>-0.38900000000000112</v>
      </c>
      <c r="F1160" s="44">
        <f>E1160/C1160</f>
        <v>-7.3396226415094554E-3</v>
      </c>
      <c r="G1160" s="493">
        <v>100</v>
      </c>
      <c r="I1160" s="456">
        <f>J1160*I1159/J1159</f>
        <v>40.831829835723106</v>
      </c>
      <c r="J1160" s="236">
        <v>21500</v>
      </c>
    </row>
    <row r="1161" spans="1:13">
      <c r="A1161"/>
      <c r="D1161"/>
      <c r="E1161"/>
      <c r="F1161"/>
      <c r="G1161"/>
    </row>
    <row r="1162" spans="1:13">
      <c r="A1162"/>
      <c r="D1162"/>
      <c r="E1162"/>
      <c r="F1162"/>
      <c r="G1162"/>
    </row>
    <row r="1163" spans="1:13">
      <c r="A1163"/>
      <c r="D1163"/>
      <c r="E1163"/>
      <c r="F1163"/>
      <c r="G1163"/>
      <c r="H1163" s="57"/>
    </row>
    <row r="1164" spans="1:13">
      <c r="A1164"/>
      <c r="D1164"/>
      <c r="E1164"/>
      <c r="F1164"/>
      <c r="G1164"/>
      <c r="H1164" s="57"/>
    </row>
    <row r="1165" spans="1:13">
      <c r="A1165"/>
      <c r="D1165"/>
      <c r="E1165">
        <v>4.2</v>
      </c>
      <c r="F1165">
        <v>18.899999999999999</v>
      </c>
      <c r="G1165"/>
      <c r="H1165" s="57"/>
    </row>
    <row r="1166" spans="1:13">
      <c r="A1166"/>
      <c r="D1166"/>
      <c r="E1166">
        <v>100</v>
      </c>
      <c r="F1166">
        <f>E1166*F1165/E1165</f>
        <v>449.99999999999994</v>
      </c>
      <c r="G1166"/>
      <c r="H1166" s="57"/>
    </row>
    <row r="1167" spans="1:13">
      <c r="A1167"/>
      <c r="D1167"/>
      <c r="E1167"/>
      <c r="F1167"/>
      <c r="G1167"/>
      <c r="H1167" s="57"/>
    </row>
    <row r="1168" spans="1:13">
      <c r="A1168"/>
      <c r="D1168"/>
      <c r="E1168"/>
      <c r="F1168"/>
      <c r="G1168"/>
      <c r="H1168" s="57"/>
    </row>
    <row r="1169" spans="1:8">
      <c r="A1169"/>
      <c r="D1169"/>
      <c r="E1169"/>
      <c r="F1169"/>
      <c r="G1169"/>
      <c r="H1169" s="57"/>
    </row>
    <row r="1170" spans="1:8">
      <c r="A1170"/>
      <c r="D1170"/>
      <c r="E1170"/>
      <c r="F1170"/>
      <c r="G1170"/>
      <c r="H1170" s="57"/>
    </row>
    <row r="1171" spans="1:8">
      <c r="A1171"/>
      <c r="D1171"/>
      <c r="E1171"/>
      <c r="F1171"/>
      <c r="G1171"/>
      <c r="H1171" s="57"/>
    </row>
    <row r="1172" spans="1:8">
      <c r="A1172"/>
      <c r="D1172"/>
      <c r="E1172"/>
      <c r="F1172"/>
      <c r="G1172"/>
      <c r="H1172" s="57"/>
    </row>
    <row r="1173" spans="1:8">
      <c r="A1173"/>
      <c r="D1173"/>
      <c r="E1173"/>
      <c r="F1173"/>
      <c r="G1173"/>
      <c r="H1173" s="57"/>
    </row>
    <row r="1174" spans="1:8">
      <c r="A1174"/>
      <c r="D1174"/>
      <c r="E1174"/>
      <c r="F1174"/>
      <c r="G1174"/>
    </row>
  </sheetData>
  <sortState xmlns:xlrd2="http://schemas.microsoft.com/office/spreadsheetml/2017/richdata2" ref="I555:K558">
    <sortCondition ref="I555:I558"/>
  </sortState>
  <mergeCells count="96">
    <mergeCell ref="B231:B249"/>
    <mergeCell ref="B250:B263"/>
    <mergeCell ref="B264:B276"/>
    <mergeCell ref="B277:B302"/>
    <mergeCell ref="B379:B387"/>
    <mergeCell ref="B344:B357"/>
    <mergeCell ref="B358:B378"/>
    <mergeCell ref="B303:B314"/>
    <mergeCell ref="B315:B331"/>
    <mergeCell ref="B332:B343"/>
    <mergeCell ref="B165:B180"/>
    <mergeCell ref="B181:B190"/>
    <mergeCell ref="B191:B196"/>
    <mergeCell ref="B197:B220"/>
    <mergeCell ref="B221:B230"/>
    <mergeCell ref="B150:B164"/>
    <mergeCell ref="B93:B110"/>
    <mergeCell ref="B111:B125"/>
    <mergeCell ref="B126:B134"/>
    <mergeCell ref="B135:B139"/>
    <mergeCell ref="B140:B149"/>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G1144:H1144"/>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799:B803"/>
    <mergeCell ref="H1141:I1141"/>
    <mergeCell ref="B1030:B1034"/>
    <mergeCell ref="B1035:B1047"/>
    <mergeCell ref="B1048:B1058"/>
    <mergeCell ref="B1059:B1073"/>
    <mergeCell ref="B1074:B1091"/>
    <mergeCell ref="B1092:B1102"/>
    <mergeCell ref="B1103:B1117"/>
  </mergeCells>
  <conditionalFormatting sqref="F1142:F1156 F2">
    <cfRule type="cellIs" dxfId="107" priority="37" stopIfTrue="1" operator="greaterThan">
      <formula>5</formula>
    </cfRule>
  </conditionalFormatting>
  <conditionalFormatting sqref="F1158:F1160">
    <cfRule type="cellIs" dxfId="106" priority="27" operator="equal">
      <formula>$B$906</formula>
    </cfRule>
  </conditionalFormatting>
  <conditionalFormatting sqref="N1118:N1119">
    <cfRule type="cellIs" dxfId="105" priority="34" operator="greaterThan">
      <formula>0.5</formula>
    </cfRule>
  </conditionalFormatting>
  <conditionalFormatting sqref="F3:F1029">
    <cfRule type="cellIs" dxfId="104" priority="8" stopIfTrue="1" operator="greaterThan">
      <formula>5</formula>
    </cfRule>
  </conditionalFormatting>
  <conditionalFormatting sqref="F1030:F1034">
    <cfRule type="cellIs" dxfId="103" priority="7" stopIfTrue="1" operator="greaterThan">
      <formula>5</formula>
    </cfRule>
  </conditionalFormatting>
  <conditionalFormatting sqref="F1035:F1047">
    <cfRule type="cellIs" dxfId="102" priority="6" stopIfTrue="1" operator="greaterThan">
      <formula>5</formula>
    </cfRule>
  </conditionalFormatting>
  <conditionalFormatting sqref="F1048:F1058">
    <cfRule type="cellIs" dxfId="101" priority="5" stopIfTrue="1" operator="greaterThan">
      <formula>5</formula>
    </cfRule>
  </conditionalFormatting>
  <conditionalFormatting sqref="F1059:F1073">
    <cfRule type="cellIs" dxfId="100" priority="4" stopIfTrue="1" operator="greaterThan">
      <formula>5</formula>
    </cfRule>
  </conditionalFormatting>
  <conditionalFormatting sqref="F1074:F1091">
    <cfRule type="cellIs" dxfId="99" priority="3" stopIfTrue="1" operator="greaterThan">
      <formula>5</formula>
    </cfRule>
  </conditionalFormatting>
  <conditionalFormatting sqref="F1092:F1102">
    <cfRule type="cellIs" dxfId="98" priority="2" stopIfTrue="1" operator="greaterThan">
      <formula>5</formula>
    </cfRule>
  </conditionalFormatting>
  <conditionalFormatting sqref="F1103:F1117">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427</v>
      </c>
      <c r="C1" s="379" t="s">
        <v>428</v>
      </c>
      <c r="D1" s="379" t="s">
        <v>429</v>
      </c>
      <c r="E1" s="399" t="s">
        <v>430</v>
      </c>
      <c r="F1" s="379" t="s">
        <v>431</v>
      </c>
      <c r="G1" s="379" t="s">
        <v>432</v>
      </c>
      <c r="H1" s="379" t="s">
        <v>433</v>
      </c>
      <c r="I1" s="400" t="s">
        <v>434</v>
      </c>
      <c r="J1" s="398" t="s">
        <v>435</v>
      </c>
      <c r="K1" s="379" t="s">
        <v>436</v>
      </c>
      <c r="L1" s="379" t="s">
        <v>437</v>
      </c>
      <c r="M1" s="379" t="s">
        <v>438</v>
      </c>
      <c r="N1" s="379" t="s">
        <v>439</v>
      </c>
      <c r="O1" s="401" t="s">
        <v>440</v>
      </c>
      <c r="P1" s="378" t="s">
        <v>441</v>
      </c>
      <c r="Q1" s="379" t="s">
        <v>408</v>
      </c>
      <c r="R1" s="379" t="s">
        <v>442</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443</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444</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445</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446</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447</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448</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449</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450</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451</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452</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453</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454</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455</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456</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457</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458</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459</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460</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461</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462</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463</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464</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465</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466</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467</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468</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469</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470</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471</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472</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473</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474</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475</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476</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477</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478</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479</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480</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481</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482</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483</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484</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485</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486</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487</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488</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489</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490</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491</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492</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493</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494</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495</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496</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497</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498</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499</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500</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501</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502</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503</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504</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505</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506</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507</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508</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509</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510</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511</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512</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513</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514</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515</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516</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517</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518</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519</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520</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521</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522</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450</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523</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524</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525</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526</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527</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528</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529</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530</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531</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532</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533</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534</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535</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536</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537</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445</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538</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481</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539</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540</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541</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542</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543</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544</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545</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546</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547</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548</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549</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550</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537</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551</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552</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553</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554</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555</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556</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557</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558</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559</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560</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561</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562</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563</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498</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564</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565</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566</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567</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558</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568</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569</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570</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571</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572</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499</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573</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574</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575</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576</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577</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578</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579</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580</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569</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581</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582</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583</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584</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478</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585</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586</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587</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588</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589</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590</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465</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591</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592</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466</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593</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594</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595</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596</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597</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598</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599</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600</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544</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601</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602</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603</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483</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604</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605</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606</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607</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608</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609</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610</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532</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611</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612</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613</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614</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615</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616</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617</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618</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520</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619</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620</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621</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513</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622</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623</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624</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625</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626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627</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628</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629</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554</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472</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630</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631</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632</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633</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634</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635</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636</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637</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508</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486</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638</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639</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640</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641</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642</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643</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644</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645</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646</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647</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648</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535</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649</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413</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650</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651</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652</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618</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653</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654</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655</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656</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657</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658</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639</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534</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659</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660</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615</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458</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661</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662</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663</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664</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665</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666</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575</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667</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668</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661</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669</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670</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524</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671</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672</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673</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674</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675</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676</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677</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678</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679</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680</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681</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682</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683</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684</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685</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686</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687</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688</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578</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446</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689</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690</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691</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692</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693</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689</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690</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694</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695</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579</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642</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566</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696</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697</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698</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699</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700</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701</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702</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703</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704</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705</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706</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707</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708</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709</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710</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551</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711</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712</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713</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704</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714</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715</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716</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717</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718</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719</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720</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721</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722</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723</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724</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649</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725</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726</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727</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728</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723</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471</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729</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730</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731</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732</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603</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733</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613</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583</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734</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735</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736</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737</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738</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739</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740</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741</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742</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743</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744</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745</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746</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747</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741</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748</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591</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749</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750</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751</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752</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753</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521</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754</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755</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756</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757</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758</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759</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659</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760</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761</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762</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763</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764</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561</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765</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550</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766</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767</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768</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670</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769</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770</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771</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772</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773</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774</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596</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775</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776</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777</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778</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779</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780</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781</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782</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783</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784</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785</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786</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764</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787</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788</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789</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790</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791</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792</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793</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497</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794</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518</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795</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796</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797</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798</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794</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799</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800</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539</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801</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802</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803</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804</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805</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806</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807</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556</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808</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809</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443</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632</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810</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811</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812</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534</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693</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5">
        <f>F819/E819</f>
        <v>0.48714810281517745</v>
      </c>
      <c r="F820" s="536"/>
      <c r="G820" s="550">
        <f>(J819+F819)/(E819+I819)</f>
        <v>0.46572827417380663</v>
      </c>
      <c r="H820" s="551"/>
      <c r="I820" s="549">
        <f>J819/I819</f>
        <v>0.44430844553243576</v>
      </c>
      <c r="J820" s="548"/>
      <c r="L820" s="547">
        <f>M819/L819</f>
        <v>0.45654834761321911</v>
      </c>
      <c r="M820" s="548"/>
      <c r="P820" s="449">
        <f>P819/I819</f>
        <v>0.52264381884944922</v>
      </c>
    </row>
    <row r="821" spans="1:18">
      <c r="A821" s="418"/>
      <c r="E821" s="543">
        <f>1/E820</f>
        <v>2.0527638190954773</v>
      </c>
      <c r="F821" s="544"/>
      <c r="I821" s="545">
        <f>1/I820</f>
        <v>2.2506887052341598</v>
      </c>
      <c r="J821" s="546"/>
      <c r="L821" s="545">
        <f>1/L820</f>
        <v>2.1903485254691688</v>
      </c>
      <c r="M821" s="546"/>
      <c r="P821" s="450">
        <f>1/P820</f>
        <v>1.9133489461358313</v>
      </c>
      <c r="Q821" s="359"/>
    </row>
    <row r="822" spans="1:18">
      <c r="A822" s="418"/>
      <c r="E822" s="535">
        <f>1-E820</f>
        <v>0.5128518971848226</v>
      </c>
      <c r="F822" s="536"/>
      <c r="I822" s="541">
        <f>1-I820</f>
        <v>0.55569155446756424</v>
      </c>
      <c r="J822" s="542"/>
      <c r="L822" s="541">
        <f>1-L820</f>
        <v>0.54345165238678095</v>
      </c>
      <c r="M822" s="542"/>
      <c r="P822" s="359"/>
      <c r="Q822" s="359"/>
    </row>
    <row r="823" spans="1:18">
      <c r="A823" s="418"/>
      <c r="E823" s="537">
        <f>1/(1-E820)</f>
        <v>1.9498806682577563</v>
      </c>
      <c r="F823" s="538"/>
      <c r="I823" s="539">
        <f>1/(1-I820)</f>
        <v>1.7995594713656389</v>
      </c>
      <c r="J823" s="540"/>
      <c r="L823" s="539">
        <f>1/(1-L820)</f>
        <v>1.8400900900900901</v>
      </c>
      <c r="M823" s="540"/>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813</v>
      </c>
      <c r="B1" s="552"/>
      <c r="C1" s="552"/>
    </row>
    <row r="2" spans="1:8">
      <c r="A2" s="422" t="s">
        <v>814</v>
      </c>
      <c r="B2" s="433">
        <f ca="1">TODAY()-1</f>
        <v>46096</v>
      </c>
    </row>
    <row r="4" spans="1:8">
      <c r="A4" s="422" t="s">
        <v>815</v>
      </c>
      <c r="B4" s="422" t="s">
        <v>816</v>
      </c>
      <c r="C4" s="438">
        <f>_xlfn.XLOOKUP(B4,Referencia!B2:B60,Referencia!A2:A60)</f>
        <v>7</v>
      </c>
    </row>
    <row r="6" spans="1:8">
      <c r="A6" t="s">
        <v>817</v>
      </c>
      <c r="B6">
        <f>COUNTIFS(Jornada!Q2:Q818, C4, Jornada!E2:E818, "&lt;&gt;")</f>
        <v>28</v>
      </c>
    </row>
    <row r="7" spans="1:8">
      <c r="A7" t="s">
        <v>818</v>
      </c>
      <c r="B7" s="522">
        <f>COUNTIFS(Jornada!Q2:Q818,C4,Jornada!F2:F818,1)</f>
        <v>16</v>
      </c>
      <c r="C7" s="424">
        <f>COUNTIFS(Jornada!Q2:Q818,C4,Jornada!F2:F818,1) / COUNTIFS(Jornada!Q2:Q818, C4, Jornada!E2:E818, "&lt;&gt;")</f>
        <v>0.5714285714285714</v>
      </c>
      <c r="D7" s="416">
        <f>1-C7</f>
        <v>0.4285714285714286</v>
      </c>
      <c r="E7" s="18"/>
    </row>
    <row r="8" spans="1:8">
      <c r="A8" t="s">
        <v>819</v>
      </c>
      <c r="B8" s="522">
        <f>COUNTIFS(Jornada!Q2:Q818,C4,Jornada!J2:J818,1)</f>
        <v>12</v>
      </c>
      <c r="C8" s="459">
        <f>COUNTIFS(Jornada!Q2:Q818,C4,Jornada!J2:J818,1) / COUNTIFS(Jornada!Q2:Q818, C4, Jornada!E2:E818, "&lt;&gt;")</f>
        <v>0.42857142857142855</v>
      </c>
      <c r="D8" s="416">
        <f t="shared" ref="D8:D10" si="0">1-C8</f>
        <v>0.5714285714285714</v>
      </c>
      <c r="E8" s="18"/>
      <c r="H8" s="18"/>
    </row>
    <row r="9" spans="1:8">
      <c r="A9" t="s">
        <v>820</v>
      </c>
      <c r="B9">
        <f>COUNTIFS(Jornada!Q2:Q818,C4,Jornada!M2:M818,1)</f>
        <v>15</v>
      </c>
      <c r="C9" s="460">
        <f>COUNTIFS(Jornada!Q2:Q818,C4,Jornada!M2:M818,1) / COUNTIFS(Jornada!Q2:Q818, C4, Jornada!E2:E818, "&lt;&gt;")</f>
        <v>0.5357142857142857</v>
      </c>
      <c r="D9" s="416">
        <f t="shared" si="0"/>
        <v>0.4642857142857143</v>
      </c>
      <c r="E9" s="18"/>
      <c r="H9" s="18"/>
    </row>
    <row r="10" spans="1:8">
      <c r="A10" t="s">
        <v>821</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822</v>
      </c>
      <c r="B12" s="422" t="s">
        <v>823</v>
      </c>
    </row>
    <row r="14" spans="1:8">
      <c r="A14" t="s">
        <v>817</v>
      </c>
      <c r="B14">
        <f>COUNTIFS(Jornada!R2:R818,B12, Jornada!E2:E818, "&lt;&gt;")</f>
        <v>87</v>
      </c>
    </row>
    <row r="15" spans="1:8">
      <c r="A15" t="s">
        <v>818</v>
      </c>
      <c r="B15">
        <f>COUNTIFS(Jornada!R2:R818,B12,Jornada!F2:F818,1)</f>
        <v>50</v>
      </c>
      <c r="C15" s="417">
        <f>B15/$B$14</f>
        <v>0.57471264367816088</v>
      </c>
      <c r="D15" s="416">
        <f>1-C15</f>
        <v>0.42528735632183912</v>
      </c>
    </row>
    <row r="16" spans="1:8">
      <c r="A16" t="s">
        <v>819</v>
      </c>
      <c r="B16">
        <f>COUNTIFS(Jornada!R2:R818,B12,Jornada!J2:J818,1)</f>
        <v>40</v>
      </c>
      <c r="C16" s="462">
        <f t="shared" ref="C16:C18" si="1">B16/$B$14</f>
        <v>0.45977011494252873</v>
      </c>
      <c r="D16" s="416">
        <f t="shared" ref="D16:D18" si="2">1-C16</f>
        <v>0.54022988505747127</v>
      </c>
    </row>
    <row r="17" spans="1:8">
      <c r="A17" t="s">
        <v>820</v>
      </c>
      <c r="B17">
        <f>COUNTIFS(Jornada!R2:R818,B12,Jornada!M2:M818,1)</f>
        <v>46</v>
      </c>
      <c r="C17" s="463">
        <f t="shared" si="1"/>
        <v>0.52873563218390807</v>
      </c>
      <c r="D17" s="416">
        <f t="shared" si="2"/>
        <v>0.47126436781609193</v>
      </c>
    </row>
    <row r="18" spans="1:8">
      <c r="A18" t="s">
        <v>821</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824</v>
      </c>
      <c r="C1" t="s">
        <v>825</v>
      </c>
      <c r="D1" t="s">
        <v>826</v>
      </c>
      <c r="E1" s="18" t="s">
        <v>827</v>
      </c>
      <c r="F1" t="s">
        <v>828</v>
      </c>
      <c r="G1" s="18" t="s">
        <v>829</v>
      </c>
      <c r="H1" t="s">
        <v>830</v>
      </c>
      <c r="I1" s="18" t="s">
        <v>831</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832</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833</v>
      </c>
      <c r="B1" s="42" t="s">
        <v>834</v>
      </c>
      <c r="C1" s="42" t="s">
        <v>442</v>
      </c>
    </row>
    <row r="2" spans="1:3">
      <c r="A2">
        <v>43</v>
      </c>
      <c r="B2" t="s">
        <v>410</v>
      </c>
      <c r="C2" t="str">
        <f>TEXT(tblResultadosNBA[[#This Row],[Fecha]],"mmm")</f>
        <v>oct</v>
      </c>
    </row>
    <row r="3" spans="1:3">
      <c r="A3">
        <v>44</v>
      </c>
      <c r="B3" t="s">
        <v>411</v>
      </c>
      <c r="C3" t="s">
        <v>835</v>
      </c>
    </row>
    <row r="4" spans="1:3">
      <c r="A4">
        <v>45</v>
      </c>
      <c r="B4" t="s">
        <v>412</v>
      </c>
      <c r="C4" t="s">
        <v>836</v>
      </c>
    </row>
    <row r="5" spans="1:3">
      <c r="A5">
        <v>46</v>
      </c>
      <c r="B5" t="s">
        <v>414</v>
      </c>
      <c r="C5" t="s">
        <v>837</v>
      </c>
    </row>
    <row r="6" spans="1:3">
      <c r="A6">
        <v>47</v>
      </c>
      <c r="B6" t="s">
        <v>415</v>
      </c>
      <c r="C6" t="s">
        <v>823</v>
      </c>
    </row>
    <row r="7" spans="1:3">
      <c r="A7">
        <v>48</v>
      </c>
      <c r="B7" t="s">
        <v>416</v>
      </c>
      <c r="C7" t="s">
        <v>838</v>
      </c>
    </row>
    <row r="8" spans="1:3">
      <c r="A8">
        <v>49</v>
      </c>
      <c r="B8" t="s">
        <v>417</v>
      </c>
      <c r="C8" t="s">
        <v>839</v>
      </c>
    </row>
    <row r="9" spans="1:3">
      <c r="A9">
        <v>50</v>
      </c>
      <c r="B9" t="s">
        <v>418</v>
      </c>
      <c r="C9" t="s">
        <v>840</v>
      </c>
    </row>
    <row r="10" spans="1:3">
      <c r="A10">
        <v>51</v>
      </c>
      <c r="B10" t="s">
        <v>419</v>
      </c>
      <c r="C10" t="s">
        <v>841</v>
      </c>
    </row>
    <row r="11" spans="1:3">
      <c r="A11">
        <v>52</v>
      </c>
      <c r="B11" t="s">
        <v>420</v>
      </c>
      <c r="C11" t="s">
        <v>842</v>
      </c>
    </row>
    <row r="12" spans="1:3">
      <c r="A12">
        <v>1</v>
      </c>
      <c r="B12" t="s">
        <v>421</v>
      </c>
      <c r="C12" t="s">
        <v>843</v>
      </c>
    </row>
    <row r="13" spans="1:3">
      <c r="A13">
        <v>2</v>
      </c>
      <c r="B13" t="s">
        <v>422</v>
      </c>
      <c r="C13" t="s">
        <v>844</v>
      </c>
    </row>
    <row r="14" spans="1:3">
      <c r="A14">
        <v>3</v>
      </c>
      <c r="B14" t="s">
        <v>423</v>
      </c>
    </row>
    <row r="15" spans="1:3">
      <c r="A15">
        <v>4</v>
      </c>
      <c r="B15" t="s">
        <v>424</v>
      </c>
    </row>
    <row r="16" spans="1:3">
      <c r="A16">
        <v>5</v>
      </c>
      <c r="B16" t="s">
        <v>845</v>
      </c>
    </row>
    <row r="17" spans="1:2">
      <c r="A17">
        <v>6</v>
      </c>
      <c r="B17" t="s">
        <v>846</v>
      </c>
    </row>
    <row r="18" spans="1:2">
      <c r="A18">
        <v>7</v>
      </c>
      <c r="B18" t="s">
        <v>816</v>
      </c>
    </row>
    <row r="19" spans="1:2">
      <c r="A19">
        <v>8</v>
      </c>
      <c r="B19" t="s">
        <v>847</v>
      </c>
    </row>
    <row r="20" spans="1:2">
      <c r="A20">
        <v>9</v>
      </c>
      <c r="B20" t="s">
        <v>848</v>
      </c>
    </row>
    <row r="21" spans="1:2">
      <c r="A21">
        <v>10</v>
      </c>
      <c r="B21" t="s">
        <v>849</v>
      </c>
    </row>
    <row r="22" spans="1:2">
      <c r="A22">
        <v>11</v>
      </c>
      <c r="B22" t="s">
        <v>850</v>
      </c>
    </row>
    <row r="23" spans="1:2">
      <c r="A23">
        <v>12</v>
      </c>
      <c r="B23" t="s">
        <v>851</v>
      </c>
    </row>
    <row r="24" spans="1:2">
      <c r="A24">
        <v>13</v>
      </c>
      <c r="B24" t="s">
        <v>852</v>
      </c>
    </row>
    <row r="25" spans="1:2">
      <c r="A25">
        <v>14</v>
      </c>
      <c r="B25" t="s">
        <v>853</v>
      </c>
    </row>
    <row r="26" spans="1:2">
      <c r="A26">
        <v>15</v>
      </c>
      <c r="B26" t="s">
        <v>854</v>
      </c>
    </row>
    <row r="27" spans="1:2">
      <c r="A27">
        <v>16</v>
      </c>
      <c r="B27" t="s">
        <v>855</v>
      </c>
    </row>
    <row r="28" spans="1:2">
      <c r="A28">
        <v>17</v>
      </c>
      <c r="B28" t="s">
        <v>856</v>
      </c>
    </row>
    <row r="29" spans="1:2">
      <c r="A29">
        <v>18</v>
      </c>
      <c r="B29" t="s">
        <v>857</v>
      </c>
    </row>
    <row r="30" spans="1:2">
      <c r="A30">
        <v>19</v>
      </c>
      <c r="B30" t="s">
        <v>858</v>
      </c>
    </row>
    <row r="31" spans="1:2">
      <c r="A31">
        <v>20</v>
      </c>
      <c r="B31" t="s">
        <v>859</v>
      </c>
    </row>
    <row r="32" spans="1:2">
      <c r="A32">
        <v>21</v>
      </c>
      <c r="B32" t="s">
        <v>860</v>
      </c>
    </row>
    <row r="33" spans="1:2">
      <c r="A33">
        <v>22</v>
      </c>
      <c r="B33" t="s">
        <v>861</v>
      </c>
    </row>
    <row r="34" spans="1:2">
      <c r="A34">
        <v>23</v>
      </c>
      <c r="B34" t="s">
        <v>862</v>
      </c>
    </row>
    <row r="35" spans="1:2">
      <c r="A35">
        <v>24</v>
      </c>
      <c r="B35" t="s">
        <v>863</v>
      </c>
    </row>
    <row r="36" spans="1:2">
      <c r="A36">
        <v>25</v>
      </c>
      <c r="B36" t="s">
        <v>864</v>
      </c>
    </row>
    <row r="37" spans="1:2">
      <c r="A37">
        <v>26</v>
      </c>
      <c r="B37" t="s">
        <v>865</v>
      </c>
    </row>
    <row r="38" spans="1:2">
      <c r="A38">
        <v>27</v>
      </c>
      <c r="B38" t="s">
        <v>866</v>
      </c>
    </row>
    <row r="39" spans="1:2">
      <c r="A39">
        <v>28</v>
      </c>
      <c r="B39" t="s">
        <v>867</v>
      </c>
    </row>
    <row r="40" spans="1:2">
      <c r="A40">
        <v>29</v>
      </c>
      <c r="B40" t="s">
        <v>868</v>
      </c>
    </row>
    <row r="41" spans="1:2">
      <c r="A41">
        <v>30</v>
      </c>
      <c r="B41" t="s">
        <v>869</v>
      </c>
    </row>
    <row r="42" spans="1:2">
      <c r="A42">
        <v>31</v>
      </c>
      <c r="B42" t="s">
        <v>870</v>
      </c>
    </row>
    <row r="43" spans="1:2">
      <c r="A43">
        <v>32</v>
      </c>
      <c r="B43" t="s">
        <v>871</v>
      </c>
    </row>
    <row r="44" spans="1:2">
      <c r="A44">
        <v>33</v>
      </c>
      <c r="B44" t="s">
        <v>872</v>
      </c>
    </row>
    <row r="45" spans="1:2">
      <c r="A45">
        <v>34</v>
      </c>
      <c r="B45" t="s">
        <v>873</v>
      </c>
    </row>
    <row r="46" spans="1:2">
      <c r="A46">
        <v>35</v>
      </c>
      <c r="B46" t="s">
        <v>874</v>
      </c>
    </row>
    <row r="47" spans="1:2">
      <c r="A47">
        <v>36</v>
      </c>
      <c r="B47" t="s">
        <v>875</v>
      </c>
    </row>
    <row r="48" spans="1:2">
      <c r="A48">
        <v>37</v>
      </c>
      <c r="B48" t="s">
        <v>876</v>
      </c>
    </row>
    <row r="49" spans="1:2">
      <c r="A49">
        <v>38</v>
      </c>
      <c r="B49" t="s">
        <v>877</v>
      </c>
    </row>
    <row r="50" spans="1:2">
      <c r="A50">
        <v>39</v>
      </c>
      <c r="B50" t="s">
        <v>878</v>
      </c>
    </row>
    <row r="51" spans="1:2">
      <c r="A51">
        <v>40</v>
      </c>
      <c r="B51" t="s">
        <v>879</v>
      </c>
    </row>
    <row r="52" spans="1:2">
      <c r="A52">
        <v>41</v>
      </c>
      <c r="B52" t="s">
        <v>880</v>
      </c>
    </row>
    <row r="53" spans="1:2">
      <c r="A53">
        <v>42</v>
      </c>
      <c r="B53" t="s">
        <v>881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4" t="s">
        <v>882</v>
      </c>
      <c r="N1" s="564"/>
      <c r="O1" s="564"/>
      <c r="P1" s="564"/>
      <c r="Q1"/>
    </row>
    <row r="2" spans="1:17" ht="15.75" thickBot="1">
      <c r="A2" s="569">
        <v>45905</v>
      </c>
      <c r="B2" s="179">
        <v>1</v>
      </c>
      <c r="C2" s="162">
        <v>3.04</v>
      </c>
      <c r="D2" s="162">
        <f>(B2*C2)-B2</f>
        <v>2.04</v>
      </c>
      <c r="E2" s="213">
        <f>SUM($D$2:D2)/SUM($B$2:B2)</f>
        <v>2.04</v>
      </c>
      <c r="F2" s="162">
        <f>D2</f>
        <v>2.04</v>
      </c>
      <c r="G2" s="214" t="s">
        <v>883</v>
      </c>
      <c r="H2" s="183"/>
      <c r="I2" s="184"/>
      <c r="J2" s="184"/>
      <c r="Q2"/>
    </row>
    <row r="3" spans="1:17">
      <c r="A3" s="570"/>
      <c r="B3" s="165">
        <v>1</v>
      </c>
      <c r="C3" s="161">
        <v>1.93</v>
      </c>
      <c r="D3" s="161">
        <f t="shared" ref="D3:D66" si="0">(B3*C3)-B3</f>
        <v>0.92999999999999994</v>
      </c>
      <c r="E3" s="191">
        <f>SUM($D$2:D3)/SUM($B$2:B3)</f>
        <v>1.4849999999999999</v>
      </c>
      <c r="F3" s="161">
        <f>F2+D3</f>
        <v>2.9699999999999998</v>
      </c>
      <c r="G3" s="169" t="s">
        <v>884</v>
      </c>
      <c r="H3" s="183"/>
      <c r="I3" s="184"/>
      <c r="J3" s="184"/>
      <c r="Q3"/>
    </row>
    <row r="4" spans="1:17">
      <c r="A4" s="570"/>
      <c r="B4" s="168">
        <v>1</v>
      </c>
      <c r="C4" s="151">
        <v>1.86</v>
      </c>
      <c r="D4" s="151">
        <f t="shared" si="0"/>
        <v>0.8600000000000001</v>
      </c>
      <c r="E4" s="190">
        <f>SUM($D$2:D4)/SUM($B$2:B4)</f>
        <v>1.2766666666666666</v>
      </c>
      <c r="F4" s="151">
        <f t="shared" ref="F4:F67" si="1">F3+D4</f>
        <v>3.83</v>
      </c>
      <c r="G4" s="192" t="s">
        <v>885</v>
      </c>
      <c r="H4" s="183"/>
      <c r="I4" s="184"/>
      <c r="J4" s="184"/>
      <c r="Q4"/>
    </row>
    <row r="5" spans="1:17">
      <c r="A5" s="570"/>
      <c r="B5" s="167">
        <v>1</v>
      </c>
      <c r="C5" s="150">
        <v>2.0099999999999998</v>
      </c>
      <c r="D5" s="150">
        <f t="shared" si="0"/>
        <v>1.0099999999999998</v>
      </c>
      <c r="E5" s="154">
        <f>SUM($D$2:D5)/SUM($B$2:B5)</f>
        <v>1.21</v>
      </c>
      <c r="F5" s="150">
        <f t="shared" si="1"/>
        <v>4.84</v>
      </c>
      <c r="G5" s="189" t="s">
        <v>886</v>
      </c>
      <c r="H5" s="183"/>
      <c r="I5" s="184"/>
      <c r="J5" s="184"/>
      <c r="Q5"/>
    </row>
    <row r="6" spans="1:17" ht="15.75" thickBot="1">
      <c r="A6" s="570"/>
      <c r="B6" s="170">
        <v>1</v>
      </c>
      <c r="C6" s="163"/>
      <c r="D6" s="163">
        <f t="shared" si="0"/>
        <v>-1</v>
      </c>
      <c r="E6" s="193">
        <f>SUM($D$2:D6)/SUM($B$2:B6)</f>
        <v>0.76800000000000002</v>
      </c>
      <c r="F6" s="163">
        <f t="shared" si="1"/>
        <v>3.84</v>
      </c>
      <c r="G6" s="194" t="s">
        <v>887</v>
      </c>
      <c r="H6" s="183"/>
      <c r="I6" s="184"/>
      <c r="J6" s="184"/>
      <c r="Q6"/>
    </row>
    <row r="7" spans="1:17" ht="15.75" thickBot="1">
      <c r="A7" s="569">
        <v>45906</v>
      </c>
      <c r="B7" s="231">
        <v>1</v>
      </c>
      <c r="C7" s="231"/>
      <c r="D7" s="231">
        <f t="shared" si="0"/>
        <v>-1</v>
      </c>
      <c r="E7" s="249">
        <f>SUM($D$2:D7)/SUM($B$2:B7)</f>
        <v>0.47333333333333333</v>
      </c>
      <c r="F7" s="232">
        <f t="shared" si="1"/>
        <v>2.84</v>
      </c>
      <c r="G7" s="250" t="s">
        <v>888</v>
      </c>
      <c r="H7" s="183"/>
      <c r="I7" s="184"/>
      <c r="J7" s="184"/>
      <c r="K7" s="58"/>
      <c r="M7" s="2"/>
      <c r="Q7"/>
    </row>
    <row r="8" spans="1:17">
      <c r="A8" s="571"/>
      <c r="B8" s="165">
        <v>1</v>
      </c>
      <c r="C8" s="204"/>
      <c r="D8" s="204">
        <f t="shared" si="0"/>
        <v>-1</v>
      </c>
      <c r="E8" s="191">
        <f>SUM($D$2:D8)/SUM($B$2:B8)</f>
        <v>0.26285714285714284</v>
      </c>
      <c r="F8" s="161">
        <f t="shared" si="1"/>
        <v>1.8399999999999999</v>
      </c>
      <c r="G8" s="210" t="s">
        <v>885</v>
      </c>
      <c r="H8" s="183"/>
      <c r="I8" s="184"/>
      <c r="J8" s="184"/>
      <c r="K8" s="18"/>
      <c r="M8" s="2"/>
      <c r="N8" s="18"/>
      <c r="Q8"/>
    </row>
    <row r="9" spans="1:17">
      <c r="A9" s="571"/>
      <c r="B9" s="167">
        <v>1</v>
      </c>
      <c r="C9" s="205"/>
      <c r="D9" s="205">
        <f t="shared" si="0"/>
        <v>-1</v>
      </c>
      <c r="E9" s="154">
        <f>SUM($D$2:D9)/SUM($B$2:B9)</f>
        <v>0.10499999999999998</v>
      </c>
      <c r="F9" s="150">
        <f t="shared" si="1"/>
        <v>0.83999999999999986</v>
      </c>
      <c r="G9" s="201" t="s">
        <v>889</v>
      </c>
      <c r="H9" s="183"/>
      <c r="I9" s="184"/>
      <c r="J9" s="184"/>
      <c r="K9" s="18"/>
      <c r="M9" s="2"/>
      <c r="N9" s="18"/>
      <c r="Q9"/>
    </row>
    <row r="10" spans="1:17">
      <c r="A10" s="571"/>
      <c r="B10" s="167">
        <v>1</v>
      </c>
      <c r="C10" s="205"/>
      <c r="D10" s="205">
        <f t="shared" si="0"/>
        <v>-1</v>
      </c>
      <c r="E10" s="154">
        <f>SUM($D$2:D10)/SUM($B$2:B10)</f>
        <v>-1.7777777777777795E-2</v>
      </c>
      <c r="F10" s="150">
        <f t="shared" si="1"/>
        <v>-0.16000000000000014</v>
      </c>
      <c r="G10" s="201" t="s">
        <v>890</v>
      </c>
      <c r="H10" s="183"/>
      <c r="I10" s="184"/>
      <c r="J10" s="184"/>
      <c r="K10" s="18"/>
      <c r="M10" s="2"/>
      <c r="N10" s="18"/>
      <c r="Q10"/>
    </row>
    <row r="11" spans="1:17">
      <c r="A11" s="571"/>
      <c r="B11" s="167">
        <v>1</v>
      </c>
      <c r="C11" s="205"/>
      <c r="D11" s="205">
        <f t="shared" si="0"/>
        <v>-1</v>
      </c>
      <c r="E11" s="154">
        <f>SUM($D$2:D11)/SUM($B$2:B11)</f>
        <v>-0.11600000000000002</v>
      </c>
      <c r="F11" s="150">
        <f t="shared" si="1"/>
        <v>-1.1600000000000001</v>
      </c>
      <c r="G11" s="201" t="s">
        <v>884</v>
      </c>
      <c r="H11" s="183"/>
      <c r="I11" s="184"/>
      <c r="J11" s="184"/>
      <c r="K11" s="18"/>
      <c r="M11" s="2"/>
      <c r="N11" s="18"/>
      <c r="Q11"/>
    </row>
    <row r="12" spans="1:17">
      <c r="A12" s="571"/>
      <c r="B12" s="167">
        <v>1</v>
      </c>
      <c r="C12" s="205"/>
      <c r="D12" s="205">
        <f t="shared" si="0"/>
        <v>-1</v>
      </c>
      <c r="E12" s="154">
        <f>SUM($D$2:D12)/SUM($B$2:B12)</f>
        <v>-0.19636363636363638</v>
      </c>
      <c r="F12" s="150">
        <f t="shared" si="1"/>
        <v>-2.16</v>
      </c>
      <c r="G12" s="201" t="s">
        <v>891</v>
      </c>
      <c r="H12" s="183"/>
      <c r="I12" s="184"/>
      <c r="J12" s="184"/>
      <c r="K12" s="18"/>
      <c r="M12" s="2"/>
      <c r="N12" s="18"/>
      <c r="Q12"/>
    </row>
    <row r="13" spans="1:17" ht="15.75" thickBot="1">
      <c r="A13" s="571"/>
      <c r="B13" s="170">
        <v>1</v>
      </c>
      <c r="C13" s="206">
        <v>1.97</v>
      </c>
      <c r="D13" s="206">
        <f t="shared" si="0"/>
        <v>0.97</v>
      </c>
      <c r="E13" s="193">
        <f>SUM($D$2:D13)/SUM($B$2:B13)</f>
        <v>-9.9166666666666681E-2</v>
      </c>
      <c r="F13" s="163">
        <f t="shared" si="1"/>
        <v>-1.1900000000000002</v>
      </c>
      <c r="G13" s="203" t="s">
        <v>892</v>
      </c>
      <c r="H13" s="183"/>
      <c r="I13" s="184"/>
      <c r="J13" s="184"/>
      <c r="K13" s="18"/>
      <c r="M13" s="2"/>
      <c r="N13" s="18"/>
      <c r="Q13"/>
    </row>
    <row r="14" spans="1:17" ht="15.75" thickBot="1">
      <c r="A14" s="569">
        <v>45907</v>
      </c>
      <c r="B14" s="207">
        <v>1</v>
      </c>
      <c r="C14" s="207"/>
      <c r="D14" s="207">
        <f t="shared" si="0"/>
        <v>-1</v>
      </c>
      <c r="E14" s="213">
        <f>SUM($D$2:D14)/SUM($B$2:B14)</f>
        <v>-0.1684615384615385</v>
      </c>
      <c r="F14" s="162">
        <f t="shared" si="1"/>
        <v>-2.1900000000000004</v>
      </c>
      <c r="G14" s="215" t="s">
        <v>893</v>
      </c>
      <c r="H14" s="183"/>
      <c r="I14" s="184"/>
      <c r="J14" s="184"/>
      <c r="K14" s="58"/>
      <c r="M14" s="2"/>
      <c r="Q14"/>
    </row>
    <row r="15" spans="1:17">
      <c r="A15" s="570"/>
      <c r="B15" s="204">
        <v>1</v>
      </c>
      <c r="C15" s="204"/>
      <c r="D15" s="204">
        <f t="shared" si="0"/>
        <v>-1</v>
      </c>
      <c r="E15" s="191">
        <f>SUM($D$2:D15)/SUM($B$2:B15)</f>
        <v>-0.2278571428571429</v>
      </c>
      <c r="F15" s="161">
        <f t="shared" si="1"/>
        <v>-3.1900000000000004</v>
      </c>
      <c r="G15" s="210" t="s">
        <v>894</v>
      </c>
      <c r="H15" s="183"/>
      <c r="I15" s="184"/>
      <c r="J15" s="184"/>
      <c r="K15" s="18"/>
      <c r="M15" s="2"/>
      <c r="N15" s="18"/>
      <c r="Q15"/>
    </row>
    <row r="16" spans="1:17">
      <c r="A16" s="570"/>
      <c r="B16" s="205">
        <v>1</v>
      </c>
      <c r="C16" s="205"/>
      <c r="D16" s="205">
        <f t="shared" si="0"/>
        <v>-1</v>
      </c>
      <c r="E16" s="154">
        <f>SUM($D$2:D16)/SUM($B$2:B16)</f>
        <v>-0.27933333333333338</v>
      </c>
      <c r="F16" s="150">
        <f t="shared" si="1"/>
        <v>-4.1900000000000004</v>
      </c>
      <c r="G16" s="201" t="s">
        <v>889</v>
      </c>
      <c r="H16" s="183"/>
      <c r="I16" s="184"/>
      <c r="J16" s="184"/>
      <c r="K16" s="18"/>
      <c r="M16" s="2"/>
      <c r="N16" s="18"/>
      <c r="Q16"/>
    </row>
    <row r="17" spans="1:17">
      <c r="A17" s="570"/>
      <c r="B17" s="205">
        <v>1</v>
      </c>
      <c r="C17" s="205">
        <v>1.9</v>
      </c>
      <c r="D17" s="205">
        <f t="shared" si="0"/>
        <v>0.89999999999999991</v>
      </c>
      <c r="E17" s="154">
        <f>SUM($D$2:D17)/SUM($B$2:B17)</f>
        <v>-0.20562500000000003</v>
      </c>
      <c r="F17" s="150">
        <f t="shared" si="1"/>
        <v>-3.2900000000000005</v>
      </c>
      <c r="G17" s="201" t="s">
        <v>885</v>
      </c>
      <c r="H17" s="183"/>
      <c r="I17" s="184"/>
      <c r="J17" s="184"/>
      <c r="K17" s="18"/>
      <c r="M17" s="2"/>
      <c r="N17" s="18"/>
      <c r="Q17"/>
    </row>
    <row r="18" spans="1:17">
      <c r="A18" s="570"/>
      <c r="B18" s="205">
        <v>1</v>
      </c>
      <c r="C18" s="205">
        <v>1.88</v>
      </c>
      <c r="D18" s="205">
        <f t="shared" si="0"/>
        <v>0.87999999999999989</v>
      </c>
      <c r="E18" s="154">
        <f>SUM($D$2:D18)/SUM($B$2:B18)</f>
        <v>-0.14176470588235299</v>
      </c>
      <c r="F18" s="150">
        <f t="shared" si="1"/>
        <v>-2.4100000000000006</v>
      </c>
      <c r="G18" s="201" t="s">
        <v>895</v>
      </c>
      <c r="H18" s="183"/>
      <c r="I18" s="184"/>
      <c r="J18" s="184"/>
      <c r="K18" s="18"/>
      <c r="M18" s="2"/>
      <c r="N18" s="18"/>
      <c r="Q18"/>
    </row>
    <row r="19" spans="1:17" ht="15.75" thickBot="1">
      <c r="A19" s="570"/>
      <c r="B19" s="153">
        <v>1</v>
      </c>
      <c r="C19" s="153"/>
      <c r="D19" s="153">
        <f t="shared" si="0"/>
        <v>-1</v>
      </c>
      <c r="E19" s="190">
        <f>SUM($D$2:D19)/SUM($B$2:B19)</f>
        <v>-0.18944444444444447</v>
      </c>
      <c r="F19" s="151">
        <f t="shared" si="1"/>
        <v>-3.4100000000000006</v>
      </c>
      <c r="G19" s="211" t="s">
        <v>891</v>
      </c>
      <c r="H19" s="183"/>
      <c r="I19" s="184"/>
      <c r="J19" s="184"/>
      <c r="K19" s="58"/>
      <c r="M19" s="2"/>
      <c r="N19" s="18"/>
      <c r="Q19"/>
    </row>
    <row r="20" spans="1:17">
      <c r="A20" s="528">
        <v>45908</v>
      </c>
      <c r="B20" s="204">
        <v>1</v>
      </c>
      <c r="C20" s="204"/>
      <c r="D20" s="204">
        <f t="shared" si="0"/>
        <v>-1</v>
      </c>
      <c r="E20" s="191">
        <f>SUM($D$2:D20)/SUM($B$2:B20)</f>
        <v>-0.23210526315789473</v>
      </c>
      <c r="F20" s="161">
        <f t="shared" si="1"/>
        <v>-4.41</v>
      </c>
      <c r="G20" s="210" t="s">
        <v>896</v>
      </c>
      <c r="H20" s="183"/>
      <c r="I20" s="184"/>
      <c r="J20" s="184"/>
      <c r="K20" s="18"/>
      <c r="M20" s="2"/>
      <c r="N20" s="18"/>
      <c r="Q20"/>
    </row>
    <row r="21" spans="1:17">
      <c r="A21" s="529"/>
      <c r="B21" s="205">
        <v>1</v>
      </c>
      <c r="C21" s="205"/>
      <c r="D21" s="205">
        <f t="shared" si="0"/>
        <v>-1</v>
      </c>
      <c r="E21" s="154">
        <f>SUM($D$2:D21)/SUM($B$2:B21)</f>
        <v>-0.27050000000000002</v>
      </c>
      <c r="F21" s="150">
        <f t="shared" si="1"/>
        <v>-5.41</v>
      </c>
      <c r="G21" s="201" t="s">
        <v>897</v>
      </c>
      <c r="H21" s="183"/>
      <c r="I21" s="184"/>
      <c r="J21" s="184"/>
      <c r="K21" s="18"/>
      <c r="M21" s="2"/>
      <c r="N21" s="18"/>
      <c r="Q21"/>
    </row>
    <row r="22" spans="1:17">
      <c r="A22" s="529"/>
      <c r="B22" s="205">
        <v>1</v>
      </c>
      <c r="C22" s="205">
        <v>1.909</v>
      </c>
      <c r="D22" s="205">
        <f t="shared" si="0"/>
        <v>0.90900000000000003</v>
      </c>
      <c r="E22" s="154">
        <f>SUM($D$2:D22)/SUM($B$2:B22)</f>
        <v>-0.21433333333333335</v>
      </c>
      <c r="F22" s="150">
        <f t="shared" si="1"/>
        <v>-4.5010000000000003</v>
      </c>
      <c r="G22" s="201" t="s">
        <v>898</v>
      </c>
      <c r="H22" s="183"/>
      <c r="I22" s="184"/>
      <c r="J22" s="184"/>
      <c r="K22" s="18"/>
      <c r="M22" s="2"/>
      <c r="N22" s="18"/>
      <c r="Q22"/>
    </row>
    <row r="23" spans="1:17" ht="15.75" thickBot="1">
      <c r="A23" s="529"/>
      <c r="B23" s="153">
        <v>1</v>
      </c>
      <c r="C23" s="153"/>
      <c r="D23" s="153">
        <f t="shared" si="0"/>
        <v>-1</v>
      </c>
      <c r="E23" s="190">
        <f>SUM($D$2:D23)/SUM($B$2:B23)</f>
        <v>-0.25004545454545457</v>
      </c>
      <c r="F23" s="151">
        <f t="shared" si="1"/>
        <v>-5.5010000000000003</v>
      </c>
      <c r="G23" s="211" t="s">
        <v>899</v>
      </c>
      <c r="H23" s="183"/>
      <c r="I23" s="184"/>
      <c r="J23" s="184"/>
      <c r="K23" s="18"/>
      <c r="M23" s="2"/>
      <c r="N23" s="18"/>
      <c r="Q23"/>
    </row>
    <row r="24" spans="1:17">
      <c r="A24" s="572">
        <v>45909</v>
      </c>
      <c r="B24" s="165">
        <v>1</v>
      </c>
      <c r="C24" s="204">
        <v>1.74</v>
      </c>
      <c r="D24" s="204">
        <f t="shared" si="0"/>
        <v>0.74</v>
      </c>
      <c r="E24" s="191">
        <f>SUM($D$2:D24)/SUM($B$2:B24)</f>
        <v>-0.20700000000000002</v>
      </c>
      <c r="F24" s="161">
        <f t="shared" si="1"/>
        <v>-4.7610000000000001</v>
      </c>
      <c r="G24" s="210" t="s">
        <v>900</v>
      </c>
      <c r="H24" s="183"/>
      <c r="I24" s="184"/>
      <c r="J24" s="184"/>
      <c r="K24" s="18"/>
      <c r="M24" s="2"/>
      <c r="N24" s="18"/>
      <c r="Q24"/>
    </row>
    <row r="25" spans="1:17">
      <c r="A25" s="534"/>
      <c r="B25" s="167">
        <v>1</v>
      </c>
      <c r="C25" s="205">
        <v>1.89</v>
      </c>
      <c r="D25" s="205">
        <f t="shared" si="0"/>
        <v>0.8899999999999999</v>
      </c>
      <c r="E25" s="154">
        <f>SUM($D$2:D25)/SUM($B$2:B25)</f>
        <v>-0.16129166666666669</v>
      </c>
      <c r="F25" s="150">
        <f t="shared" si="1"/>
        <v>-3.8710000000000004</v>
      </c>
      <c r="G25" s="201" t="s">
        <v>901</v>
      </c>
      <c r="H25" s="183"/>
      <c r="I25" s="184"/>
      <c r="J25" s="184"/>
      <c r="K25" s="18"/>
      <c r="M25" s="2"/>
      <c r="N25" s="18"/>
      <c r="Q25"/>
    </row>
    <row r="26" spans="1:17" ht="15.75" thickBot="1">
      <c r="A26" s="534"/>
      <c r="B26" s="170">
        <v>1</v>
      </c>
      <c r="C26" s="206"/>
      <c r="D26" s="206">
        <f t="shared" si="0"/>
        <v>-1</v>
      </c>
      <c r="E26" s="193">
        <f>SUM($D$2:D26)/SUM($B$2:B26)</f>
        <v>-0.19484000000000001</v>
      </c>
      <c r="F26" s="163">
        <f t="shared" si="1"/>
        <v>-4.8710000000000004</v>
      </c>
      <c r="G26" s="203" t="s">
        <v>899</v>
      </c>
      <c r="H26" s="183"/>
      <c r="I26" s="184"/>
      <c r="J26" s="184"/>
      <c r="K26" s="18"/>
      <c r="M26" s="2"/>
      <c r="N26" s="18"/>
      <c r="Q26"/>
    </row>
    <row r="27" spans="1:17" ht="15.75" thickBot="1">
      <c r="A27" s="555">
        <v>45910</v>
      </c>
      <c r="B27" s="251">
        <v>1</v>
      </c>
      <c r="C27" s="251">
        <v>2.85</v>
      </c>
      <c r="D27" s="251">
        <f t="shared" si="0"/>
        <v>1.85</v>
      </c>
      <c r="E27" s="252">
        <f>SUM($D$2:D27)/SUM($B$2:B27)</f>
        <v>-0.11619230769230771</v>
      </c>
      <c r="F27" s="253">
        <f t="shared" si="1"/>
        <v>-3.0210000000000004</v>
      </c>
      <c r="G27" s="254" t="s">
        <v>902</v>
      </c>
      <c r="H27" s="183"/>
      <c r="I27" s="184"/>
      <c r="J27" s="184"/>
      <c r="K27" s="18"/>
      <c r="Q27"/>
    </row>
    <row r="28" spans="1:17">
      <c r="A28" s="556"/>
      <c r="B28" s="204">
        <v>1</v>
      </c>
      <c r="C28" s="204">
        <v>1.7270000000000001</v>
      </c>
      <c r="D28" s="204">
        <f t="shared" si="0"/>
        <v>0.72700000000000009</v>
      </c>
      <c r="E28" s="191">
        <f>SUM($D$2:D28)/SUM($B$2:B28)</f>
        <v>-8.4962962962962976E-2</v>
      </c>
      <c r="F28" s="161">
        <f t="shared" si="1"/>
        <v>-2.2940000000000005</v>
      </c>
      <c r="G28" s="210" t="s">
        <v>900</v>
      </c>
      <c r="H28" s="183"/>
      <c r="I28" s="184"/>
      <c r="J28" s="184"/>
      <c r="K28" s="18"/>
      <c r="Q28"/>
    </row>
    <row r="29" spans="1:17">
      <c r="A29" s="556"/>
      <c r="B29" s="205">
        <v>1</v>
      </c>
      <c r="C29" s="205"/>
      <c r="D29" s="205">
        <f t="shared" si="0"/>
        <v>-1</v>
      </c>
      <c r="E29" s="154">
        <f>SUM($D$2:D29)/SUM($B$2:B29)</f>
        <v>-0.11764285714285716</v>
      </c>
      <c r="F29" s="150">
        <f t="shared" si="1"/>
        <v>-3.2940000000000005</v>
      </c>
      <c r="G29" s="201" t="s">
        <v>898</v>
      </c>
      <c r="H29" s="183"/>
      <c r="I29" s="184"/>
      <c r="J29" s="184"/>
      <c r="K29" s="18"/>
      <c r="Q29"/>
    </row>
    <row r="30" spans="1:17" ht="15.75" thickBot="1">
      <c r="A30" s="556"/>
      <c r="B30" s="206">
        <v>1</v>
      </c>
      <c r="C30" s="206"/>
      <c r="D30" s="206">
        <f t="shared" si="0"/>
        <v>-1</v>
      </c>
      <c r="E30" s="193">
        <f>SUM($D$2:D30)/SUM($B$2:B30)</f>
        <v>-0.14806896551724139</v>
      </c>
      <c r="F30" s="163">
        <f t="shared" si="1"/>
        <v>-4.2940000000000005</v>
      </c>
      <c r="G30" s="211" t="s">
        <v>901</v>
      </c>
      <c r="H30" s="183"/>
      <c r="I30" s="184"/>
      <c r="J30" s="184"/>
      <c r="K30" s="18"/>
      <c r="Q30"/>
    </row>
    <row r="31" spans="1:17" ht="15.75" thickBot="1">
      <c r="A31" s="555">
        <v>45911</v>
      </c>
      <c r="B31" s="206">
        <v>1</v>
      </c>
      <c r="C31" s="206">
        <v>2.99</v>
      </c>
      <c r="D31" s="206">
        <f t="shared" si="0"/>
        <v>1.9900000000000002</v>
      </c>
      <c r="E31" s="193">
        <f>SUM($D$2:D31)/SUM($B$2:B31)</f>
        <v>-7.6800000000000007E-2</v>
      </c>
      <c r="F31" s="163">
        <f t="shared" si="1"/>
        <v>-2.3040000000000003</v>
      </c>
      <c r="G31" s="203" t="s">
        <v>903</v>
      </c>
      <c r="H31" s="183"/>
      <c r="I31" s="184"/>
      <c r="J31" s="184"/>
      <c r="K31" s="18"/>
      <c r="Q31"/>
    </row>
    <row r="32" spans="1:17">
      <c r="A32" s="556"/>
      <c r="B32" s="204">
        <v>1</v>
      </c>
      <c r="C32" s="204">
        <v>1.92</v>
      </c>
      <c r="D32" s="204">
        <f t="shared" si="0"/>
        <v>0.91999999999999993</v>
      </c>
      <c r="E32" s="191">
        <f>SUM($D$2:D32)/SUM($B$2:B32)</f>
        <v>-4.4645161290322595E-2</v>
      </c>
      <c r="F32" s="161">
        <f t="shared" si="1"/>
        <v>-1.3840000000000003</v>
      </c>
      <c r="G32" s="210" t="s">
        <v>904</v>
      </c>
      <c r="H32" s="183"/>
      <c r="I32" s="184"/>
      <c r="J32" s="184"/>
      <c r="K32" s="18"/>
      <c r="Q32"/>
    </row>
    <row r="33" spans="1:17" ht="15.75" thickBot="1">
      <c r="A33" s="557"/>
      <c r="B33" s="206">
        <v>1</v>
      </c>
      <c r="C33" s="206">
        <v>1.98</v>
      </c>
      <c r="D33" s="206">
        <f t="shared" si="0"/>
        <v>0.98</v>
      </c>
      <c r="E33" s="193">
        <f>SUM($D$2:D33)/SUM($B$2:B33)</f>
        <v>-1.2625000000000011E-2</v>
      </c>
      <c r="F33" s="163">
        <f t="shared" si="1"/>
        <v>-0.40400000000000036</v>
      </c>
      <c r="G33" s="211" t="s">
        <v>905</v>
      </c>
      <c r="H33" s="183"/>
      <c r="I33" s="184"/>
      <c r="J33" s="184"/>
      <c r="K33" s="18"/>
      <c r="Q33"/>
    </row>
    <row r="34" spans="1:17">
      <c r="A34" s="555">
        <v>45912</v>
      </c>
      <c r="B34" s="204">
        <v>1</v>
      </c>
      <c r="C34" s="204">
        <v>1.76</v>
      </c>
      <c r="D34" s="204">
        <f t="shared" si="0"/>
        <v>0.76</v>
      </c>
      <c r="E34" s="191">
        <f>SUM($D$2:D34)/SUM($B$2:B34)</f>
        <v>1.0787878787878777E-2</v>
      </c>
      <c r="F34" s="161">
        <f t="shared" si="1"/>
        <v>0.35599999999999965</v>
      </c>
      <c r="G34" s="210" t="s">
        <v>906</v>
      </c>
      <c r="H34" s="183"/>
      <c r="I34" s="184"/>
      <c r="J34" s="184"/>
      <c r="K34" s="18"/>
      <c r="Q34"/>
    </row>
    <row r="35" spans="1:17">
      <c r="A35" s="556"/>
      <c r="B35" s="205">
        <v>1</v>
      </c>
      <c r="C35" s="205"/>
      <c r="D35" s="205">
        <f t="shared" si="0"/>
        <v>-1</v>
      </c>
      <c r="E35" s="154">
        <f>SUM($D$2:D35)/SUM($B$2:B35)</f>
        <v>-1.8941176470588246E-2</v>
      </c>
      <c r="F35" s="150">
        <f t="shared" si="1"/>
        <v>-0.64400000000000035</v>
      </c>
      <c r="G35" s="201" t="s">
        <v>907</v>
      </c>
      <c r="H35" s="183"/>
      <c r="I35" s="184"/>
      <c r="J35" s="184"/>
      <c r="K35" s="18"/>
      <c r="Q35"/>
    </row>
    <row r="36" spans="1:17">
      <c r="A36" s="556"/>
      <c r="B36" s="205">
        <v>1</v>
      </c>
      <c r="C36" s="205">
        <v>1.93</v>
      </c>
      <c r="D36" s="205">
        <f t="shared" si="0"/>
        <v>0.92999999999999994</v>
      </c>
      <c r="E36" s="154">
        <f>SUM($D$2:D36)/SUM($B$2:B36)</f>
        <v>8.1714285714285604E-3</v>
      </c>
      <c r="F36" s="150">
        <f t="shared" si="1"/>
        <v>0.28599999999999959</v>
      </c>
      <c r="G36" s="201" t="s">
        <v>908</v>
      </c>
      <c r="H36" s="183"/>
      <c r="I36" s="184"/>
      <c r="J36" s="184"/>
      <c r="K36" s="18"/>
      <c r="Q36"/>
    </row>
    <row r="37" spans="1:17">
      <c r="A37" s="556"/>
      <c r="B37" s="205">
        <v>1</v>
      </c>
      <c r="C37" s="205"/>
      <c r="D37" s="205">
        <f t="shared" si="0"/>
        <v>-1</v>
      </c>
      <c r="E37" s="154">
        <f>SUM($D$2:D37)/SUM($B$2:B37)</f>
        <v>-1.9833333333333345E-2</v>
      </c>
      <c r="F37" s="150">
        <f t="shared" si="1"/>
        <v>-0.71400000000000041</v>
      </c>
      <c r="G37" s="201" t="s">
        <v>909</v>
      </c>
      <c r="H37" s="183"/>
      <c r="I37" s="184"/>
      <c r="J37" s="184"/>
      <c r="K37" s="18"/>
      <c r="Q37"/>
    </row>
    <row r="38" spans="1:17" ht="15.75" thickBot="1">
      <c r="A38" s="556"/>
      <c r="B38" s="206">
        <v>1</v>
      </c>
      <c r="C38" s="206">
        <v>1.89</v>
      </c>
      <c r="D38" s="206">
        <f t="shared" si="0"/>
        <v>0.8899999999999999</v>
      </c>
      <c r="E38" s="193">
        <f>SUM($D$2:D38)/SUM($B$2:B38)</f>
        <v>4.7567567567567432E-3</v>
      </c>
      <c r="F38" s="163">
        <f t="shared" si="1"/>
        <v>0.17599999999999949</v>
      </c>
      <c r="G38" s="202" t="s">
        <v>910</v>
      </c>
      <c r="H38" s="183"/>
      <c r="I38" s="184"/>
      <c r="J38" s="184"/>
      <c r="K38" s="18"/>
      <c r="Q38"/>
    </row>
    <row r="39" spans="1:17">
      <c r="A39" s="555">
        <v>45913</v>
      </c>
      <c r="B39" s="204">
        <v>1</v>
      </c>
      <c r="C39" s="204">
        <v>1.89</v>
      </c>
      <c r="D39" s="204">
        <f t="shared" si="0"/>
        <v>0.8899999999999999</v>
      </c>
      <c r="E39" s="191">
        <f>SUM($D$2:D39)/SUM($B$2:B39)</f>
        <v>2.8052631578947353E-2</v>
      </c>
      <c r="F39" s="161">
        <f t="shared" si="1"/>
        <v>1.0659999999999994</v>
      </c>
      <c r="G39" s="210" t="s">
        <v>911</v>
      </c>
      <c r="H39" s="183"/>
      <c r="I39" s="184"/>
      <c r="J39" s="184"/>
      <c r="K39" s="18"/>
      <c r="Q39"/>
    </row>
    <row r="40" spans="1:17">
      <c r="A40" s="556"/>
      <c r="B40" s="205">
        <v>1</v>
      </c>
      <c r="C40" s="205">
        <v>2.02</v>
      </c>
      <c r="D40" s="205">
        <f t="shared" si="0"/>
        <v>1.02</v>
      </c>
      <c r="E40" s="154">
        <f>SUM($D$2:D40)/SUM($B$2:B40)</f>
        <v>5.3487179487179473E-2</v>
      </c>
      <c r="F40" s="150">
        <f t="shared" si="1"/>
        <v>2.0859999999999994</v>
      </c>
      <c r="G40" s="201" t="s">
        <v>912</v>
      </c>
      <c r="H40" s="183"/>
      <c r="I40" s="184"/>
      <c r="J40" s="184"/>
      <c r="K40" s="18"/>
      <c r="Q40"/>
    </row>
    <row r="41" spans="1:17">
      <c r="A41" s="556"/>
      <c r="B41" s="205">
        <v>1</v>
      </c>
      <c r="C41" s="205">
        <v>1.92</v>
      </c>
      <c r="D41" s="205">
        <f t="shared" si="0"/>
        <v>0.91999999999999993</v>
      </c>
      <c r="E41" s="154">
        <f>SUM($D$2:D41)/SUM($B$2:B41)</f>
        <v>7.5149999999999981E-2</v>
      </c>
      <c r="F41" s="150">
        <f t="shared" si="1"/>
        <v>3.0059999999999993</v>
      </c>
      <c r="G41" s="201" t="s">
        <v>910</v>
      </c>
      <c r="H41" s="183"/>
      <c r="I41" s="184"/>
      <c r="J41" s="184"/>
      <c r="K41" s="18"/>
      <c r="Q41"/>
    </row>
    <row r="42" spans="1:17">
      <c r="A42" s="556"/>
      <c r="B42" s="205">
        <v>1</v>
      </c>
      <c r="C42" s="205"/>
      <c r="D42" s="205">
        <f t="shared" si="0"/>
        <v>-1</v>
      </c>
      <c r="E42" s="154">
        <f>SUM($D$2:D42)/SUM($B$2:B42)</f>
        <v>4.8926829268292664E-2</v>
      </c>
      <c r="F42" s="150">
        <f t="shared" si="1"/>
        <v>2.0059999999999993</v>
      </c>
      <c r="G42" s="201" t="s">
        <v>906</v>
      </c>
      <c r="H42" s="183"/>
      <c r="I42" s="184"/>
      <c r="J42" s="184"/>
      <c r="K42" s="18"/>
      <c r="Q42"/>
    </row>
    <row r="43" spans="1:17">
      <c r="A43" s="556"/>
      <c r="B43" s="205">
        <v>1</v>
      </c>
      <c r="C43" s="205"/>
      <c r="D43" s="205">
        <f t="shared" si="0"/>
        <v>-1</v>
      </c>
      <c r="E43" s="154">
        <f>SUM($D$2:D43)/SUM($B$2:B43)</f>
        <v>2.3952380952380937E-2</v>
      </c>
      <c r="F43" s="150">
        <f t="shared" si="1"/>
        <v>1.0059999999999993</v>
      </c>
      <c r="G43" s="201" t="s">
        <v>913</v>
      </c>
      <c r="H43" s="183"/>
      <c r="I43" s="184"/>
      <c r="J43" s="184"/>
      <c r="K43" s="18"/>
      <c r="Q43"/>
    </row>
    <row r="44" spans="1:17">
      <c r="A44" s="556"/>
      <c r="B44" s="205">
        <v>1</v>
      </c>
      <c r="C44" s="205">
        <v>1.98</v>
      </c>
      <c r="D44" s="205">
        <f t="shared" si="0"/>
        <v>0.98</v>
      </c>
      <c r="E44" s="154">
        <f>SUM($D$2:D44)/SUM($B$2:B44)</f>
        <v>4.6186046511627894E-2</v>
      </c>
      <c r="F44" s="150">
        <f t="shared" si="1"/>
        <v>1.9859999999999993</v>
      </c>
      <c r="G44" s="201" t="s">
        <v>914</v>
      </c>
      <c r="H44" s="183"/>
      <c r="I44" s="184"/>
      <c r="J44" s="184"/>
      <c r="K44" s="18"/>
      <c r="Q44"/>
    </row>
    <row r="45" spans="1:17" ht="15.75" thickBot="1">
      <c r="A45" s="556"/>
      <c r="B45" s="206">
        <v>1</v>
      </c>
      <c r="C45" s="206">
        <v>1.9</v>
      </c>
      <c r="D45" s="206">
        <f t="shared" si="0"/>
        <v>0.89999999999999991</v>
      </c>
      <c r="E45" s="193">
        <f>SUM($D$2:D45)/SUM($B$2:B45)</f>
        <v>6.5590909090909075E-2</v>
      </c>
      <c r="F45" s="163">
        <f t="shared" si="1"/>
        <v>2.8859999999999992</v>
      </c>
      <c r="G45" s="202" t="s">
        <v>915</v>
      </c>
      <c r="H45" s="183"/>
      <c r="I45" s="184"/>
      <c r="J45" s="184"/>
      <c r="K45" s="18"/>
      <c r="Q45"/>
    </row>
    <row r="46" spans="1:17">
      <c r="A46" s="555">
        <v>45914</v>
      </c>
      <c r="B46" s="204">
        <v>1</v>
      </c>
      <c r="C46" s="204"/>
      <c r="D46" s="204">
        <f t="shared" si="0"/>
        <v>-1</v>
      </c>
      <c r="E46" s="191">
        <f>SUM($D$2:D46)/SUM($B$2:B46)</f>
        <v>4.1911111111111093E-2</v>
      </c>
      <c r="F46" s="161">
        <f t="shared" si="1"/>
        <v>1.8859999999999992</v>
      </c>
      <c r="G46" s="210" t="s">
        <v>915</v>
      </c>
      <c r="H46" s="183"/>
      <c r="I46" s="184"/>
      <c r="J46" s="184"/>
      <c r="K46" s="18"/>
      <c r="Q46"/>
    </row>
    <row r="47" spans="1:17">
      <c r="A47" s="556"/>
      <c r="B47" s="205">
        <v>1</v>
      </c>
      <c r="C47" s="205">
        <v>1.88</v>
      </c>
      <c r="D47" s="205">
        <f t="shared" si="0"/>
        <v>0.87999999999999989</v>
      </c>
      <c r="E47" s="154">
        <f>SUM($D$2:D47)/SUM($B$2:B47)</f>
        <v>6.0130434782608676E-2</v>
      </c>
      <c r="F47" s="150">
        <f t="shared" si="1"/>
        <v>2.7659999999999991</v>
      </c>
      <c r="G47" s="201" t="s">
        <v>916</v>
      </c>
      <c r="H47" s="183"/>
      <c r="I47" s="184"/>
      <c r="J47" s="184"/>
      <c r="K47" s="18"/>
      <c r="Q47"/>
    </row>
    <row r="48" spans="1:17">
      <c r="A48" s="556"/>
      <c r="B48" s="205">
        <v>1</v>
      </c>
      <c r="C48" s="205">
        <v>2</v>
      </c>
      <c r="D48" s="205">
        <f t="shared" si="0"/>
        <v>1</v>
      </c>
      <c r="E48" s="154">
        <f>SUM($D$2:D48)/SUM($B$2:B48)</f>
        <v>8.012765957446806E-2</v>
      </c>
      <c r="F48" s="150">
        <f t="shared" si="1"/>
        <v>3.7659999999999991</v>
      </c>
      <c r="G48" s="201" t="s">
        <v>910</v>
      </c>
      <c r="H48" s="183"/>
      <c r="I48" s="184"/>
      <c r="J48" s="184"/>
      <c r="K48" s="18"/>
      <c r="Q48"/>
    </row>
    <row r="49" spans="1:17">
      <c r="A49" s="556"/>
      <c r="B49" s="205">
        <v>1</v>
      </c>
      <c r="C49" s="205">
        <v>1.81</v>
      </c>
      <c r="D49" s="205">
        <f t="shared" si="0"/>
        <v>0.81</v>
      </c>
      <c r="E49" s="154">
        <f>SUM($D$2:D49)/SUM($B$2:B49)</f>
        <v>9.5333333333333312E-2</v>
      </c>
      <c r="F49" s="150">
        <f t="shared" si="1"/>
        <v>4.5759999999999987</v>
      </c>
      <c r="G49" s="201" t="s">
        <v>906</v>
      </c>
      <c r="H49" s="183"/>
      <c r="I49" s="184"/>
      <c r="J49" s="184"/>
      <c r="K49" s="18"/>
      <c r="Q49"/>
    </row>
    <row r="50" spans="1:17">
      <c r="A50" s="556"/>
      <c r="B50" s="205">
        <v>1</v>
      </c>
      <c r="C50" s="205"/>
      <c r="D50" s="205">
        <f t="shared" si="0"/>
        <v>-1</v>
      </c>
      <c r="E50" s="154">
        <f>SUM($D$2:D50)/SUM($B$2:B50)</f>
        <v>7.2979591836734664E-2</v>
      </c>
      <c r="F50" s="150">
        <f t="shared" si="1"/>
        <v>3.5759999999999987</v>
      </c>
      <c r="G50" s="201" t="s">
        <v>909</v>
      </c>
      <c r="H50" s="183"/>
      <c r="I50" s="184"/>
      <c r="J50" s="184"/>
      <c r="K50" s="18"/>
      <c r="Q50"/>
    </row>
    <row r="51" spans="1:17" ht="15.75" thickBot="1">
      <c r="A51" s="557"/>
      <c r="B51" s="206">
        <v>1</v>
      </c>
      <c r="C51" s="206"/>
      <c r="D51" s="206">
        <f t="shared" si="0"/>
        <v>-1</v>
      </c>
      <c r="E51" s="193">
        <f>SUM($D$2:D51)/SUM($B$2:B51)</f>
        <v>5.1519999999999976E-2</v>
      </c>
      <c r="F51" s="163">
        <f t="shared" si="1"/>
        <v>2.5759999999999987</v>
      </c>
      <c r="G51" s="202" t="s">
        <v>914</v>
      </c>
      <c r="H51" s="183"/>
      <c r="I51" s="184"/>
      <c r="J51" s="184"/>
      <c r="K51" s="18"/>
      <c r="Q51"/>
    </row>
    <row r="52" spans="1:17">
      <c r="A52" s="555">
        <v>45915</v>
      </c>
      <c r="B52" s="205">
        <v>1</v>
      </c>
      <c r="C52" s="205">
        <v>1.84</v>
      </c>
      <c r="D52" s="205">
        <f t="shared" si="0"/>
        <v>0.84000000000000008</v>
      </c>
      <c r="E52" s="154">
        <f>SUM($D$2:D52)/SUM($B$2:B52)</f>
        <v>6.6980392156862717E-2</v>
      </c>
      <c r="F52" s="150">
        <f t="shared" si="1"/>
        <v>3.4159999999999986</v>
      </c>
      <c r="G52" s="201" t="s">
        <v>917</v>
      </c>
      <c r="H52" s="183"/>
      <c r="I52" s="184"/>
      <c r="J52" s="184"/>
      <c r="K52" s="18"/>
      <c r="Q52"/>
    </row>
    <row r="53" spans="1:17">
      <c r="A53" s="556"/>
      <c r="B53" s="205">
        <v>1</v>
      </c>
      <c r="C53" s="205">
        <v>1.97</v>
      </c>
      <c r="D53" s="205">
        <f t="shared" si="0"/>
        <v>0.97</v>
      </c>
      <c r="E53" s="154">
        <f>SUM($D$2:D53)/SUM($B$2:B53)</f>
        <v>8.4346153846153821E-2</v>
      </c>
      <c r="F53" s="150">
        <f t="shared" si="1"/>
        <v>4.3859999999999983</v>
      </c>
      <c r="G53" s="201" t="s">
        <v>918</v>
      </c>
      <c r="H53" s="183"/>
      <c r="I53" s="184"/>
      <c r="J53" s="184"/>
      <c r="K53" s="18"/>
      <c r="Q53"/>
    </row>
    <row r="54" spans="1:17" ht="15.75" thickBot="1">
      <c r="A54" s="557"/>
      <c r="B54" s="206">
        <v>1</v>
      </c>
      <c r="C54" s="206">
        <v>1.909</v>
      </c>
      <c r="D54" s="206">
        <f t="shared" si="0"/>
        <v>0.90900000000000003</v>
      </c>
      <c r="E54" s="193">
        <f>SUM($D$2:D54)/SUM($B$2:B54)</f>
        <v>9.9905660377358457E-2</v>
      </c>
      <c r="F54" s="163">
        <f t="shared" si="1"/>
        <v>5.2949999999999982</v>
      </c>
      <c r="G54" s="202" t="s">
        <v>919</v>
      </c>
      <c r="H54" s="183"/>
      <c r="I54" s="184"/>
      <c r="J54" s="184"/>
      <c r="K54" s="18"/>
      <c r="Q54"/>
    </row>
    <row r="55" spans="1:17">
      <c r="A55" s="555">
        <v>45916</v>
      </c>
      <c r="B55" s="205">
        <v>1</v>
      </c>
      <c r="C55" s="205">
        <v>1.86</v>
      </c>
      <c r="D55" s="205">
        <f t="shared" si="0"/>
        <v>0.8600000000000001</v>
      </c>
      <c r="E55" s="154">
        <f>SUM($D$2:D55)/SUM($B$2:B55)</f>
        <v>0.11398148148148145</v>
      </c>
      <c r="F55" s="150">
        <f t="shared" si="1"/>
        <v>6.1549999999999985</v>
      </c>
      <c r="G55" s="273" t="s">
        <v>917</v>
      </c>
      <c r="H55" s="183"/>
      <c r="I55" s="184"/>
      <c r="J55" s="184"/>
      <c r="K55" s="18"/>
      <c r="Q55"/>
    </row>
    <row r="56" spans="1:17">
      <c r="A56" s="556"/>
      <c r="B56" s="205">
        <v>1</v>
      </c>
      <c r="C56" s="205"/>
      <c r="D56" s="205">
        <f t="shared" si="0"/>
        <v>-1</v>
      </c>
      <c r="E56" s="154">
        <f>SUM($D$2:D56)/SUM($B$2:B56)</f>
        <v>9.3727272727272701E-2</v>
      </c>
      <c r="F56" s="150">
        <f t="shared" si="1"/>
        <v>5.1549999999999985</v>
      </c>
      <c r="G56" s="201" t="s">
        <v>920</v>
      </c>
      <c r="H56" s="183"/>
      <c r="I56" s="184"/>
      <c r="J56" s="184"/>
      <c r="K56" s="18"/>
      <c r="Q56"/>
    </row>
    <row r="57" spans="1:17">
      <c r="A57" s="556"/>
      <c r="B57" s="205">
        <v>1</v>
      </c>
      <c r="C57" s="205">
        <v>1.95</v>
      </c>
      <c r="D57" s="205">
        <f t="shared" si="0"/>
        <v>0.95</v>
      </c>
      <c r="E57" s="154">
        <f>SUM($D$2:D57)/SUM($B$2:B57)</f>
        <v>0.10901785714285712</v>
      </c>
      <c r="F57" s="150">
        <f t="shared" si="1"/>
        <v>6.1049999999999986</v>
      </c>
      <c r="G57" s="201" t="s">
        <v>919</v>
      </c>
      <c r="H57" s="183"/>
      <c r="I57" s="184"/>
      <c r="J57" s="184"/>
      <c r="K57" s="18"/>
      <c r="Q57"/>
    </row>
    <row r="58" spans="1:17">
      <c r="A58" s="556"/>
      <c r="B58" s="205">
        <v>1</v>
      </c>
      <c r="C58" s="205">
        <v>1.98</v>
      </c>
      <c r="D58" s="205">
        <f t="shared" si="0"/>
        <v>0.98</v>
      </c>
      <c r="E58" s="154">
        <f>SUM($D$2:D58)/SUM($B$2:B58)</f>
        <v>0.12429824561403507</v>
      </c>
      <c r="F58" s="150">
        <f t="shared" si="1"/>
        <v>7.0849999999999991</v>
      </c>
      <c r="G58" s="201" t="s">
        <v>918</v>
      </c>
      <c r="H58" s="183"/>
      <c r="I58" s="184"/>
      <c r="J58" s="184"/>
      <c r="K58" s="18"/>
      <c r="Q58"/>
    </row>
    <row r="59" spans="1:17">
      <c r="A59" s="556"/>
      <c r="B59" s="205">
        <v>1</v>
      </c>
      <c r="C59" s="205">
        <v>1.87</v>
      </c>
      <c r="D59" s="205">
        <f t="shared" si="0"/>
        <v>0.87000000000000011</v>
      </c>
      <c r="E59" s="154">
        <f>SUM($D$2:D59)/SUM($B$2:B59)</f>
        <v>0.1371551724137931</v>
      </c>
      <c r="F59" s="150">
        <f t="shared" si="1"/>
        <v>7.9549999999999992</v>
      </c>
      <c r="G59" s="201" t="s">
        <v>921</v>
      </c>
      <c r="H59" s="183"/>
      <c r="I59" s="184"/>
      <c r="J59" s="184"/>
      <c r="K59" s="18"/>
      <c r="Q59"/>
    </row>
    <row r="60" spans="1:17" ht="15.75" thickBot="1">
      <c r="A60" s="557"/>
      <c r="B60" s="206">
        <v>1</v>
      </c>
      <c r="C60" s="206"/>
      <c r="D60" s="206">
        <f t="shared" si="0"/>
        <v>-1</v>
      </c>
      <c r="E60" s="193">
        <f>SUM($D$2:D60)/SUM($B$2:B60)</f>
        <v>0.11788135593220338</v>
      </c>
      <c r="F60" s="163">
        <f t="shared" si="1"/>
        <v>6.9549999999999992</v>
      </c>
      <c r="G60" s="202" t="s">
        <v>922</v>
      </c>
      <c r="H60" s="183"/>
      <c r="I60" s="184"/>
      <c r="J60" s="184"/>
      <c r="K60" s="18"/>
      <c r="Q60"/>
    </row>
    <row r="61" spans="1:17">
      <c r="A61" s="555">
        <v>45917</v>
      </c>
      <c r="B61" s="165">
        <v>1</v>
      </c>
      <c r="C61" s="204">
        <v>3.14</v>
      </c>
      <c r="D61" s="204">
        <f t="shared" si="0"/>
        <v>2.14</v>
      </c>
      <c r="E61" s="191">
        <f>SUM($D$2:D61)/SUM($B$2:B61)</f>
        <v>0.15158333333333332</v>
      </c>
      <c r="F61" s="161">
        <f t="shared" si="1"/>
        <v>9.0949999999999989</v>
      </c>
      <c r="G61" s="200" t="s">
        <v>923</v>
      </c>
      <c r="H61" s="183"/>
      <c r="I61" s="184"/>
      <c r="J61" s="184"/>
      <c r="K61" s="18"/>
      <c r="Q61"/>
    </row>
    <row r="62" spans="1:17" ht="15.75" thickBot="1">
      <c r="A62" s="556"/>
      <c r="B62" s="170">
        <v>1</v>
      </c>
      <c r="C62" s="206">
        <v>2.81</v>
      </c>
      <c r="D62" s="206">
        <f t="shared" si="0"/>
        <v>1.81</v>
      </c>
      <c r="E62" s="193">
        <f>SUM($D$2:D62)/SUM($B$2:B62)</f>
        <v>0.17877049180327867</v>
      </c>
      <c r="F62" s="163">
        <f t="shared" si="1"/>
        <v>10.904999999999999</v>
      </c>
      <c r="G62" s="202" t="s">
        <v>924</v>
      </c>
      <c r="H62" s="183"/>
      <c r="I62" s="184"/>
      <c r="J62" s="184"/>
      <c r="K62" s="18"/>
      <c r="Q62"/>
    </row>
    <row r="63" spans="1:17">
      <c r="A63" s="556"/>
      <c r="B63" s="207">
        <v>1</v>
      </c>
      <c r="C63" s="207">
        <v>2.0099999999999998</v>
      </c>
      <c r="D63" s="207">
        <f t="shared" si="0"/>
        <v>1.0099999999999998</v>
      </c>
      <c r="E63" s="195">
        <f>SUM($D$2:D63)/SUM($B$2:B63)</f>
        <v>0.1921774193548387</v>
      </c>
      <c r="F63" s="162">
        <f t="shared" si="1"/>
        <v>11.914999999999999</v>
      </c>
      <c r="G63" s="275" t="s">
        <v>925</v>
      </c>
      <c r="H63" s="183"/>
      <c r="I63" s="184"/>
      <c r="J63" s="184"/>
      <c r="K63" s="18"/>
      <c r="Q63"/>
    </row>
    <row r="64" spans="1:17">
      <c r="A64" s="556"/>
      <c r="B64" s="205">
        <v>1</v>
      </c>
      <c r="C64" s="205">
        <v>1.87</v>
      </c>
      <c r="D64" s="205">
        <f t="shared" si="0"/>
        <v>0.87000000000000011</v>
      </c>
      <c r="E64" s="154">
        <f>SUM($D$2:D64)/SUM($B$2:B64)</f>
        <v>0.20293650793650794</v>
      </c>
      <c r="F64" s="150">
        <f t="shared" si="1"/>
        <v>12.785</v>
      </c>
      <c r="G64" s="201" t="s">
        <v>926</v>
      </c>
      <c r="H64" s="183"/>
      <c r="I64" s="184"/>
      <c r="J64" s="184"/>
      <c r="K64" s="18"/>
      <c r="Q64"/>
    </row>
    <row r="65" spans="1:17">
      <c r="A65" s="556"/>
      <c r="B65" s="205">
        <v>1</v>
      </c>
      <c r="C65" s="205"/>
      <c r="D65" s="205">
        <f t="shared" si="0"/>
        <v>-1</v>
      </c>
      <c r="E65" s="154">
        <f>SUM($D$2:D65)/SUM($B$2:B65)</f>
        <v>0.184140625</v>
      </c>
      <c r="F65" s="150">
        <f t="shared" si="1"/>
        <v>11.785</v>
      </c>
      <c r="G65" s="201" t="s">
        <v>917</v>
      </c>
      <c r="H65" s="183"/>
      <c r="I65" s="184"/>
      <c r="J65" s="184"/>
      <c r="K65" s="18"/>
      <c r="Q65"/>
    </row>
    <row r="66" spans="1:17">
      <c r="A66" s="556"/>
      <c r="B66" s="205">
        <v>1</v>
      </c>
      <c r="C66" s="205">
        <v>1.93</v>
      </c>
      <c r="D66" s="205">
        <f t="shared" si="0"/>
        <v>0.92999999999999994</v>
      </c>
      <c r="E66" s="154">
        <f>SUM($D$2:D66)/SUM($B$2:B66)</f>
        <v>0.19561538461538461</v>
      </c>
      <c r="F66" s="150">
        <f t="shared" si="1"/>
        <v>12.715</v>
      </c>
      <c r="G66" s="201" t="s">
        <v>927</v>
      </c>
      <c r="H66" s="183"/>
      <c r="I66" s="184"/>
      <c r="J66" s="184"/>
      <c r="K66" s="18"/>
      <c r="Q66"/>
    </row>
    <row r="67" spans="1:17">
      <c r="A67" s="556"/>
      <c r="B67" s="205">
        <v>1</v>
      </c>
      <c r="C67" s="205"/>
      <c r="D67" s="205">
        <f t="shared" ref="D67:D119" si="2">(B67*C67)-B67</f>
        <v>-1</v>
      </c>
      <c r="E67" s="154">
        <f>SUM($D$2:D67)/SUM($B$2:B67)</f>
        <v>0.17749999999999999</v>
      </c>
      <c r="F67" s="150">
        <f t="shared" si="1"/>
        <v>11.715</v>
      </c>
      <c r="G67" s="201" t="s">
        <v>928</v>
      </c>
      <c r="H67" s="183"/>
      <c r="I67" s="184"/>
      <c r="J67" s="184"/>
      <c r="K67" s="18"/>
      <c r="Q67"/>
    </row>
    <row r="68" spans="1:17" ht="15.75" thickBot="1">
      <c r="A68" s="557"/>
      <c r="B68" s="206">
        <v>1</v>
      </c>
      <c r="C68" s="206">
        <v>1.87</v>
      </c>
      <c r="D68" s="206">
        <f t="shared" si="2"/>
        <v>0.87000000000000011</v>
      </c>
      <c r="E68" s="193">
        <f>SUM($D$2:D68)/SUM($B$2:B68)</f>
        <v>0.18783582089552239</v>
      </c>
      <c r="F68" s="163">
        <f t="shared" ref="F68:F119" si="3">F67+D68</f>
        <v>12.585000000000001</v>
      </c>
      <c r="G68" s="202" t="s">
        <v>921</v>
      </c>
      <c r="H68" s="183"/>
      <c r="I68" s="184"/>
      <c r="J68" s="184"/>
      <c r="K68" s="18"/>
      <c r="Q68"/>
    </row>
    <row r="69" spans="1:17">
      <c r="A69" s="555">
        <v>45918</v>
      </c>
      <c r="B69" s="204">
        <v>1</v>
      </c>
      <c r="C69" s="204"/>
      <c r="D69" s="204">
        <f t="shared" si="2"/>
        <v>-1</v>
      </c>
      <c r="E69" s="191">
        <f>SUM($D$2:D69)/SUM($B$2:B69)</f>
        <v>0.17036764705882354</v>
      </c>
      <c r="F69" s="161">
        <f t="shared" si="3"/>
        <v>11.585000000000001</v>
      </c>
      <c r="G69" s="201" t="s">
        <v>919</v>
      </c>
      <c r="H69" s="183"/>
      <c r="I69" s="184"/>
      <c r="J69" s="184"/>
      <c r="K69" s="18"/>
      <c r="Q69"/>
    </row>
    <row r="70" spans="1:17">
      <c r="A70" s="556"/>
      <c r="B70" s="205">
        <v>1</v>
      </c>
      <c r="C70" s="205">
        <v>1.87</v>
      </c>
      <c r="D70" s="205">
        <f t="shared" si="2"/>
        <v>0.87000000000000011</v>
      </c>
      <c r="E70" s="154">
        <f>SUM($D$2:D70)/SUM($B$2:B70)</f>
        <v>0.18050724637681162</v>
      </c>
      <c r="F70" s="150">
        <f t="shared" si="3"/>
        <v>12.455000000000002</v>
      </c>
      <c r="G70" s="201" t="s">
        <v>929</v>
      </c>
      <c r="H70" s="183"/>
      <c r="I70" s="184"/>
      <c r="J70" s="184"/>
      <c r="K70" s="18"/>
      <c r="Q70"/>
    </row>
    <row r="71" spans="1:17">
      <c r="A71" s="556"/>
      <c r="B71" s="205">
        <v>1</v>
      </c>
      <c r="C71" s="205">
        <v>1.9</v>
      </c>
      <c r="D71" s="205">
        <f t="shared" si="2"/>
        <v>0.89999999999999991</v>
      </c>
      <c r="E71" s="154">
        <f>SUM($D$2:D71)/SUM($B$2:B71)</f>
        <v>0.19078571428571431</v>
      </c>
      <c r="F71" s="150">
        <f t="shared" si="3"/>
        <v>13.355000000000002</v>
      </c>
      <c r="G71" s="201" t="s">
        <v>930</v>
      </c>
      <c r="H71" s="183"/>
      <c r="I71" s="184"/>
      <c r="J71" s="184"/>
      <c r="K71" s="18"/>
      <c r="Q71"/>
    </row>
    <row r="72" spans="1:17">
      <c r="A72" s="556"/>
      <c r="B72" s="205">
        <v>1</v>
      </c>
      <c r="C72" s="205"/>
      <c r="D72" s="205">
        <f t="shared" si="2"/>
        <v>-1</v>
      </c>
      <c r="E72" s="154">
        <f>SUM($D$2:D72)/SUM($B$2:B72)</f>
        <v>0.17401408450704228</v>
      </c>
      <c r="F72" s="150">
        <f t="shared" si="3"/>
        <v>12.355000000000002</v>
      </c>
      <c r="G72" s="201" t="s">
        <v>931</v>
      </c>
      <c r="H72" s="183"/>
      <c r="I72" s="184"/>
      <c r="J72" s="184"/>
      <c r="K72" s="18"/>
      <c r="Q72"/>
    </row>
    <row r="73" spans="1:17">
      <c r="A73" s="556"/>
      <c r="B73" s="205">
        <v>1</v>
      </c>
      <c r="C73" s="205"/>
      <c r="D73" s="205">
        <f t="shared" si="2"/>
        <v>-1</v>
      </c>
      <c r="E73" s="154">
        <f>SUM($D$2:D73)/SUM($B$2:B73)</f>
        <v>0.15770833333333337</v>
      </c>
      <c r="F73" s="150">
        <f t="shared" si="3"/>
        <v>11.355000000000002</v>
      </c>
      <c r="G73" s="201" t="s">
        <v>932</v>
      </c>
      <c r="H73" s="183"/>
      <c r="I73" s="184"/>
      <c r="J73" s="184"/>
      <c r="K73" s="18"/>
      <c r="Q73"/>
    </row>
    <row r="74" spans="1:17" ht="15.75" thickBot="1">
      <c r="A74" s="557"/>
      <c r="B74" s="206">
        <v>1</v>
      </c>
      <c r="C74" s="206"/>
      <c r="D74" s="206">
        <f t="shared" si="2"/>
        <v>-1</v>
      </c>
      <c r="E74" s="193">
        <f>SUM($D$2:D74)/SUM($B$2:B74)</f>
        <v>0.14184931506849319</v>
      </c>
      <c r="F74" s="163">
        <f t="shared" si="3"/>
        <v>10.355000000000002</v>
      </c>
      <c r="G74" s="202" t="s">
        <v>933</v>
      </c>
      <c r="H74" s="183"/>
      <c r="I74" s="184"/>
      <c r="J74" s="184"/>
      <c r="K74" s="18"/>
      <c r="Q74"/>
    </row>
    <row r="75" spans="1:17">
      <c r="A75" s="555">
        <v>45919</v>
      </c>
      <c r="B75" s="204">
        <v>1</v>
      </c>
      <c r="C75" s="204">
        <v>2.0099999999999998</v>
      </c>
      <c r="D75" s="204">
        <f t="shared" si="2"/>
        <v>1.0099999999999998</v>
      </c>
      <c r="E75" s="191">
        <f>SUM($D$2:D75)/SUM($B$2:B75)</f>
        <v>0.15358108108108109</v>
      </c>
      <c r="F75" s="161">
        <f t="shared" si="3"/>
        <v>11.365000000000002</v>
      </c>
      <c r="G75" s="201" t="s">
        <v>934</v>
      </c>
      <c r="H75" s="183"/>
      <c r="I75" s="184"/>
      <c r="J75" s="184"/>
      <c r="K75" s="18"/>
      <c r="Q75"/>
    </row>
    <row r="76" spans="1:17">
      <c r="A76" s="556"/>
      <c r="B76" s="205">
        <v>1</v>
      </c>
      <c r="C76" s="205">
        <v>1.615</v>
      </c>
      <c r="D76" s="205">
        <f t="shared" si="2"/>
        <v>0.61499999999999999</v>
      </c>
      <c r="E76" s="154">
        <f>SUM($D$2:D76)/SUM($B$2:B76)</f>
        <v>0.15973333333333337</v>
      </c>
      <c r="F76" s="150">
        <f t="shared" si="3"/>
        <v>11.980000000000002</v>
      </c>
      <c r="G76" s="201" t="s">
        <v>935</v>
      </c>
      <c r="H76" s="183"/>
      <c r="I76" s="184"/>
      <c r="J76" s="184"/>
      <c r="K76" s="18"/>
      <c r="Q76"/>
    </row>
    <row r="77" spans="1:17">
      <c r="A77" s="556"/>
      <c r="B77" s="205">
        <v>1</v>
      </c>
      <c r="C77" s="205">
        <v>1.92</v>
      </c>
      <c r="D77" s="205">
        <f t="shared" si="2"/>
        <v>0.91999999999999993</v>
      </c>
      <c r="E77" s="154">
        <f>SUM($D$2:D77)/SUM($B$2:B77)</f>
        <v>0.16973684210526319</v>
      </c>
      <c r="F77" s="150">
        <f t="shared" si="3"/>
        <v>12.900000000000002</v>
      </c>
      <c r="G77" s="201" t="s">
        <v>932</v>
      </c>
      <c r="H77" s="183"/>
      <c r="I77" s="184"/>
      <c r="J77" s="184"/>
      <c r="K77" s="18"/>
      <c r="Q77"/>
    </row>
    <row r="78" spans="1:17">
      <c r="A78" s="556"/>
      <c r="B78" s="205">
        <v>1</v>
      </c>
      <c r="C78" s="205">
        <v>1.84</v>
      </c>
      <c r="D78" s="205">
        <f t="shared" si="2"/>
        <v>0.84000000000000008</v>
      </c>
      <c r="E78" s="154">
        <f>SUM($D$2:D78)/SUM($B$2:B78)</f>
        <v>0.17844155844155846</v>
      </c>
      <c r="F78" s="150">
        <f t="shared" si="3"/>
        <v>13.740000000000002</v>
      </c>
      <c r="G78" s="201" t="s">
        <v>936</v>
      </c>
      <c r="H78" s="183"/>
      <c r="I78" s="184"/>
      <c r="J78" s="184"/>
      <c r="K78" s="18"/>
      <c r="Q78"/>
    </row>
    <row r="79" spans="1:17">
      <c r="A79" s="556"/>
      <c r="B79" s="205">
        <v>1</v>
      </c>
      <c r="C79" s="205">
        <v>1.909</v>
      </c>
      <c r="D79" s="205">
        <f t="shared" si="2"/>
        <v>0.90900000000000003</v>
      </c>
      <c r="E79" s="154">
        <f>SUM($D$2:D79)/SUM($B$2:B79)</f>
        <v>0.18780769230769234</v>
      </c>
      <c r="F79" s="150">
        <f t="shared" si="3"/>
        <v>14.649000000000003</v>
      </c>
      <c r="G79" s="201" t="s">
        <v>937</v>
      </c>
      <c r="H79" s="183"/>
      <c r="I79" s="184"/>
      <c r="J79" s="184"/>
      <c r="K79" s="18"/>
      <c r="Q79"/>
    </row>
    <row r="80" spans="1:17">
      <c r="A80" s="556"/>
      <c r="B80" s="205">
        <v>1</v>
      </c>
      <c r="C80" s="205">
        <v>1.98</v>
      </c>
      <c r="D80" s="205">
        <f t="shared" si="2"/>
        <v>0.98</v>
      </c>
      <c r="E80" s="154">
        <f>SUM($D$2:D80)/SUM($B$2:B80)</f>
        <v>0.19783544303797473</v>
      </c>
      <c r="F80" s="150">
        <f t="shared" si="3"/>
        <v>15.629000000000003</v>
      </c>
      <c r="G80" s="201" t="s">
        <v>938</v>
      </c>
      <c r="H80" s="183"/>
      <c r="I80" s="184"/>
      <c r="J80" s="184"/>
      <c r="K80" s="18"/>
      <c r="Q80"/>
    </row>
    <row r="81" spans="1:17">
      <c r="A81" s="556"/>
      <c r="B81" s="205">
        <v>1</v>
      </c>
      <c r="C81" s="205">
        <v>1.909</v>
      </c>
      <c r="D81" s="205">
        <f t="shared" si="2"/>
        <v>0.90900000000000003</v>
      </c>
      <c r="E81" s="154">
        <f>SUM($D$2:D81)/SUM($B$2:B81)</f>
        <v>0.20672500000000005</v>
      </c>
      <c r="F81" s="150">
        <f t="shared" si="3"/>
        <v>16.538000000000004</v>
      </c>
      <c r="G81" s="201" t="s">
        <v>933</v>
      </c>
      <c r="H81" s="183"/>
      <c r="I81" s="184"/>
      <c r="J81" s="184"/>
      <c r="K81" s="18"/>
      <c r="Q81"/>
    </row>
    <row r="82" spans="1:17">
      <c r="A82" s="556"/>
      <c r="B82" s="205">
        <v>1</v>
      </c>
      <c r="C82" s="205">
        <v>2.06</v>
      </c>
      <c r="D82" s="205">
        <f t="shared" si="2"/>
        <v>1.06</v>
      </c>
      <c r="E82" s="154">
        <f>SUM($D$2:D82)/SUM($B$2:B82)</f>
        <v>0.21725925925925929</v>
      </c>
      <c r="F82" s="150">
        <f t="shared" si="3"/>
        <v>17.598000000000003</v>
      </c>
      <c r="G82" s="201" t="s">
        <v>939</v>
      </c>
      <c r="H82" s="183"/>
      <c r="I82" s="184"/>
      <c r="J82" s="184"/>
      <c r="K82" s="18"/>
      <c r="Q82"/>
    </row>
    <row r="83" spans="1:17">
      <c r="A83" s="556"/>
      <c r="B83" s="205">
        <v>1</v>
      </c>
      <c r="C83" s="205"/>
      <c r="D83" s="205">
        <f t="shared" si="2"/>
        <v>-1</v>
      </c>
      <c r="E83" s="154">
        <f>SUM($D$2:D83)/SUM($B$2:B83)</f>
        <v>0.2024146341463415</v>
      </c>
      <c r="F83" s="150">
        <f t="shared" si="3"/>
        <v>16.598000000000003</v>
      </c>
      <c r="G83" s="201" t="s">
        <v>930</v>
      </c>
      <c r="H83" s="183"/>
      <c r="I83" s="184"/>
      <c r="J83" s="184"/>
      <c r="K83" s="18"/>
      <c r="Q83"/>
    </row>
    <row r="84" spans="1:17" ht="15.75" thickBot="1">
      <c r="A84" s="557"/>
      <c r="B84" s="206">
        <v>1</v>
      </c>
      <c r="C84" s="206">
        <v>2.13</v>
      </c>
      <c r="D84" s="206">
        <f t="shared" si="2"/>
        <v>1.1299999999999999</v>
      </c>
      <c r="E84" s="193">
        <f>SUM($D$2:D84)/SUM($B$2:B84)</f>
        <v>0.21359036144578314</v>
      </c>
      <c r="F84" s="163">
        <f t="shared" si="3"/>
        <v>17.728000000000002</v>
      </c>
      <c r="G84" s="202" t="s">
        <v>940</v>
      </c>
      <c r="H84" s="183"/>
      <c r="I84" s="184"/>
      <c r="J84" s="184"/>
      <c r="K84" s="18"/>
      <c r="Q84"/>
    </row>
    <row r="85" spans="1:17">
      <c r="A85" s="555">
        <v>45920</v>
      </c>
      <c r="B85" s="205">
        <v>1</v>
      </c>
      <c r="C85" s="205">
        <v>1.93</v>
      </c>
      <c r="D85" s="205">
        <f t="shared" si="2"/>
        <v>0.92999999999999994</v>
      </c>
      <c r="E85" s="154">
        <f>SUM($D$2:D85)/SUM($B$2:B85)</f>
        <v>0.22211904761904763</v>
      </c>
      <c r="F85" s="150">
        <f t="shared" si="3"/>
        <v>18.658000000000001</v>
      </c>
      <c r="G85" s="201" t="s">
        <v>938</v>
      </c>
      <c r="H85" s="183"/>
      <c r="I85" s="184"/>
      <c r="J85" s="184"/>
      <c r="K85" s="18"/>
      <c r="Q85"/>
    </row>
    <row r="86" spans="1:17">
      <c r="A86" s="556"/>
      <c r="B86" s="205">
        <v>1</v>
      </c>
      <c r="C86" s="205">
        <v>1.88</v>
      </c>
      <c r="D86" s="205">
        <f t="shared" si="2"/>
        <v>0.87999999999999989</v>
      </c>
      <c r="E86" s="154">
        <f>SUM($D$2:D86)/SUM($B$2:B86)</f>
        <v>0.22985882352941175</v>
      </c>
      <c r="F86" s="150">
        <f t="shared" si="3"/>
        <v>19.538</v>
      </c>
      <c r="G86" s="201" t="s">
        <v>930</v>
      </c>
      <c r="H86" s="183"/>
      <c r="I86" s="184"/>
      <c r="J86" s="184"/>
      <c r="K86" s="18"/>
      <c r="Q86"/>
    </row>
    <row r="87" spans="1:17">
      <c r="A87" s="556"/>
      <c r="B87" s="205">
        <v>1</v>
      </c>
      <c r="C87" s="205">
        <v>1.87</v>
      </c>
      <c r="D87" s="205">
        <f t="shared" si="2"/>
        <v>0.87000000000000011</v>
      </c>
      <c r="E87" s="154">
        <f>SUM($D$2:D87)/SUM($B$2:B87)</f>
        <v>0.23730232558139536</v>
      </c>
      <c r="F87" s="150">
        <f t="shared" si="3"/>
        <v>20.408000000000001</v>
      </c>
      <c r="G87" s="201" t="s">
        <v>936</v>
      </c>
      <c r="H87" s="183"/>
      <c r="I87" s="184"/>
      <c r="J87" s="184"/>
      <c r="K87" s="18"/>
      <c r="Q87"/>
    </row>
    <row r="88" spans="1:17">
      <c r="A88" s="556"/>
      <c r="B88" s="205">
        <v>1</v>
      </c>
      <c r="C88" s="205">
        <v>1.87</v>
      </c>
      <c r="D88" s="205">
        <f t="shared" si="2"/>
        <v>0.87000000000000011</v>
      </c>
      <c r="E88" s="154">
        <f>SUM($D$2:D88)/SUM($B$2:B88)</f>
        <v>0.24457471264367819</v>
      </c>
      <c r="F88" s="150">
        <f t="shared" si="3"/>
        <v>21.278000000000002</v>
      </c>
      <c r="G88" s="201" t="s">
        <v>933</v>
      </c>
      <c r="H88" s="183"/>
      <c r="I88" s="184"/>
      <c r="J88" s="184"/>
      <c r="K88" s="18"/>
      <c r="Q88"/>
    </row>
    <row r="89" spans="1:17">
      <c r="A89" s="556"/>
      <c r="B89" s="205">
        <v>1</v>
      </c>
      <c r="C89" s="205"/>
      <c r="D89" s="205">
        <f t="shared" si="2"/>
        <v>-1</v>
      </c>
      <c r="E89" s="154">
        <f>SUM($D$2:D89)/SUM($B$2:B89)</f>
        <v>0.23043181818181821</v>
      </c>
      <c r="F89" s="150">
        <f t="shared" si="3"/>
        <v>20.278000000000002</v>
      </c>
      <c r="G89" s="201" t="s">
        <v>941</v>
      </c>
      <c r="H89" s="183"/>
      <c r="I89" s="184"/>
      <c r="J89" s="184"/>
      <c r="K89" s="18"/>
      <c r="Q89"/>
    </row>
    <row r="90" spans="1:17">
      <c r="A90" s="556"/>
      <c r="B90" s="205">
        <v>1</v>
      </c>
      <c r="C90" s="205"/>
      <c r="D90" s="205">
        <f t="shared" si="2"/>
        <v>-1</v>
      </c>
      <c r="E90" s="154">
        <f>SUM($D$2:D90)/SUM($B$2:B90)</f>
        <v>0.21660674157303372</v>
      </c>
      <c r="F90" s="150">
        <f t="shared" si="3"/>
        <v>19.278000000000002</v>
      </c>
      <c r="G90" s="201" t="s">
        <v>932</v>
      </c>
      <c r="H90" s="183"/>
      <c r="I90" s="184"/>
      <c r="J90" s="184"/>
      <c r="K90" s="18"/>
      <c r="Q90"/>
    </row>
    <row r="91" spans="1:17">
      <c r="A91" s="556"/>
      <c r="B91" s="205">
        <v>1</v>
      </c>
      <c r="C91" s="205"/>
      <c r="D91" s="205">
        <f t="shared" si="2"/>
        <v>-1</v>
      </c>
      <c r="E91" s="154">
        <f>SUM($D$2:D91)/SUM($B$2:B91)</f>
        <v>0.2030888888888889</v>
      </c>
      <c r="F91" s="150">
        <f t="shared" si="3"/>
        <v>18.278000000000002</v>
      </c>
      <c r="G91" s="201" t="s">
        <v>937</v>
      </c>
      <c r="H91" s="183"/>
      <c r="I91" s="184"/>
      <c r="J91" s="184"/>
      <c r="K91" s="18"/>
      <c r="Q91"/>
    </row>
    <row r="92" spans="1:17" ht="15.75" thickBot="1">
      <c r="A92" s="557"/>
      <c r="B92" s="206">
        <v>1</v>
      </c>
      <c r="C92" s="206">
        <v>2</v>
      </c>
      <c r="D92" s="206">
        <f t="shared" si="2"/>
        <v>1</v>
      </c>
      <c r="E92" s="193">
        <f>SUM($D$2:D92)/SUM($B$2:B92)</f>
        <v>0.21184615384615388</v>
      </c>
      <c r="F92" s="163">
        <f t="shared" si="3"/>
        <v>19.278000000000002</v>
      </c>
      <c r="G92" s="202" t="s">
        <v>939</v>
      </c>
      <c r="H92" s="183"/>
      <c r="I92" s="184"/>
      <c r="J92" s="184"/>
      <c r="K92" s="18"/>
      <c r="Q92"/>
    </row>
    <row r="93" spans="1:17">
      <c r="A93" s="555">
        <v>45921</v>
      </c>
      <c r="B93" s="165">
        <v>1</v>
      </c>
      <c r="C93" s="204"/>
      <c r="D93" s="204">
        <f t="shared" si="2"/>
        <v>-1</v>
      </c>
      <c r="E93" s="182">
        <f>SUM($D$2:D93)/SUM($B$2:B93)</f>
        <v>0.19867391304347828</v>
      </c>
      <c r="F93" s="161">
        <f t="shared" si="3"/>
        <v>18.278000000000002</v>
      </c>
      <c r="G93" s="200" t="s">
        <v>942</v>
      </c>
      <c r="H93" s="183"/>
      <c r="I93" s="184"/>
      <c r="J93" s="184"/>
      <c r="K93" s="18"/>
      <c r="Q93"/>
    </row>
    <row r="94" spans="1:17" ht="15.75" thickBot="1">
      <c r="A94" s="556"/>
      <c r="B94" s="230">
        <v>1</v>
      </c>
      <c r="C94" s="231"/>
      <c r="D94" s="231">
        <f t="shared" si="2"/>
        <v>-1</v>
      </c>
      <c r="E94" s="249">
        <f>SUM($D$2:D94)/SUM($B$2:B94)</f>
        <v>0.18578494623655917</v>
      </c>
      <c r="F94" s="232">
        <f t="shared" si="3"/>
        <v>17.278000000000002</v>
      </c>
      <c r="G94" s="250" t="s">
        <v>943</v>
      </c>
      <c r="H94" s="183"/>
      <c r="I94" s="184"/>
      <c r="J94" s="184"/>
      <c r="K94" s="18"/>
      <c r="Q94"/>
    </row>
    <row r="95" spans="1:17">
      <c r="A95" s="558"/>
      <c r="B95" s="165">
        <v>1</v>
      </c>
      <c r="C95" s="204"/>
      <c r="D95" s="204">
        <f t="shared" si="2"/>
        <v>-1</v>
      </c>
      <c r="E95" s="191">
        <f>SUM($D$2:D95)/SUM($B$2:B95)</f>
        <v>0.17317021276595748</v>
      </c>
      <c r="F95" s="161">
        <f t="shared" si="3"/>
        <v>16.278000000000002</v>
      </c>
      <c r="G95" s="200" t="s">
        <v>930</v>
      </c>
      <c r="H95" s="183"/>
      <c r="I95" s="184"/>
      <c r="J95" s="184"/>
      <c r="K95" s="18"/>
      <c r="Q95"/>
    </row>
    <row r="96" spans="1:17">
      <c r="A96" s="558"/>
      <c r="B96" s="167">
        <v>1</v>
      </c>
      <c r="C96" s="205"/>
      <c r="D96" s="205">
        <f t="shared" si="2"/>
        <v>-1</v>
      </c>
      <c r="E96" s="154">
        <f>SUM($D$2:D96)/SUM($B$2:B96)</f>
        <v>0.16082105263157898</v>
      </c>
      <c r="F96" s="150">
        <f t="shared" si="3"/>
        <v>15.278000000000002</v>
      </c>
      <c r="G96" s="201" t="s">
        <v>944</v>
      </c>
      <c r="H96" s="183"/>
      <c r="I96" s="184"/>
      <c r="J96" s="184"/>
      <c r="K96" s="18"/>
      <c r="Q96"/>
    </row>
    <row r="97" spans="1:17">
      <c r="A97" s="558"/>
      <c r="B97" s="167">
        <v>1</v>
      </c>
      <c r="C97" s="205"/>
      <c r="D97" s="205">
        <f t="shared" si="2"/>
        <v>-1</v>
      </c>
      <c r="E97" s="154">
        <f>SUM($D$2:D97)/SUM($B$2:B97)</f>
        <v>0.14872916666666669</v>
      </c>
      <c r="F97" s="150">
        <f t="shared" si="3"/>
        <v>14.278000000000002</v>
      </c>
      <c r="G97" s="201" t="s">
        <v>938</v>
      </c>
      <c r="H97" s="183"/>
      <c r="I97" s="184"/>
      <c r="J97" s="184"/>
      <c r="K97" s="18"/>
      <c r="Q97"/>
    </row>
    <row r="98" spans="1:17">
      <c r="A98" s="558"/>
      <c r="B98" s="167">
        <v>1</v>
      </c>
      <c r="C98" s="205">
        <v>1.87</v>
      </c>
      <c r="D98" s="205">
        <f t="shared" si="2"/>
        <v>0.87000000000000011</v>
      </c>
      <c r="E98" s="154">
        <f>SUM($D$2:D98)/SUM($B$2:B98)</f>
        <v>0.15616494845360829</v>
      </c>
      <c r="F98" s="150">
        <f t="shared" si="3"/>
        <v>15.148000000000003</v>
      </c>
      <c r="G98" s="201" t="s">
        <v>936</v>
      </c>
      <c r="H98" s="183"/>
      <c r="I98" s="184"/>
      <c r="J98" s="184"/>
      <c r="K98" s="18"/>
      <c r="Q98"/>
    </row>
    <row r="99" spans="1:17" ht="15.75" thickBot="1">
      <c r="A99" s="558"/>
      <c r="B99" s="168">
        <v>1</v>
      </c>
      <c r="C99" s="153">
        <v>1.64</v>
      </c>
      <c r="D99" s="153">
        <f t="shared" si="2"/>
        <v>0.6399999999999999</v>
      </c>
      <c r="E99" s="190">
        <f>SUM($D$2:D99)/SUM($B$2:B99)</f>
        <v>0.16110204081632656</v>
      </c>
      <c r="F99" s="151">
        <f t="shared" si="3"/>
        <v>15.788000000000004</v>
      </c>
      <c r="G99" s="209" t="s">
        <v>935</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945</v>
      </c>
      <c r="H100" s="183"/>
      <c r="I100" s="184"/>
      <c r="J100" s="184"/>
      <c r="K100" s="18"/>
      <c r="Q100"/>
    </row>
    <row r="101" spans="1:17">
      <c r="A101" s="559">
        <v>45923</v>
      </c>
      <c r="B101" s="165">
        <v>1</v>
      </c>
      <c r="C101" s="204">
        <v>2.81</v>
      </c>
      <c r="D101" s="204">
        <f t="shared" si="2"/>
        <v>1.81</v>
      </c>
      <c r="E101" s="191">
        <f>SUM($D$2:D101)/SUM($B$2:B101)</f>
        <v>0.18578000000000003</v>
      </c>
      <c r="F101" s="161">
        <f t="shared" si="3"/>
        <v>18.578000000000003</v>
      </c>
      <c r="G101" s="200" t="s">
        <v>902</v>
      </c>
      <c r="H101" s="183"/>
      <c r="I101" s="184"/>
      <c r="J101" s="184"/>
      <c r="K101" s="18"/>
      <c r="Q101"/>
    </row>
    <row r="102" spans="1:17" ht="15.75" thickBot="1">
      <c r="A102" s="558"/>
      <c r="B102" s="170">
        <v>1</v>
      </c>
      <c r="C102" s="206">
        <v>2.85</v>
      </c>
      <c r="D102" s="206">
        <f t="shared" si="2"/>
        <v>1.85</v>
      </c>
      <c r="E102" s="193">
        <f>SUM($D$2:D102)/SUM($B$2:B102)</f>
        <v>0.2022574257425743</v>
      </c>
      <c r="F102" s="163">
        <f t="shared" si="3"/>
        <v>20.428000000000004</v>
      </c>
      <c r="G102" s="202" t="s">
        <v>946</v>
      </c>
      <c r="H102" s="183"/>
      <c r="I102" s="184"/>
      <c r="J102" s="184"/>
      <c r="K102" s="18"/>
      <c r="Q102"/>
    </row>
    <row r="103" spans="1:17">
      <c r="A103" s="558"/>
      <c r="B103" s="167">
        <v>1</v>
      </c>
      <c r="C103" s="205">
        <v>1.75</v>
      </c>
      <c r="D103" s="205">
        <f t="shared" si="2"/>
        <v>0.75</v>
      </c>
      <c r="E103" s="154">
        <f>SUM($D$2:D103)/SUM($B$2:B103)</f>
        <v>0.2076274509803922</v>
      </c>
      <c r="F103" s="150">
        <f t="shared" si="3"/>
        <v>21.178000000000004</v>
      </c>
      <c r="G103" s="201" t="s">
        <v>947</v>
      </c>
      <c r="H103" s="183"/>
      <c r="I103" s="184"/>
      <c r="J103" s="184"/>
      <c r="K103" s="18"/>
      <c r="Q103"/>
    </row>
    <row r="104" spans="1:17">
      <c r="A104" s="558"/>
      <c r="B104" s="167">
        <v>1</v>
      </c>
      <c r="C104" s="205"/>
      <c r="D104" s="205">
        <f t="shared" si="2"/>
        <v>-1</v>
      </c>
      <c r="E104" s="154">
        <f>SUM($D$2:D104)/SUM($B$2:B104)</f>
        <v>0.19590291262135925</v>
      </c>
      <c r="F104" s="150">
        <f t="shared" si="3"/>
        <v>20.178000000000004</v>
      </c>
      <c r="G104" s="201" t="s">
        <v>948</v>
      </c>
      <c r="H104" s="183"/>
      <c r="I104" s="184"/>
      <c r="J104" s="184"/>
      <c r="K104" s="18"/>
      <c r="Q104"/>
    </row>
    <row r="105" spans="1:17">
      <c r="A105" s="558"/>
      <c r="B105" s="167">
        <v>1</v>
      </c>
      <c r="C105" s="205">
        <v>1.95</v>
      </c>
      <c r="D105" s="205">
        <f t="shared" si="2"/>
        <v>0.95</v>
      </c>
      <c r="E105" s="154">
        <f>SUM($D$2:D105)/SUM($B$2:B105)</f>
        <v>0.20315384615384618</v>
      </c>
      <c r="F105" s="150">
        <f t="shared" si="3"/>
        <v>21.128000000000004</v>
      </c>
      <c r="G105" s="201" t="s">
        <v>949</v>
      </c>
      <c r="H105" s="183"/>
      <c r="I105" s="184"/>
      <c r="J105" s="184"/>
      <c r="K105" s="18"/>
      <c r="Q105"/>
    </row>
    <row r="106" spans="1:17">
      <c r="A106" s="558"/>
      <c r="B106" s="167">
        <v>1</v>
      </c>
      <c r="C106" s="205"/>
      <c r="D106" s="205">
        <f t="shared" si="2"/>
        <v>-1</v>
      </c>
      <c r="E106" s="154">
        <f>SUM($D$2:D106)/SUM($B$2:B106)</f>
        <v>0.19169523809523814</v>
      </c>
      <c r="F106" s="150">
        <f t="shared" si="3"/>
        <v>20.128000000000004</v>
      </c>
      <c r="G106" s="272" t="s">
        <v>950</v>
      </c>
      <c r="H106" s="183"/>
      <c r="I106" s="184"/>
      <c r="J106" s="184"/>
      <c r="K106" s="18"/>
      <c r="Q106"/>
    </row>
    <row r="107" spans="1:17">
      <c r="A107" s="558"/>
      <c r="B107" s="167">
        <v>1</v>
      </c>
      <c r="C107" s="205"/>
      <c r="D107" s="205">
        <f t="shared" si="2"/>
        <v>-1</v>
      </c>
      <c r="E107" s="154">
        <f>SUM($D$2:D107)/SUM($B$2:B107)</f>
        <v>0.18045283018867928</v>
      </c>
      <c r="F107" s="150">
        <f t="shared" si="3"/>
        <v>19.128000000000004</v>
      </c>
      <c r="G107" s="201" t="s">
        <v>951</v>
      </c>
      <c r="H107" s="183"/>
      <c r="I107" s="184"/>
      <c r="J107" s="184"/>
      <c r="K107" s="18"/>
      <c r="Q107"/>
    </row>
    <row r="108" spans="1:17" ht="15.75" thickBot="1">
      <c r="A108" s="560"/>
      <c r="B108" s="168">
        <v>1</v>
      </c>
      <c r="C108" s="153"/>
      <c r="D108" s="153">
        <f t="shared" si="2"/>
        <v>-1</v>
      </c>
      <c r="E108" s="190">
        <f>SUM($D$2:D108)/SUM($B$2:B108)</f>
        <v>0.1694205607476636</v>
      </c>
      <c r="F108" s="151">
        <f t="shared" si="3"/>
        <v>18.128000000000004</v>
      </c>
      <c r="G108" s="209" t="s">
        <v>952</v>
      </c>
      <c r="H108" s="183"/>
      <c r="I108" s="184"/>
      <c r="J108" s="184"/>
      <c r="K108" s="18"/>
      <c r="Q108"/>
    </row>
    <row r="109" spans="1:17">
      <c r="A109" s="559">
        <v>45924</v>
      </c>
      <c r="B109" s="165">
        <v>1</v>
      </c>
      <c r="C109" s="204"/>
      <c r="D109" s="204">
        <f t="shared" si="2"/>
        <v>-1</v>
      </c>
      <c r="E109" s="191">
        <f>SUM($D$2:D109)/SUM($B$2:B109)</f>
        <v>0.15859259259259262</v>
      </c>
      <c r="F109" s="161">
        <f t="shared" si="3"/>
        <v>17.128000000000004</v>
      </c>
      <c r="G109" s="200" t="s">
        <v>948</v>
      </c>
      <c r="H109" s="183"/>
      <c r="I109" s="184"/>
      <c r="J109" s="184"/>
      <c r="K109" s="18"/>
      <c r="Q109"/>
    </row>
    <row r="110" spans="1:17">
      <c r="A110" s="558"/>
      <c r="B110" s="167">
        <v>1</v>
      </c>
      <c r="C110" s="205">
        <v>1.833</v>
      </c>
      <c r="D110" s="205">
        <f t="shared" si="2"/>
        <v>0.83299999999999996</v>
      </c>
      <c r="E110" s="154">
        <f>SUM($D$2:D110)/SUM($B$2:B110)</f>
        <v>0.16477981651376147</v>
      </c>
      <c r="F110" s="150">
        <f t="shared" si="3"/>
        <v>17.961000000000002</v>
      </c>
      <c r="G110" s="201" t="s">
        <v>953</v>
      </c>
      <c r="H110" s="183"/>
      <c r="I110" s="184"/>
      <c r="J110" s="184"/>
      <c r="K110" s="18"/>
      <c r="Q110"/>
    </row>
    <row r="111" spans="1:17">
      <c r="A111" s="558"/>
      <c r="B111" s="167">
        <v>1</v>
      </c>
      <c r="C111" s="205">
        <v>2</v>
      </c>
      <c r="D111" s="205">
        <f t="shared" si="2"/>
        <v>1</v>
      </c>
      <c r="E111" s="154">
        <f>SUM($D$2:D111)/SUM($B$2:B111)</f>
        <v>0.17237272727272729</v>
      </c>
      <c r="F111" s="150">
        <f t="shared" si="3"/>
        <v>18.961000000000002</v>
      </c>
      <c r="G111" s="201" t="s">
        <v>950</v>
      </c>
      <c r="H111" s="183"/>
      <c r="I111" s="184"/>
      <c r="J111" s="184"/>
      <c r="K111" s="18"/>
      <c r="Q111"/>
    </row>
    <row r="112" spans="1:17">
      <c r="A112" s="558"/>
      <c r="B112" s="167">
        <v>1</v>
      </c>
      <c r="C112" s="205">
        <v>2.06</v>
      </c>
      <c r="D112" s="205">
        <f t="shared" si="2"/>
        <v>1.06</v>
      </c>
      <c r="E112" s="154">
        <f>SUM($D$2:D112)/SUM($B$2:B112)</f>
        <v>0.18036936936936937</v>
      </c>
      <c r="F112" s="150">
        <f t="shared" si="3"/>
        <v>20.021000000000001</v>
      </c>
      <c r="G112" s="201" t="s">
        <v>954</v>
      </c>
      <c r="H112" s="183"/>
      <c r="I112" s="184"/>
      <c r="J112" s="184"/>
      <c r="K112" s="18"/>
      <c r="Q112"/>
    </row>
    <row r="113" spans="1:17" ht="15.75" thickBot="1">
      <c r="A113" s="560"/>
      <c r="B113" s="170">
        <v>1</v>
      </c>
      <c r="C113" s="206"/>
      <c r="D113" s="206">
        <f t="shared" si="2"/>
        <v>-1</v>
      </c>
      <c r="E113" s="193">
        <f>SUM($D$2:D113)/SUM($B$2:B113)</f>
        <v>0.16983035714285716</v>
      </c>
      <c r="F113" s="163">
        <f t="shared" si="3"/>
        <v>19.021000000000001</v>
      </c>
      <c r="G113" s="202" t="s">
        <v>945</v>
      </c>
      <c r="H113" s="183"/>
      <c r="I113" s="184"/>
      <c r="J113" s="184"/>
      <c r="K113" s="18"/>
      <c r="Q113"/>
    </row>
    <row r="114" spans="1:17">
      <c r="A114" s="559">
        <v>45925</v>
      </c>
      <c r="B114" s="165">
        <v>1</v>
      </c>
      <c r="C114" s="204">
        <v>1.88</v>
      </c>
      <c r="D114" s="204">
        <f t="shared" si="2"/>
        <v>0.87999999999999989</v>
      </c>
      <c r="E114" s="191">
        <f>SUM($D$2:D114)/SUM($B$2:B114)</f>
        <v>0.17611504424778762</v>
      </c>
      <c r="F114" s="161">
        <f t="shared" si="3"/>
        <v>19.901</v>
      </c>
      <c r="G114" s="200" t="s">
        <v>948</v>
      </c>
      <c r="H114" s="183"/>
      <c r="I114" s="184"/>
      <c r="J114" s="184"/>
      <c r="K114" s="18"/>
      <c r="Q114"/>
    </row>
    <row r="115" spans="1:17">
      <c r="A115" s="558"/>
      <c r="B115" s="167">
        <v>1</v>
      </c>
      <c r="C115" s="205">
        <v>1.8</v>
      </c>
      <c r="D115" s="205">
        <f t="shared" si="2"/>
        <v>0.8</v>
      </c>
      <c r="E115" s="154">
        <f>SUM($D$2:D115)/SUM($B$2:B115)</f>
        <v>0.18158771929824563</v>
      </c>
      <c r="F115" s="150">
        <f t="shared" si="3"/>
        <v>20.701000000000001</v>
      </c>
      <c r="G115" s="201" t="s">
        <v>947</v>
      </c>
      <c r="H115" s="183"/>
      <c r="I115" s="184"/>
      <c r="J115" s="184"/>
      <c r="K115" s="18"/>
      <c r="Q115"/>
    </row>
    <row r="116" spans="1:17">
      <c r="A116" s="558"/>
      <c r="B116" s="167">
        <v>1</v>
      </c>
      <c r="C116" s="205"/>
      <c r="D116" s="205">
        <f t="shared" si="2"/>
        <v>-1</v>
      </c>
      <c r="E116" s="154">
        <f>SUM($D$2:D116)/SUM($B$2:B116)</f>
        <v>0.17131304347826087</v>
      </c>
      <c r="F116" s="150">
        <f t="shared" si="3"/>
        <v>19.701000000000001</v>
      </c>
      <c r="G116" s="201" t="s">
        <v>950</v>
      </c>
      <c r="H116" s="183"/>
      <c r="I116" s="184"/>
      <c r="J116" s="184"/>
      <c r="K116" s="18"/>
      <c r="Q116"/>
    </row>
    <row r="117" spans="1:17">
      <c r="A117" s="558"/>
      <c r="B117" s="167">
        <v>1</v>
      </c>
      <c r="C117" s="205">
        <v>1.98</v>
      </c>
      <c r="D117" s="205">
        <f t="shared" si="2"/>
        <v>0.98</v>
      </c>
      <c r="E117" s="154">
        <f>SUM($D$2:D117)/SUM($B$2:B117)</f>
        <v>0.17828448275862069</v>
      </c>
      <c r="F117" s="150">
        <f t="shared" si="3"/>
        <v>20.681000000000001</v>
      </c>
      <c r="G117" s="201" t="s">
        <v>955</v>
      </c>
      <c r="H117" s="183"/>
      <c r="I117" s="184"/>
      <c r="J117" s="184"/>
      <c r="K117" s="18"/>
      <c r="Q117"/>
    </row>
    <row r="118" spans="1:17">
      <c r="A118" s="558"/>
      <c r="B118" s="167">
        <v>1</v>
      </c>
      <c r="C118" s="205"/>
      <c r="D118" s="205">
        <f t="shared" si="2"/>
        <v>-1</v>
      </c>
      <c r="E118" s="154">
        <f>SUM($D$2:D118)/SUM($B$2:B118)</f>
        <v>0.16821367521367522</v>
      </c>
      <c r="F118" s="150">
        <f t="shared" si="3"/>
        <v>19.681000000000001</v>
      </c>
      <c r="G118" s="201" t="s">
        <v>956</v>
      </c>
      <c r="H118" s="183"/>
      <c r="I118" s="184"/>
      <c r="J118" s="184"/>
      <c r="K118" s="18"/>
      <c r="Q118"/>
    </row>
    <row r="119" spans="1:17" ht="15.75" thickBot="1">
      <c r="A119" s="558"/>
      <c r="B119" s="170">
        <v>1</v>
      </c>
      <c r="C119" s="206">
        <v>2.0299999999999998</v>
      </c>
      <c r="D119" s="206">
        <f t="shared" si="2"/>
        <v>1.0299999999999998</v>
      </c>
      <c r="E119" s="193">
        <f>SUM($D$2:D119)/SUM($B$2:B119)</f>
        <v>0.1755169491525424</v>
      </c>
      <c r="F119" s="163">
        <f t="shared" si="3"/>
        <v>20.711000000000002</v>
      </c>
      <c r="G119" s="202" t="s">
        <v>957</v>
      </c>
      <c r="H119" s="183"/>
      <c r="I119" s="184"/>
      <c r="J119" s="184"/>
      <c r="K119" s="18"/>
      <c r="Q119"/>
    </row>
    <row r="120" spans="1:17">
      <c r="A120" s="555">
        <v>45926</v>
      </c>
      <c r="B120" s="277">
        <v>1</v>
      </c>
      <c r="C120" s="216"/>
      <c r="D120" s="216">
        <f>(B120*C120)-B120</f>
        <v>-1</v>
      </c>
      <c r="E120" s="96">
        <f>SUM($D$2:D120)/SUM($B$2:B120)</f>
        <v>0.1656386554621849</v>
      </c>
      <c r="F120" s="97">
        <f>F119+D120</f>
        <v>19.711000000000002</v>
      </c>
      <c r="G120" s="217" t="s">
        <v>958</v>
      </c>
      <c r="H120" s="183"/>
      <c r="I120" s="184"/>
      <c r="J120" s="184"/>
      <c r="K120" s="18"/>
      <c r="Q120"/>
    </row>
    <row r="121" spans="1:17">
      <c r="A121" s="556"/>
      <c r="B121" s="103">
        <v>1</v>
      </c>
      <c r="C121" s="41"/>
      <c r="D121" s="41">
        <f>(B121*C121)-B121</f>
        <v>-1</v>
      </c>
      <c r="E121" s="47">
        <f>SUM($D$2:D121)/SUM($B$2:B121)</f>
        <v>0.15592500000000001</v>
      </c>
      <c r="F121" s="37">
        <f>F120+D121</f>
        <v>18.711000000000002</v>
      </c>
      <c r="G121" s="129" t="s">
        <v>959</v>
      </c>
      <c r="H121" s="183"/>
      <c r="I121" s="184"/>
      <c r="J121" s="184"/>
      <c r="K121" s="18"/>
      <c r="Q121"/>
    </row>
    <row r="122" spans="1:17">
      <c r="A122" s="556"/>
      <c r="B122" s="103">
        <v>1</v>
      </c>
      <c r="C122" s="41">
        <v>1.93</v>
      </c>
      <c r="D122" s="41">
        <f>(B122*C122)-B122</f>
        <v>0.92999999999999994</v>
      </c>
      <c r="E122" s="47">
        <f>SUM($D$2:D122)/SUM($B$2:B122)</f>
        <v>0.1623223140495868</v>
      </c>
      <c r="F122" s="37">
        <f>F121+D122</f>
        <v>19.641000000000002</v>
      </c>
      <c r="G122" s="129" t="s">
        <v>960</v>
      </c>
      <c r="H122" s="183"/>
      <c r="I122" s="184"/>
      <c r="J122" s="184"/>
      <c r="K122" s="18"/>
      <c r="Q122"/>
    </row>
    <row r="123" spans="1:17">
      <c r="A123" s="556"/>
      <c r="B123" s="103">
        <v>1</v>
      </c>
      <c r="C123" s="41">
        <v>2.06</v>
      </c>
      <c r="D123" s="41">
        <f>(B123*C123)-B123</f>
        <v>1.06</v>
      </c>
      <c r="E123" s="47">
        <f>SUM($D$2:D123)/SUM($B$2:B123)</f>
        <v>0.16968032786885245</v>
      </c>
      <c r="F123" s="37">
        <f>F122+D123</f>
        <v>20.701000000000001</v>
      </c>
      <c r="G123" s="129" t="s">
        <v>961</v>
      </c>
      <c r="H123" s="183"/>
      <c r="I123" s="184"/>
      <c r="J123" s="184"/>
      <c r="K123" s="18"/>
      <c r="Q123"/>
    </row>
    <row r="124" spans="1:17">
      <c r="A124" s="556"/>
      <c r="B124" s="103">
        <v>1</v>
      </c>
      <c r="C124" s="41">
        <v>1.87</v>
      </c>
      <c r="D124" s="41">
        <f>(B124*C124)-B124</f>
        <v>0.87000000000000011</v>
      </c>
      <c r="E124" s="47">
        <f>SUM($D$2:D124)/SUM($B$2:B124)</f>
        <v>0.1753739837398374</v>
      </c>
      <c r="F124" s="37">
        <f>F123+D124</f>
        <v>21.571000000000002</v>
      </c>
      <c r="G124" s="129" t="s">
        <v>962</v>
      </c>
      <c r="H124" s="183"/>
      <c r="I124" s="184"/>
      <c r="J124" s="184"/>
      <c r="K124" s="18"/>
      <c r="Q124"/>
    </row>
    <row r="125" spans="1:17">
      <c r="A125" s="556"/>
      <c r="B125" s="103">
        <v>1</v>
      </c>
      <c r="C125" s="41">
        <v>2.0099999999999998</v>
      </c>
      <c r="D125" s="41">
        <f>(B125*C125)-B125</f>
        <v>1.0099999999999998</v>
      </c>
      <c r="E125" s="47">
        <f>SUM($D$2:D125)/SUM($B$2:B125)</f>
        <v>0.18210483870967745</v>
      </c>
      <c r="F125" s="37">
        <f>F124+D125</f>
        <v>22.581000000000003</v>
      </c>
      <c r="G125" s="129" t="s">
        <v>963</v>
      </c>
      <c r="H125" s="183"/>
      <c r="I125" s="184"/>
      <c r="J125" s="184"/>
      <c r="K125" s="18"/>
      <c r="Q125"/>
    </row>
    <row r="126" spans="1:17" ht="15.75" thickBot="1">
      <c r="A126" s="557"/>
      <c r="B126" s="105">
        <v>1</v>
      </c>
      <c r="C126" s="218">
        <v>1.97</v>
      </c>
      <c r="D126" s="218">
        <f>(B126*C126)-B126</f>
        <v>0.97</v>
      </c>
      <c r="E126" s="59">
        <f>SUM($D$2:D126)/SUM($B$2:B126)</f>
        <v>0.18840800000000002</v>
      </c>
      <c r="F126" s="38">
        <f>F125+D126</f>
        <v>23.551000000000002</v>
      </c>
      <c r="G126" s="141" t="s">
        <v>964</v>
      </c>
      <c r="H126" s="183"/>
      <c r="I126" s="184"/>
      <c r="J126" s="184"/>
      <c r="K126" s="18"/>
      <c r="Q126"/>
    </row>
    <row r="127" spans="1:17">
      <c r="A127" s="555">
        <v>45927</v>
      </c>
      <c r="B127" s="165">
        <v>1</v>
      </c>
      <c r="C127" s="204"/>
      <c r="D127" s="204">
        <f>(B127*C127)-B127</f>
        <v>-1</v>
      </c>
      <c r="E127" s="191">
        <f>SUM($D$2:D127)/SUM($B$2:B127)</f>
        <v>0.17897619047619048</v>
      </c>
      <c r="F127" s="161">
        <f>F126+D127</f>
        <v>22.551000000000002</v>
      </c>
      <c r="G127" s="166" t="s">
        <v>965</v>
      </c>
      <c r="H127" s="183"/>
      <c r="I127" s="184"/>
      <c r="J127" s="184"/>
      <c r="K127" s="18"/>
      <c r="Q127"/>
    </row>
    <row r="128" spans="1:17">
      <c r="A128" s="556"/>
      <c r="B128" s="167">
        <v>1</v>
      </c>
      <c r="C128" s="205">
        <v>1.88</v>
      </c>
      <c r="D128" s="205">
        <f>(B128*C128)-B128</f>
        <v>0.87999999999999989</v>
      </c>
      <c r="E128" s="154">
        <f>SUM($D$2:D128)/SUM($B$2:B128)</f>
        <v>0.18449606299212598</v>
      </c>
      <c r="F128" s="150">
        <f>F127+D128</f>
        <v>23.431000000000001</v>
      </c>
      <c r="G128" s="189" t="s">
        <v>966</v>
      </c>
      <c r="H128" s="183"/>
      <c r="I128" s="184"/>
      <c r="J128" s="184"/>
      <c r="K128" s="18"/>
      <c r="Q128"/>
    </row>
    <row r="129" spans="1:17">
      <c r="A129" s="556"/>
      <c r="B129" s="167">
        <v>1</v>
      </c>
      <c r="C129" s="205">
        <v>1.77</v>
      </c>
      <c r="D129" s="205">
        <f>(B129*C129)-B129</f>
        <v>0.77</v>
      </c>
      <c r="E129" s="154">
        <f>SUM($D$2:D129)/SUM($B$2:B129)</f>
        <v>0.1890703125</v>
      </c>
      <c r="F129" s="150">
        <f>F128+D129</f>
        <v>24.201000000000001</v>
      </c>
      <c r="G129" s="189" t="s">
        <v>959</v>
      </c>
      <c r="H129" s="183"/>
      <c r="I129" s="184"/>
      <c r="J129" s="184"/>
      <c r="K129" s="18"/>
      <c r="Q129"/>
    </row>
    <row r="130" spans="1:17">
      <c r="A130" s="556"/>
      <c r="B130" s="167">
        <v>1</v>
      </c>
      <c r="C130" s="205">
        <v>2</v>
      </c>
      <c r="D130" s="205">
        <f>(B130*C130)-B130</f>
        <v>1</v>
      </c>
      <c r="E130" s="154">
        <f>SUM($D$2:D130)/SUM($B$2:B130)</f>
        <v>0.19535658914728682</v>
      </c>
      <c r="F130" s="150">
        <f>F129+D130</f>
        <v>25.201000000000001</v>
      </c>
      <c r="G130" s="189" t="s">
        <v>963</v>
      </c>
      <c r="H130" s="183"/>
      <c r="I130" s="184"/>
      <c r="J130" s="184"/>
      <c r="K130" s="18"/>
      <c r="Q130"/>
    </row>
    <row r="131" spans="1:17">
      <c r="A131" s="556"/>
      <c r="B131" s="167">
        <v>1</v>
      </c>
      <c r="C131" s="205"/>
      <c r="D131" s="205">
        <f>(B131*C131)-B131</f>
        <v>-1</v>
      </c>
      <c r="E131" s="154">
        <f>SUM($D$2:D131)/SUM($B$2:B131)</f>
        <v>0.18616153846153846</v>
      </c>
      <c r="F131" s="150">
        <f>F130+D131</f>
        <v>24.201000000000001</v>
      </c>
      <c r="G131" s="189" t="s">
        <v>964</v>
      </c>
      <c r="H131" s="183"/>
      <c r="I131" s="184"/>
      <c r="J131" s="184"/>
      <c r="K131" s="18"/>
      <c r="Q131"/>
    </row>
    <row r="132" spans="1:17">
      <c r="A132" s="556"/>
      <c r="B132" s="167">
        <v>1</v>
      </c>
      <c r="C132" s="205">
        <v>1.83</v>
      </c>
      <c r="D132" s="205">
        <f>(B132*C132)-B132</f>
        <v>0.83000000000000007</v>
      </c>
      <c r="E132" s="154">
        <f>SUM($D$2:D132)/SUM($B$2:B132)</f>
        <v>0.19107633587786257</v>
      </c>
      <c r="F132" s="150">
        <f>F131+D132</f>
        <v>25.030999999999999</v>
      </c>
      <c r="G132" s="189" t="s">
        <v>962</v>
      </c>
      <c r="H132" s="183"/>
      <c r="I132" s="184"/>
      <c r="J132" s="184"/>
      <c r="K132" s="18"/>
      <c r="Q132"/>
    </row>
    <row r="133" spans="1:17">
      <c r="A133" s="556"/>
      <c r="B133" s="167">
        <v>1</v>
      </c>
      <c r="C133" s="205">
        <v>1.96</v>
      </c>
      <c r="D133" s="205">
        <f>(B133*C133)-B133</f>
        <v>0.96</v>
      </c>
      <c r="E133" s="154">
        <f>SUM($D$2:D133)/SUM($B$2:B133)</f>
        <v>0.19690151515151516</v>
      </c>
      <c r="F133" s="150">
        <f>F132+D133</f>
        <v>25.991</v>
      </c>
      <c r="G133" s="189" t="s">
        <v>967</v>
      </c>
      <c r="H133" s="183"/>
      <c r="I133" s="184"/>
      <c r="J133" s="184"/>
      <c r="K133" s="18"/>
      <c r="Q133"/>
    </row>
    <row r="134" spans="1:17" ht="15.75" thickBot="1">
      <c r="A134" s="557"/>
      <c r="B134" s="170">
        <v>1</v>
      </c>
      <c r="C134" s="206">
        <v>2.06</v>
      </c>
      <c r="D134" s="206">
        <f>(B134*C134)-B134</f>
        <v>1.06</v>
      </c>
      <c r="E134" s="193">
        <f>SUM($D$2:D134)/SUM($B$2:B134)</f>
        <v>0.20339097744360901</v>
      </c>
      <c r="F134" s="163">
        <f>F133+D134</f>
        <v>27.050999999999998</v>
      </c>
      <c r="G134" s="194" t="s">
        <v>968</v>
      </c>
      <c r="H134" s="183"/>
      <c r="I134" s="184"/>
      <c r="J134" s="184"/>
      <c r="K134" s="18"/>
      <c r="Q134"/>
    </row>
    <row r="135" spans="1:17" ht="15.75" thickBot="1">
      <c r="A135" s="561">
        <v>45928</v>
      </c>
      <c r="B135" s="222">
        <v>1</v>
      </c>
      <c r="C135" s="223">
        <v>2.85</v>
      </c>
      <c r="D135" s="223">
        <f>(B135*C135)-B135</f>
        <v>1.85</v>
      </c>
      <c r="E135" s="224">
        <f>SUM($D$2:D135)/SUM($B$2:B135)</f>
        <v>0.21567910447761193</v>
      </c>
      <c r="F135" s="225">
        <f>F134+D135</f>
        <v>28.901</v>
      </c>
      <c r="G135" s="274" t="s">
        <v>969</v>
      </c>
      <c r="H135" s="183"/>
      <c r="I135" s="184"/>
      <c r="J135" s="184"/>
      <c r="K135" s="18"/>
      <c r="Q135"/>
    </row>
    <row r="136" spans="1:17">
      <c r="A136" s="562"/>
      <c r="B136" s="179">
        <v>1</v>
      </c>
      <c r="C136" s="207">
        <v>1.87</v>
      </c>
      <c r="D136" s="207">
        <f>(B136*C136)-B136</f>
        <v>0.87000000000000011</v>
      </c>
      <c r="E136" s="195">
        <f>SUM($D$2:D136)/SUM($B$2:B136)</f>
        <v>0.22052592592592593</v>
      </c>
      <c r="F136" s="162">
        <f>F135+D136</f>
        <v>29.771000000000001</v>
      </c>
      <c r="G136" s="214" t="s">
        <v>966</v>
      </c>
      <c r="H136" s="183"/>
      <c r="I136" s="184"/>
      <c r="J136" s="184"/>
      <c r="K136" s="18"/>
      <c r="Q136"/>
    </row>
    <row r="137" spans="1:17">
      <c r="A137" s="562"/>
      <c r="B137" s="167">
        <v>1</v>
      </c>
      <c r="C137" s="205"/>
      <c r="D137" s="205">
        <f>(B137*C137)-B137</f>
        <v>-1</v>
      </c>
      <c r="E137" s="154">
        <f>SUM($D$2:D137)/SUM($B$2:B137)</f>
        <v>0.21155147058823531</v>
      </c>
      <c r="F137" s="150">
        <f>F136+D137</f>
        <v>28.771000000000001</v>
      </c>
      <c r="G137" s="189" t="s">
        <v>970</v>
      </c>
      <c r="H137" s="183"/>
      <c r="I137" s="184"/>
      <c r="J137" s="184"/>
      <c r="K137" s="18"/>
      <c r="Q137"/>
    </row>
    <row r="138" spans="1:17">
      <c r="A138" s="562"/>
      <c r="B138" s="167">
        <v>1</v>
      </c>
      <c r="C138" s="205">
        <v>1.81</v>
      </c>
      <c r="D138" s="205">
        <f>(B138*C138)-B138</f>
        <v>0.81</v>
      </c>
      <c r="E138" s="154">
        <f>SUM($D$2:D138)/SUM($B$2:B138)</f>
        <v>0.21591970802919708</v>
      </c>
      <c r="F138" s="150">
        <f>F137+D138</f>
        <v>29.581</v>
      </c>
      <c r="G138" s="189" t="s">
        <v>971</v>
      </c>
      <c r="H138" s="183"/>
      <c r="I138" s="184"/>
      <c r="J138" s="184"/>
      <c r="K138" s="18"/>
      <c r="Q138"/>
    </row>
    <row r="139" spans="1:17">
      <c r="A139" s="562"/>
      <c r="B139" s="167">
        <v>1</v>
      </c>
      <c r="C139" s="205">
        <v>1.87</v>
      </c>
      <c r="D139" s="205">
        <f>(B139*C139)-B139</f>
        <v>0.87000000000000011</v>
      </c>
      <c r="E139" s="154">
        <f>SUM($D$2:D139)/SUM($B$2:B139)</f>
        <v>0.22065942028985508</v>
      </c>
      <c r="F139" s="150">
        <f>F138+D139</f>
        <v>30.451000000000001</v>
      </c>
      <c r="G139" s="189" t="s">
        <v>958</v>
      </c>
      <c r="H139" s="183"/>
      <c r="I139" s="184"/>
      <c r="J139" s="184"/>
      <c r="K139" s="18"/>
      <c r="Q139"/>
    </row>
    <row r="140" spans="1:17">
      <c r="A140" s="562"/>
      <c r="B140" s="167">
        <v>1</v>
      </c>
      <c r="C140" s="205">
        <v>1.98</v>
      </c>
      <c r="D140" s="205">
        <f>(B140*C140)-B140</f>
        <v>0.98</v>
      </c>
      <c r="E140" s="154">
        <f>SUM($D$2:D140)/SUM($B$2:B140)</f>
        <v>0.22612230215827339</v>
      </c>
      <c r="F140" s="150">
        <f>F139+D140</f>
        <v>31.431000000000001</v>
      </c>
      <c r="G140" s="189" t="s">
        <v>963</v>
      </c>
      <c r="H140" s="183"/>
      <c r="I140" s="184"/>
      <c r="J140" s="184"/>
      <c r="K140" s="18"/>
      <c r="Q140"/>
    </row>
    <row r="141" spans="1:17">
      <c r="A141" s="562"/>
      <c r="B141" s="167">
        <v>1</v>
      </c>
      <c r="C141" s="205">
        <v>2.02</v>
      </c>
      <c r="D141" s="205">
        <f>(B141*C141)-B141</f>
        <v>1.02</v>
      </c>
      <c r="E141" s="154">
        <f>SUM($D$2:D141)/SUM($B$2:B141)</f>
        <v>0.23179285714285713</v>
      </c>
      <c r="F141" s="150">
        <f>F140+D141</f>
        <v>32.451000000000001</v>
      </c>
      <c r="G141" s="189" t="s">
        <v>968</v>
      </c>
      <c r="H141" s="183"/>
      <c r="I141" s="184"/>
      <c r="J141" s="184"/>
      <c r="K141" s="18"/>
      <c r="Q141"/>
    </row>
    <row r="142" spans="1:17" ht="15.75" thickBot="1">
      <c r="A142" s="563"/>
      <c r="B142" s="170">
        <v>1</v>
      </c>
      <c r="C142" s="206">
        <v>2</v>
      </c>
      <c r="D142" s="206">
        <f>(B142*C142)-B142</f>
        <v>1</v>
      </c>
      <c r="E142" s="193">
        <f>SUM($D$2:D142)/SUM($B$2:B142)</f>
        <v>0.23724113475177305</v>
      </c>
      <c r="F142" s="163">
        <f>F141+D142</f>
        <v>33.451000000000001</v>
      </c>
      <c r="G142" s="194" t="s">
        <v>964</v>
      </c>
      <c r="H142" s="183"/>
      <c r="I142" s="184"/>
      <c r="J142" s="184"/>
      <c r="K142" s="18"/>
      <c r="Q142"/>
    </row>
    <row r="143" spans="1:17" s="184" customFormat="1">
      <c r="A143" s="555">
        <v>45930</v>
      </c>
      <c r="B143" s="103">
        <v>1</v>
      </c>
      <c r="C143" s="41"/>
      <c r="D143" s="41">
        <f>(B143*C143)-B143</f>
        <v>-1</v>
      </c>
      <c r="E143" s="47">
        <f>SUM($D$2:D143)/SUM($B$2:B143)</f>
        <v>0.22852816901408451</v>
      </c>
      <c r="F143" s="37">
        <f>F142+D143</f>
        <v>32.451000000000001</v>
      </c>
      <c r="G143" s="129" t="s">
        <v>972</v>
      </c>
      <c r="H143" s="183"/>
      <c r="K143" s="234"/>
    </row>
    <row r="144" spans="1:17" s="184" customFormat="1" ht="15.75" thickBot="1">
      <c r="A144" s="557"/>
      <c r="B144" s="105">
        <v>1</v>
      </c>
      <c r="C144" s="218"/>
      <c r="D144" s="218">
        <f>(B144*C144)-B144</f>
        <v>-1</v>
      </c>
      <c r="E144" s="59">
        <f>SUM($D$2:D144)/SUM($B$2:B144)</f>
        <v>0.21993706293706294</v>
      </c>
      <c r="F144" s="38">
        <f>F143+D144</f>
        <v>31.451000000000001</v>
      </c>
      <c r="G144" s="141" t="s">
        <v>973</v>
      </c>
      <c r="H144" s="183"/>
      <c r="K144" s="234"/>
    </row>
    <row r="145" spans="1:18" s="184" customFormat="1">
      <c r="A145" s="555">
        <v>45931</v>
      </c>
      <c r="B145" s="41">
        <v>1</v>
      </c>
      <c r="C145" s="41">
        <v>2.0699999999999998</v>
      </c>
      <c r="D145" s="41">
        <f>(B145*C145)-B145</f>
        <v>1.0699999999999998</v>
      </c>
      <c r="E145" s="47">
        <f>SUM($D$2:D145)/SUM($B$2:B145)</f>
        <v>0.22584027777777779</v>
      </c>
      <c r="F145" s="37">
        <f>F144+D145</f>
        <v>32.521000000000001</v>
      </c>
      <c r="G145" s="129" t="s">
        <v>972</v>
      </c>
      <c r="H145" s="183"/>
      <c r="K145" s="234"/>
    </row>
    <row r="146" spans="1:18" s="184" customFormat="1" ht="15.75" thickBot="1">
      <c r="A146" s="557"/>
      <c r="B146" s="218">
        <v>1</v>
      </c>
      <c r="C146" s="218">
        <v>2.2200000000000002</v>
      </c>
      <c r="D146" s="218">
        <f>(B146*C146)-B146</f>
        <v>1.2200000000000002</v>
      </c>
      <c r="E146" s="59">
        <f>SUM($D$2:D146)/SUM($B$2:B146)</f>
        <v>0.23269655172413792</v>
      </c>
      <c r="F146" s="38">
        <f>F145+D146</f>
        <v>33.741</v>
      </c>
      <c r="G146" s="141" t="s">
        <v>973</v>
      </c>
      <c r="H146" s="183"/>
      <c r="K146" s="234"/>
    </row>
    <row r="147" spans="1:18" s="184" customFormat="1">
      <c r="A147" s="555">
        <v>45932</v>
      </c>
      <c r="B147" s="41">
        <v>1</v>
      </c>
      <c r="C147" s="41"/>
      <c r="D147" s="41">
        <f>(B147*C147)-B147</f>
        <v>-1</v>
      </c>
      <c r="E147" s="47">
        <f>SUM($D$2:D147)/SUM($B$2:B147)</f>
        <v>0.22425342465753426</v>
      </c>
      <c r="F147" s="37">
        <f>F146+D147</f>
        <v>32.741</v>
      </c>
      <c r="G147" s="129" t="s">
        <v>972</v>
      </c>
      <c r="H147" s="183"/>
      <c r="K147" s="234"/>
    </row>
    <row r="148" spans="1:18" s="184" customFormat="1">
      <c r="A148" s="557"/>
      <c r="B148" s="218">
        <v>1</v>
      </c>
      <c r="C148" s="218"/>
      <c r="D148" s="218">
        <f>(B148*C148)-B148</f>
        <v>-1</v>
      </c>
      <c r="E148" s="59">
        <f>SUM($D$2:D148)/SUM($B$2:B148)</f>
        <v>0.21592517006802722</v>
      </c>
      <c r="F148" s="38">
        <f>F147+D148</f>
        <v>31.741</v>
      </c>
      <c r="G148" s="141" t="s">
        <v>973</v>
      </c>
      <c r="H148" s="183"/>
      <c r="K148" s="234"/>
    </row>
    <row r="149" spans="1:18" s="184" customFormat="1">
      <c r="A149" s="526">
        <v>45934</v>
      </c>
      <c r="B149" s="222">
        <v>1</v>
      </c>
      <c r="C149" s="223">
        <v>1.97</v>
      </c>
      <c r="D149" s="223">
        <f>(B149*C149)-B149</f>
        <v>0.97</v>
      </c>
      <c r="E149" s="224">
        <f>SUM($D$2:D149)/SUM($B$2:B149)</f>
        <v>0.22102027027027027</v>
      </c>
      <c r="F149" s="225">
        <f t="shared" ref="F149:F156" si="4">F148+D149</f>
        <v>32.710999999999999</v>
      </c>
      <c r="G149" s="274" t="s">
        <v>974</v>
      </c>
      <c r="H149" s="183"/>
      <c r="K149" s="234"/>
    </row>
    <row r="150" spans="1:18" s="184" customFormat="1">
      <c r="A150" s="526">
        <v>45936</v>
      </c>
      <c r="B150" s="222">
        <v>1</v>
      </c>
      <c r="C150" s="223"/>
      <c r="D150" s="223">
        <f>(B150*C150)-B150</f>
        <v>-1</v>
      </c>
      <c r="E150" s="224">
        <f>SUM($D$2:D150)/SUM($B$2:B150)</f>
        <v>0.21282550335570469</v>
      </c>
      <c r="F150" s="225">
        <f t="shared" si="4"/>
        <v>31.710999999999999</v>
      </c>
      <c r="G150" s="226" t="s">
        <v>975</v>
      </c>
      <c r="H150" s="183"/>
      <c r="K150" s="234"/>
    </row>
    <row r="151" spans="1:18" s="184" customFormat="1">
      <c r="A151" s="526">
        <v>45937</v>
      </c>
      <c r="B151" s="222">
        <v>1</v>
      </c>
      <c r="C151" s="223"/>
      <c r="D151" s="223">
        <f>(B151*C151)-B151</f>
        <v>-1</v>
      </c>
      <c r="E151" s="224">
        <f>SUM($D$2:D151)/SUM($B$2:B151)</f>
        <v>0.20473999999999998</v>
      </c>
      <c r="F151" s="225">
        <f t="shared" si="4"/>
        <v>30.710999999999999</v>
      </c>
      <c r="G151" s="226" t="s">
        <v>976</v>
      </c>
      <c r="H151" s="183"/>
      <c r="K151" s="234"/>
    </row>
    <row r="152" spans="1:18" s="184" customFormat="1">
      <c r="A152" s="555">
        <v>45938</v>
      </c>
      <c r="B152" s="165">
        <v>1</v>
      </c>
      <c r="C152" s="204"/>
      <c r="D152" s="204">
        <f>(B152*C152)-B152</f>
        <v>-1</v>
      </c>
      <c r="E152" s="191">
        <f>SUM($D$2:D152)/SUM($B$2:B152)</f>
        <v>0.19676158940397351</v>
      </c>
      <c r="F152" s="161">
        <f t="shared" si="4"/>
        <v>29.710999999999999</v>
      </c>
      <c r="G152" s="169" t="s">
        <v>922</v>
      </c>
      <c r="H152" s="183"/>
      <c r="K152" s="234"/>
    </row>
    <row r="153" spans="1:18" s="184" customFormat="1">
      <c r="A153" s="556"/>
      <c r="B153" s="167">
        <v>1</v>
      </c>
      <c r="C153" s="205">
        <v>1.92</v>
      </c>
      <c r="D153" s="205">
        <f>(B153*C153)-B153</f>
        <v>0.91999999999999993</v>
      </c>
      <c r="E153" s="154">
        <f>SUM($D$2:D153)/SUM($B$2:B153)</f>
        <v>0.20151973684210525</v>
      </c>
      <c r="F153" s="150">
        <f t="shared" si="4"/>
        <v>30.631</v>
      </c>
      <c r="G153" s="155" t="s">
        <v>885</v>
      </c>
      <c r="H153" s="183"/>
      <c r="K153" s="234"/>
    </row>
    <row r="154" spans="1:18" s="184" customFormat="1">
      <c r="A154" s="557"/>
      <c r="B154" s="170">
        <v>1</v>
      </c>
      <c r="C154" s="206"/>
      <c r="D154" s="206">
        <f>(B154*C154)-B154</f>
        <v>-1</v>
      </c>
      <c r="E154" s="193">
        <f>SUM($D$2:D154)/SUM($B$2:B154)</f>
        <v>0.19366666666666668</v>
      </c>
      <c r="F154" s="163">
        <f t="shared" si="4"/>
        <v>29.631</v>
      </c>
      <c r="G154" s="194" t="s">
        <v>976</v>
      </c>
      <c r="H154" s="183"/>
      <c r="K154" s="234"/>
    </row>
    <row r="155" spans="1:18" s="184" customFormat="1">
      <c r="A155" s="526">
        <v>45942</v>
      </c>
      <c r="B155" s="222">
        <v>1</v>
      </c>
      <c r="C155" s="225">
        <v>1.97</v>
      </c>
      <c r="D155" s="225">
        <f t="shared" ref="D155" si="5">(B155*C155)-B155</f>
        <v>0.97</v>
      </c>
      <c r="E155" s="224">
        <f>SUM($D$2:D155)/SUM($B$2:B155)</f>
        <v>0.19870779220779219</v>
      </c>
      <c r="F155" s="225">
        <f t="shared" si="4"/>
        <v>30.600999999999999</v>
      </c>
      <c r="G155" s="226" t="s">
        <v>977</v>
      </c>
      <c r="H155" s="183"/>
      <c r="K155" s="234"/>
    </row>
    <row r="156" spans="1:18" s="184" customFormat="1">
      <c r="A156" s="526">
        <v>45946</v>
      </c>
      <c r="B156" s="251">
        <v>1</v>
      </c>
      <c r="C156" s="251"/>
      <c r="D156" s="251">
        <f>(B156*C156)-B156</f>
        <v>-1</v>
      </c>
      <c r="E156" s="252">
        <f>SUM($D$2:D156)/SUM($B$2:B156)</f>
        <v>0.1909741935483871</v>
      </c>
      <c r="F156" s="253">
        <f t="shared" si="4"/>
        <v>29.600999999999999</v>
      </c>
      <c r="G156" s="279" t="s">
        <v>978</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979</v>
      </c>
      <c r="C160" s="573" t="s">
        <v>980</v>
      </c>
      <c r="D160" s="574"/>
      <c r="E160" s="575"/>
      <c r="H160" s="576">
        <f>100</f>
        <v>100</v>
      </c>
      <c r="I160" s="577"/>
      <c r="J160" s="16" t="s">
        <v>981</v>
      </c>
      <c r="K160" s="576">
        <v>100</v>
      </c>
      <c r="L160" s="577"/>
      <c r="M160" s="16" t="s">
        <v>981</v>
      </c>
      <c r="N160" s="19"/>
      <c r="O160" s="138"/>
      <c r="P160" s="58"/>
    </row>
    <row r="161" spans="1:16" ht="15" customHeight="1">
      <c r="A161">
        <f>COUNT(B2:B157)</f>
        <v>155</v>
      </c>
      <c r="B161" s="1"/>
      <c r="C161" s="156">
        <f>I161</f>
        <v>5</v>
      </c>
      <c r="D161" s="553">
        <v>1.32</v>
      </c>
      <c r="E161" s="157">
        <f>C161*D161-C161</f>
        <v>1.6000000000000005</v>
      </c>
      <c r="F161" s="15"/>
      <c r="G161" s="147" t="s">
        <v>982</v>
      </c>
      <c r="H161" s="75">
        <f>H164/100</f>
        <v>1</v>
      </c>
      <c r="I161" s="149">
        <f>H161*5</f>
        <v>5</v>
      </c>
      <c r="J161" s="3" t="s">
        <v>983</v>
      </c>
      <c r="K161" s="75">
        <f>K164/100</f>
        <v>1.2960099999999999</v>
      </c>
      <c r="L161" s="149">
        <f>K161*5</f>
        <v>6.4800499999999994</v>
      </c>
      <c r="M161" s="3" t="s">
        <v>983</v>
      </c>
    </row>
    <row r="162" spans="1:16" ht="15" customHeight="1">
      <c r="A162" t="s">
        <v>984</v>
      </c>
      <c r="B162" s="99"/>
      <c r="C162" s="135">
        <f>E162/(D161-1)</f>
        <v>9.3749999999999982</v>
      </c>
      <c r="D162" s="554"/>
      <c r="E162" s="136">
        <v>3</v>
      </c>
      <c r="F162" s="15"/>
      <c r="G162" s="147" t="s">
        <v>985</v>
      </c>
      <c r="H162" s="127">
        <f>SUM(H2:H157)</f>
        <v>0</v>
      </c>
      <c r="I162" s="148"/>
      <c r="J162" s="3" t="s">
        <v>986</v>
      </c>
      <c r="K162" s="127">
        <f>D158</f>
        <v>29.600999999999999</v>
      </c>
      <c r="L162" s="148"/>
      <c r="M162" s="3" t="s">
        <v>986</v>
      </c>
    </row>
    <row r="163" spans="1:16">
      <c r="A163" s="18">
        <f>COUNT(C2:C157)/A161</f>
        <v>0.59354838709677415</v>
      </c>
      <c r="B163" s="18"/>
      <c r="D163" s="15">
        <f>1/A163</f>
        <v>1.6847826086956523</v>
      </c>
      <c r="E163" s="15"/>
      <c r="F163" s="15"/>
      <c r="G163" s="147" t="s">
        <v>987</v>
      </c>
      <c r="H163" s="565">
        <f>(H162-I162)</f>
        <v>0</v>
      </c>
      <c r="I163" s="566"/>
      <c r="J163" s="128"/>
      <c r="K163" s="565">
        <f>(K162-L162)</f>
        <v>29.600999999999999</v>
      </c>
      <c r="L163" s="566"/>
      <c r="M163" s="128"/>
    </row>
    <row r="164" spans="1:16">
      <c r="A164" t="s">
        <v>4</v>
      </c>
      <c r="G164" s="147" t="s">
        <v>988</v>
      </c>
      <c r="H164" s="567">
        <f>H160+H163</f>
        <v>100</v>
      </c>
      <c r="I164" s="568"/>
      <c r="J164" s="128">
        <f>130-H164</f>
        <v>30</v>
      </c>
      <c r="K164" s="567">
        <f>K160+K163</f>
        <v>129.601</v>
      </c>
      <c r="L164" s="568"/>
      <c r="M164" s="128"/>
      <c r="O164" s="235">
        <v>74.147999999999996</v>
      </c>
      <c r="P164" s="18"/>
    </row>
    <row r="165" spans="1:16">
      <c r="A165" s="18">
        <f>D158/B158</f>
        <v>0.1909741935483871</v>
      </c>
      <c r="F165" s="158"/>
      <c r="G165" s="147" t="s">
        <v>989</v>
      </c>
      <c r="H165" s="45">
        <f>(H164-H160)/H160</f>
        <v>0</v>
      </c>
      <c r="I165" s="46">
        <f>B158/H160</f>
        <v>1.55</v>
      </c>
      <c r="J165" t="s">
        <v>990</v>
      </c>
      <c r="K165" s="45">
        <f>(K164-K160)/K160</f>
        <v>0.29601</v>
      </c>
      <c r="L165" s="46">
        <f>B158/K160</f>
        <v>1.55</v>
      </c>
      <c r="M165" t="s">
        <v>990</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410</v>
      </c>
      <c r="B209" s="140">
        <f>SUM(B2:B19)</f>
        <v>18</v>
      </c>
      <c r="C209" s="140"/>
      <c r="D209" s="140">
        <f>SUM(D2:D19)</f>
        <v>-3.4100000000000006</v>
      </c>
      <c r="E209" s="144">
        <f t="shared" ref="E209:E210" si="6">D209/B209</f>
        <v>-0.18944444444444447</v>
      </c>
      <c r="F209" s="18"/>
      <c r="G209" s="221" t="s">
        <v>409</v>
      </c>
    </row>
    <row r="210" spans="1:7">
      <c r="A210" s="139" t="s">
        <v>411</v>
      </c>
      <c r="B210" s="140">
        <f>SUM(B20:B51)</f>
        <v>32</v>
      </c>
      <c r="C210" s="140"/>
      <c r="D210" s="140">
        <f>SUM(D20:D51)</f>
        <v>5.9859999999999989</v>
      </c>
      <c r="E210" s="144">
        <f t="shared" si="6"/>
        <v>0.18706249999999996</v>
      </c>
      <c r="G210" s="220"/>
    </row>
    <row r="211" spans="1:7">
      <c r="A211" s="139" t="s">
        <v>412</v>
      </c>
      <c r="B211" s="140">
        <f>SUM(B52:B99)</f>
        <v>48</v>
      </c>
      <c r="C211" s="140"/>
      <c r="D211" s="140">
        <f>SUM(D52:D99)</f>
        <v>13.212000000000007</v>
      </c>
      <c r="E211" s="144">
        <f t="shared" ref="E211" si="7">D211/B211</f>
        <v>0.27525000000000016</v>
      </c>
      <c r="G211" s="220"/>
    </row>
    <row r="212" spans="1:7">
      <c r="A212" s="139" t="s">
        <v>414</v>
      </c>
      <c r="B212" s="140">
        <f>SUM(B100:B157)</f>
        <v>57</v>
      </c>
      <c r="C212" s="140"/>
      <c r="D212" s="140">
        <f>SUM(D100:D157)</f>
        <v>13.812999999999999</v>
      </c>
      <c r="E212" s="144">
        <f t="shared" ref="E212" si="8">D212/B212</f>
        <v>0.24233333333333332</v>
      </c>
      <c r="G212" s="220"/>
    </row>
    <row r="213" spans="1:7">
      <c r="A213" s="139" t="s">
        <v>415</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425</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991</v>
      </c>
      <c r="P1" s="246" t="s">
        <v>992</v>
      </c>
      <c r="Q1" s="248" t="s">
        <v>5</v>
      </c>
      <c r="R1" s="246"/>
      <c r="T1" s="564" t="s">
        <v>882</v>
      </c>
      <c r="U1" s="564"/>
      <c r="V1" s="564"/>
      <c r="W1" s="564"/>
    </row>
    <row r="2" spans="1:23">
      <c r="A2" s="527">
        <v>45905</v>
      </c>
      <c r="B2" s="257">
        <v>1</v>
      </c>
      <c r="C2" s="258">
        <v>3.04</v>
      </c>
      <c r="D2" s="258">
        <f>(B2*C2)-B2</f>
        <v>2.04</v>
      </c>
      <c r="E2" s="259">
        <f>SUM($D$2:D2)/SUM($B$2:B2)</f>
        <v>2.04</v>
      </c>
      <c r="F2" s="258">
        <f>D2</f>
        <v>2.04</v>
      </c>
      <c r="G2" s="260" t="s">
        <v>883</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888</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893</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902</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903</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923</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924</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942</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943</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902</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946</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969</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979</v>
      </c>
      <c r="C17" s="573" t="s">
        <v>980</v>
      </c>
      <c r="D17" s="574"/>
      <c r="E17" s="575"/>
      <c r="H17" s="576">
        <f>100</f>
        <v>100</v>
      </c>
      <c r="I17" s="577"/>
      <c r="J17" s="16" t="s">
        <v>981</v>
      </c>
      <c r="K17" s="576">
        <v>80.89</v>
      </c>
      <c r="L17" s="577"/>
      <c r="M17" s="16" t="s">
        <v>981</v>
      </c>
      <c r="N17" s="19"/>
      <c r="O17" s="138"/>
      <c r="P17" s="58"/>
    </row>
    <row r="18" spans="1:16" ht="15" customHeight="1">
      <c r="A18">
        <f>COUNT(B2:B14)</f>
        <v>12</v>
      </c>
      <c r="B18" s="1"/>
      <c r="C18" s="156">
        <f>I18</f>
        <v>5</v>
      </c>
      <c r="D18" s="553">
        <v>1.32</v>
      </c>
      <c r="E18" s="157">
        <f>C18*D18-C18</f>
        <v>1.6000000000000005</v>
      </c>
      <c r="F18" s="15"/>
      <c r="G18" s="147" t="s">
        <v>982</v>
      </c>
      <c r="H18" s="75">
        <f>H21/100</f>
        <v>1</v>
      </c>
      <c r="I18" s="149">
        <f>H18*5</f>
        <v>5</v>
      </c>
      <c r="J18" s="3" t="s">
        <v>983</v>
      </c>
      <c r="K18" s="75">
        <f>K21/100</f>
        <v>0.92230000000000001</v>
      </c>
      <c r="L18" s="149">
        <f>K18*5</f>
        <v>4.6115000000000004</v>
      </c>
      <c r="M18" s="3" t="s">
        <v>983</v>
      </c>
    </row>
    <row r="19" spans="1:16" ht="15" customHeight="1">
      <c r="A19" t="s">
        <v>984</v>
      </c>
      <c r="B19" s="99"/>
      <c r="C19" s="135">
        <f>E19/(D18-1)</f>
        <v>9.3749999999999982</v>
      </c>
      <c r="D19" s="554"/>
      <c r="E19" s="136">
        <v>3</v>
      </c>
      <c r="F19" s="15"/>
      <c r="G19" s="147" t="s">
        <v>985</v>
      </c>
      <c r="H19" s="127">
        <f>SUM(H2:H14)</f>
        <v>0</v>
      </c>
      <c r="I19" s="148"/>
      <c r="J19" s="3" t="s">
        <v>986</v>
      </c>
      <c r="K19" s="127">
        <f>D15</f>
        <v>11.34</v>
      </c>
      <c r="L19" s="148"/>
      <c r="M19" s="3" t="s">
        <v>986</v>
      </c>
    </row>
    <row r="20" spans="1:16">
      <c r="A20" s="18">
        <f>COUNT(C2:C14)/A18</f>
        <v>0.66666666666666663</v>
      </c>
      <c r="B20" s="18"/>
      <c r="D20" s="15">
        <f>1/A20</f>
        <v>1.5</v>
      </c>
      <c r="E20" s="15"/>
      <c r="F20" s="15"/>
      <c r="G20" s="147" t="s">
        <v>987</v>
      </c>
      <c r="H20" s="565">
        <f>(H19-I19)</f>
        <v>0</v>
      </c>
      <c r="I20" s="566"/>
      <c r="J20" s="128"/>
      <c r="K20" s="565">
        <f>(K19-L19)</f>
        <v>11.34</v>
      </c>
      <c r="L20" s="566"/>
      <c r="M20" s="128"/>
    </row>
    <row r="21" spans="1:16">
      <c r="A21" t="s">
        <v>4</v>
      </c>
      <c r="G21" s="147" t="s">
        <v>988</v>
      </c>
      <c r="H21" s="567">
        <f>H17+H20</f>
        <v>100</v>
      </c>
      <c r="I21" s="568"/>
      <c r="J21" s="128">
        <f>130-H21</f>
        <v>30</v>
      </c>
      <c r="K21" s="567">
        <f>K17+K20</f>
        <v>92.23</v>
      </c>
      <c r="L21" s="568"/>
      <c r="M21" s="128"/>
      <c r="O21" s="235">
        <v>74.147999999999996</v>
      </c>
      <c r="P21" s="18"/>
    </row>
    <row r="22" spans="1:16">
      <c r="A22" s="18">
        <f>D15/B15</f>
        <v>0.94499999999999995</v>
      </c>
      <c r="F22" s="158"/>
      <c r="G22" s="147" t="s">
        <v>989</v>
      </c>
      <c r="H22" s="45">
        <f>(H21-H17)/H17</f>
        <v>0</v>
      </c>
      <c r="I22" s="46">
        <f>B15/H17</f>
        <v>0.12</v>
      </c>
      <c r="J22" t="s">
        <v>990</v>
      </c>
      <c r="K22" s="45">
        <f>(K21-K17)/K17</f>
        <v>0.14019038200024728</v>
      </c>
      <c r="L22" s="46">
        <f>B15/K17</f>
        <v>0.14834961058227222</v>
      </c>
      <c r="M22" t="s">
        <v>990</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4" t="s">
        <v>408</v>
      </c>
      <c r="B40" s="132" t="s">
        <v>1</v>
      </c>
      <c r="C40" s="525"/>
      <c r="E40" s="134" t="s">
        <v>4</v>
      </c>
    </row>
    <row r="42" spans="1:37">
      <c r="D42" s="7" t="s">
        <v>3</v>
      </c>
    </row>
    <row r="43" spans="1:37">
      <c r="B43" s="21" t="s">
        <v>993</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410</v>
      </c>
      <c r="B66" s="140">
        <f>SUM(B2:B4)</f>
        <v>3</v>
      </c>
      <c r="C66" s="140"/>
      <c r="D66" s="140">
        <f>SUM(D2:D4)</f>
        <v>4.0000000000000036E-2</v>
      </c>
      <c r="E66" s="152">
        <f t="shared" ref="E66:E67" si="11">D66/B66</f>
        <v>1.3333333333333345E-2</v>
      </c>
      <c r="F66" s="18"/>
      <c r="G66" s="221" t="s">
        <v>409</v>
      </c>
    </row>
    <row r="67" spans="1:7">
      <c r="A67" s="139" t="s">
        <v>411</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425</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4" t="s">
        <v>882</v>
      </c>
      <c r="N1" s="564"/>
      <c r="O1" s="564"/>
      <c r="P1" s="564"/>
      <c r="Q1"/>
    </row>
    <row r="2" spans="1:17">
      <c r="A2" s="528">
        <v>45905</v>
      </c>
      <c r="B2" s="204">
        <v>1</v>
      </c>
      <c r="C2" s="161">
        <v>1.93</v>
      </c>
      <c r="D2" s="161">
        <f t="shared" ref="D2:D65" si="0">(B2*C2)-B2</f>
        <v>0.92999999999999994</v>
      </c>
      <c r="E2" s="191">
        <f>SUM($D$2:D2)/SUM($B$2:B2)</f>
        <v>0.92999999999999994</v>
      </c>
      <c r="F2" s="161">
        <f>D2</f>
        <v>0.92999999999999994</v>
      </c>
      <c r="G2" s="169" t="s">
        <v>884</v>
      </c>
      <c r="H2" s="183"/>
      <c r="I2" s="184"/>
      <c r="J2" s="184"/>
      <c r="Q2"/>
    </row>
    <row r="3" spans="1:17">
      <c r="A3" s="529"/>
      <c r="B3" s="153">
        <v>1</v>
      </c>
      <c r="C3" s="151">
        <v>1.86</v>
      </c>
      <c r="D3" s="151">
        <f t="shared" si="0"/>
        <v>0.8600000000000001</v>
      </c>
      <c r="E3" s="190">
        <f>SUM($D$2:D3)/SUM($B$2:B3)</f>
        <v>0.89500000000000002</v>
      </c>
      <c r="F3" s="151">
        <f t="shared" ref="F3:F66" si="1">F2+D3</f>
        <v>1.79</v>
      </c>
      <c r="G3" s="192" t="s">
        <v>885</v>
      </c>
      <c r="H3" s="183"/>
      <c r="I3" s="184"/>
      <c r="J3" s="184"/>
      <c r="Q3"/>
    </row>
    <row r="4" spans="1:17">
      <c r="A4" s="529"/>
      <c r="B4" s="205">
        <v>1</v>
      </c>
      <c r="C4" s="150">
        <v>2.0099999999999998</v>
      </c>
      <c r="D4" s="150">
        <f t="shared" si="0"/>
        <v>1.0099999999999998</v>
      </c>
      <c r="E4" s="154">
        <f>SUM($D$2:D4)/SUM($B$2:B4)</f>
        <v>0.93333333333333324</v>
      </c>
      <c r="F4" s="150">
        <f t="shared" si="1"/>
        <v>2.8</v>
      </c>
      <c r="G4" s="189" t="s">
        <v>886</v>
      </c>
      <c r="H4" s="183"/>
      <c r="I4" s="184"/>
      <c r="J4" s="184"/>
      <c r="Q4"/>
    </row>
    <row r="5" spans="1:17" ht="15.75" thickBot="1">
      <c r="A5" s="530"/>
      <c r="B5" s="206">
        <v>1</v>
      </c>
      <c r="C5" s="163"/>
      <c r="D5" s="163">
        <f t="shared" si="0"/>
        <v>-1</v>
      </c>
      <c r="E5" s="193">
        <f>SUM($D$2:D5)/SUM($B$2:B5)</f>
        <v>0.44999999999999996</v>
      </c>
      <c r="F5" s="163">
        <f t="shared" si="1"/>
        <v>1.7999999999999998</v>
      </c>
      <c r="G5" s="194" t="s">
        <v>887</v>
      </c>
      <c r="H5" s="183"/>
      <c r="I5" s="184"/>
      <c r="J5" s="184"/>
      <c r="Q5"/>
    </row>
    <row r="6" spans="1:17">
      <c r="A6" s="569">
        <v>45906</v>
      </c>
      <c r="B6" s="165">
        <v>1</v>
      </c>
      <c r="C6" s="204"/>
      <c r="D6" s="204">
        <f t="shared" si="0"/>
        <v>-1</v>
      </c>
      <c r="E6" s="191">
        <f>SUM($D$2:D6)/SUM($B$2:B6)</f>
        <v>0.15999999999999998</v>
      </c>
      <c r="F6" s="161">
        <f t="shared" si="1"/>
        <v>0.79999999999999982</v>
      </c>
      <c r="G6" s="210" t="s">
        <v>885</v>
      </c>
      <c r="H6" s="183"/>
      <c r="I6" s="184"/>
      <c r="J6" s="184"/>
      <c r="K6" s="18"/>
      <c r="M6" s="2"/>
      <c r="N6" s="18"/>
      <c r="Q6"/>
    </row>
    <row r="7" spans="1:17">
      <c r="A7" s="570"/>
      <c r="B7" s="167">
        <v>1</v>
      </c>
      <c r="C7" s="205"/>
      <c r="D7" s="205">
        <f t="shared" si="0"/>
        <v>-1</v>
      </c>
      <c r="E7" s="154">
        <f>SUM($D$2:D7)/SUM($B$2:B7)</f>
        <v>-3.3333333333333361E-2</v>
      </c>
      <c r="F7" s="150">
        <f t="shared" si="1"/>
        <v>-0.20000000000000018</v>
      </c>
      <c r="G7" s="201" t="s">
        <v>889</v>
      </c>
      <c r="H7" s="183"/>
      <c r="I7" s="184"/>
      <c r="J7" s="184"/>
      <c r="K7" s="18"/>
      <c r="M7" s="2"/>
      <c r="N7" s="18"/>
      <c r="Q7"/>
    </row>
    <row r="8" spans="1:17">
      <c r="A8" s="570"/>
      <c r="B8" s="167">
        <v>1</v>
      </c>
      <c r="C8" s="205"/>
      <c r="D8" s="205">
        <f t="shared" si="0"/>
        <v>-1</v>
      </c>
      <c r="E8" s="154">
        <f>SUM($D$2:D8)/SUM($B$2:B8)</f>
        <v>-0.17142857142857146</v>
      </c>
      <c r="F8" s="150">
        <f t="shared" si="1"/>
        <v>-1.2000000000000002</v>
      </c>
      <c r="G8" s="201" t="s">
        <v>890</v>
      </c>
      <c r="H8" s="183"/>
      <c r="I8" s="184"/>
      <c r="J8" s="184"/>
      <c r="K8" s="18"/>
      <c r="M8" s="2"/>
      <c r="N8" s="18"/>
      <c r="Q8"/>
    </row>
    <row r="9" spans="1:17">
      <c r="A9" s="570"/>
      <c r="B9" s="167">
        <v>1</v>
      </c>
      <c r="C9" s="205"/>
      <c r="D9" s="205">
        <f t="shared" si="0"/>
        <v>-1</v>
      </c>
      <c r="E9" s="154">
        <f>SUM($D$2:D9)/SUM($B$2:B9)</f>
        <v>-0.27500000000000002</v>
      </c>
      <c r="F9" s="150">
        <f t="shared" si="1"/>
        <v>-2.2000000000000002</v>
      </c>
      <c r="G9" s="201" t="s">
        <v>884</v>
      </c>
      <c r="H9" s="183"/>
      <c r="I9" s="184"/>
      <c r="J9" s="184"/>
      <c r="K9" s="18"/>
      <c r="M9" s="2"/>
      <c r="N9" s="18"/>
      <c r="Q9"/>
    </row>
    <row r="10" spans="1:17">
      <c r="A10" s="570"/>
      <c r="B10" s="167">
        <v>1</v>
      </c>
      <c r="C10" s="205"/>
      <c r="D10" s="205">
        <f t="shared" si="0"/>
        <v>-1</v>
      </c>
      <c r="E10" s="154">
        <f>SUM($D$2:D10)/SUM($B$2:B10)</f>
        <v>-0.35555555555555557</v>
      </c>
      <c r="F10" s="150">
        <f t="shared" si="1"/>
        <v>-3.2</v>
      </c>
      <c r="G10" s="201" t="s">
        <v>891</v>
      </c>
      <c r="H10" s="183"/>
      <c r="I10" s="184"/>
      <c r="J10" s="184"/>
      <c r="K10" s="18"/>
      <c r="M10" s="2"/>
      <c r="N10" s="18"/>
      <c r="Q10"/>
    </row>
    <row r="11" spans="1:17" ht="15.75" thickBot="1">
      <c r="A11" s="580"/>
      <c r="B11" s="170">
        <v>1</v>
      </c>
      <c r="C11" s="206">
        <v>1.97</v>
      </c>
      <c r="D11" s="206">
        <f t="shared" si="0"/>
        <v>0.97</v>
      </c>
      <c r="E11" s="193">
        <f>SUM($D$2:D11)/SUM($B$2:B11)</f>
        <v>-0.22300000000000003</v>
      </c>
      <c r="F11" s="163">
        <f t="shared" si="1"/>
        <v>-2.2300000000000004</v>
      </c>
      <c r="G11" s="203" t="s">
        <v>892</v>
      </c>
      <c r="H11" s="183"/>
      <c r="I11" s="184"/>
      <c r="J11" s="184"/>
      <c r="K11" s="18"/>
      <c r="M11" s="2"/>
      <c r="N11" s="18"/>
      <c r="Q11"/>
    </row>
    <row r="12" spans="1:17">
      <c r="A12" s="581">
        <v>45907</v>
      </c>
      <c r="B12" s="204">
        <v>1</v>
      </c>
      <c r="C12" s="204"/>
      <c r="D12" s="204">
        <f t="shared" si="0"/>
        <v>-1</v>
      </c>
      <c r="E12" s="191">
        <f>SUM($D$2:D12)/SUM($B$2:B12)</f>
        <v>-0.2936363636363637</v>
      </c>
      <c r="F12" s="161">
        <f t="shared" si="1"/>
        <v>-3.2300000000000004</v>
      </c>
      <c r="G12" s="210" t="s">
        <v>894</v>
      </c>
      <c r="H12" s="183"/>
      <c r="I12" s="184"/>
      <c r="J12" s="184"/>
      <c r="K12" s="18"/>
      <c r="M12" s="2"/>
      <c r="N12" s="18"/>
      <c r="Q12"/>
    </row>
    <row r="13" spans="1:17">
      <c r="A13" s="582"/>
      <c r="B13" s="205">
        <v>1</v>
      </c>
      <c r="C13" s="205"/>
      <c r="D13" s="205">
        <f t="shared" si="0"/>
        <v>-1</v>
      </c>
      <c r="E13" s="154">
        <f>SUM($D$2:D13)/SUM($B$2:B13)</f>
        <v>-0.35250000000000004</v>
      </c>
      <c r="F13" s="150">
        <f t="shared" si="1"/>
        <v>-4.2300000000000004</v>
      </c>
      <c r="G13" s="201" t="s">
        <v>889</v>
      </c>
      <c r="H13" s="183"/>
      <c r="I13" s="184"/>
      <c r="J13" s="184"/>
      <c r="K13" s="18"/>
      <c r="M13" s="2"/>
      <c r="N13" s="18"/>
      <c r="Q13"/>
    </row>
    <row r="14" spans="1:17">
      <c r="A14" s="582"/>
      <c r="B14" s="205">
        <v>1</v>
      </c>
      <c r="C14" s="205">
        <v>1.9</v>
      </c>
      <c r="D14" s="205">
        <f t="shared" si="0"/>
        <v>0.89999999999999991</v>
      </c>
      <c r="E14" s="154">
        <f>SUM($D$2:D14)/SUM($B$2:B14)</f>
        <v>-0.25615384615384618</v>
      </c>
      <c r="F14" s="150">
        <f t="shared" si="1"/>
        <v>-3.3300000000000005</v>
      </c>
      <c r="G14" s="201" t="s">
        <v>885</v>
      </c>
      <c r="H14" s="183"/>
      <c r="I14" s="184"/>
      <c r="J14" s="184"/>
      <c r="K14" s="18"/>
      <c r="M14" s="2"/>
      <c r="N14" s="18"/>
      <c r="Q14"/>
    </row>
    <row r="15" spans="1:17">
      <c r="A15" s="582"/>
      <c r="B15" s="205">
        <v>1</v>
      </c>
      <c r="C15" s="205">
        <v>1.88</v>
      </c>
      <c r="D15" s="205">
        <f t="shared" si="0"/>
        <v>0.87999999999999989</v>
      </c>
      <c r="E15" s="154">
        <f>SUM($D$2:D15)/SUM($B$2:B15)</f>
        <v>-0.17500000000000004</v>
      </c>
      <c r="F15" s="150">
        <f t="shared" si="1"/>
        <v>-2.4500000000000006</v>
      </c>
      <c r="G15" s="201" t="s">
        <v>895</v>
      </c>
      <c r="H15" s="183"/>
      <c r="I15" s="184"/>
      <c r="J15" s="184"/>
      <c r="K15" s="18"/>
      <c r="M15" s="2"/>
      <c r="N15" s="18"/>
      <c r="Q15"/>
    </row>
    <row r="16" spans="1:17" ht="15.75" thickBot="1">
      <c r="A16" s="583"/>
      <c r="B16" s="153">
        <v>1</v>
      </c>
      <c r="C16" s="153"/>
      <c r="D16" s="153">
        <f t="shared" si="0"/>
        <v>-1</v>
      </c>
      <c r="E16" s="190">
        <f>SUM($D$2:D16)/SUM($B$2:B16)</f>
        <v>-0.23000000000000004</v>
      </c>
      <c r="F16" s="151">
        <f t="shared" si="1"/>
        <v>-3.4500000000000006</v>
      </c>
      <c r="G16" s="211" t="s">
        <v>891</v>
      </c>
      <c r="H16" s="183"/>
      <c r="I16" s="184"/>
      <c r="J16" s="184"/>
      <c r="K16" s="58"/>
      <c r="M16" s="2"/>
      <c r="N16" s="18"/>
      <c r="Q16"/>
    </row>
    <row r="17" spans="1:17">
      <c r="A17" s="528">
        <v>45908</v>
      </c>
      <c r="B17" s="204">
        <v>1</v>
      </c>
      <c r="C17" s="204"/>
      <c r="D17" s="204">
        <f t="shared" si="0"/>
        <v>-1</v>
      </c>
      <c r="E17" s="191">
        <f>SUM($D$2:D17)/SUM($B$2:B17)</f>
        <v>-0.27812500000000007</v>
      </c>
      <c r="F17" s="161">
        <f t="shared" si="1"/>
        <v>-4.4500000000000011</v>
      </c>
      <c r="G17" s="210" t="s">
        <v>896</v>
      </c>
      <c r="H17" s="183"/>
      <c r="I17" s="184"/>
      <c r="J17" s="184"/>
      <c r="K17" s="18"/>
      <c r="M17" s="2"/>
      <c r="N17" s="18"/>
      <c r="Q17"/>
    </row>
    <row r="18" spans="1:17">
      <c r="A18" s="529"/>
      <c r="B18" s="205">
        <v>1</v>
      </c>
      <c r="C18" s="205"/>
      <c r="D18" s="205">
        <f t="shared" si="0"/>
        <v>-1</v>
      </c>
      <c r="E18" s="154">
        <f>SUM($D$2:D18)/SUM($B$2:B18)</f>
        <v>-0.32058823529411773</v>
      </c>
      <c r="F18" s="150">
        <f t="shared" si="1"/>
        <v>-5.4500000000000011</v>
      </c>
      <c r="G18" s="201" t="s">
        <v>897</v>
      </c>
      <c r="H18" s="183"/>
      <c r="I18" s="184"/>
      <c r="J18" s="184"/>
      <c r="K18" s="18"/>
      <c r="M18" s="2"/>
      <c r="N18" s="18"/>
      <c r="Q18"/>
    </row>
    <row r="19" spans="1:17">
      <c r="A19" s="529"/>
      <c r="B19" s="205">
        <v>1</v>
      </c>
      <c r="C19" s="205">
        <v>1.909</v>
      </c>
      <c r="D19" s="205">
        <f t="shared" si="0"/>
        <v>0.90900000000000003</v>
      </c>
      <c r="E19" s="154">
        <f>SUM($D$2:D19)/SUM($B$2:B19)</f>
        <v>-0.25227777777777782</v>
      </c>
      <c r="F19" s="150">
        <f t="shared" si="1"/>
        <v>-4.5410000000000013</v>
      </c>
      <c r="G19" s="201" t="s">
        <v>898</v>
      </c>
      <c r="H19" s="183"/>
      <c r="I19" s="184"/>
      <c r="J19" s="184"/>
      <c r="K19" s="18"/>
      <c r="M19" s="2"/>
      <c r="N19" s="18"/>
      <c r="Q19"/>
    </row>
    <row r="20" spans="1:17" ht="15.75" thickBot="1">
      <c r="A20" s="529"/>
      <c r="B20" s="153">
        <v>1</v>
      </c>
      <c r="C20" s="153"/>
      <c r="D20" s="153">
        <f t="shared" si="0"/>
        <v>-1</v>
      </c>
      <c r="E20" s="190">
        <f>SUM($D$2:D20)/SUM($B$2:B20)</f>
        <v>-0.29163157894736846</v>
      </c>
      <c r="F20" s="151">
        <f t="shared" si="1"/>
        <v>-5.5410000000000013</v>
      </c>
      <c r="G20" s="211" t="s">
        <v>899</v>
      </c>
      <c r="H20" s="183"/>
      <c r="I20" s="184"/>
      <c r="J20" s="184"/>
      <c r="K20" s="18"/>
      <c r="M20" s="2"/>
      <c r="N20" s="18"/>
      <c r="Q20"/>
    </row>
    <row r="21" spans="1:17">
      <c r="A21" s="572">
        <v>45909</v>
      </c>
      <c r="B21" s="165">
        <v>1</v>
      </c>
      <c r="C21" s="204">
        <v>1.74</v>
      </c>
      <c r="D21" s="204">
        <f t="shared" si="0"/>
        <v>0.74</v>
      </c>
      <c r="E21" s="191">
        <f>SUM($D$2:D21)/SUM($B$2:B21)</f>
        <v>-0.24005000000000004</v>
      </c>
      <c r="F21" s="161">
        <f t="shared" si="1"/>
        <v>-4.801000000000001</v>
      </c>
      <c r="G21" s="210" t="s">
        <v>900</v>
      </c>
      <c r="H21" s="183"/>
      <c r="I21" s="184"/>
      <c r="J21" s="184"/>
      <c r="K21" s="18"/>
      <c r="M21" s="2"/>
      <c r="N21" s="18"/>
      <c r="Q21"/>
    </row>
    <row r="22" spans="1:17">
      <c r="A22" s="534"/>
      <c r="B22" s="167">
        <v>1</v>
      </c>
      <c r="C22" s="205">
        <v>1.89</v>
      </c>
      <c r="D22" s="205">
        <f t="shared" si="0"/>
        <v>0.8899999999999999</v>
      </c>
      <c r="E22" s="154">
        <f>SUM($D$2:D22)/SUM($B$2:B22)</f>
        <v>-0.18623809523809531</v>
      </c>
      <c r="F22" s="150">
        <f t="shared" si="1"/>
        <v>-3.9110000000000014</v>
      </c>
      <c r="G22" s="201" t="s">
        <v>901</v>
      </c>
      <c r="H22" s="183"/>
      <c r="I22" s="184"/>
      <c r="J22" s="184"/>
      <c r="K22" s="18"/>
      <c r="M22" s="2"/>
      <c r="N22" s="18"/>
      <c r="Q22"/>
    </row>
    <row r="23" spans="1:17" ht="15.75" thickBot="1">
      <c r="A23" s="534"/>
      <c r="B23" s="170">
        <v>1</v>
      </c>
      <c r="C23" s="206"/>
      <c r="D23" s="206">
        <f t="shared" si="0"/>
        <v>-1</v>
      </c>
      <c r="E23" s="193">
        <f>SUM($D$2:D23)/SUM($B$2:B23)</f>
        <v>-0.2232272727272728</v>
      </c>
      <c r="F23" s="163">
        <f t="shared" si="1"/>
        <v>-4.9110000000000014</v>
      </c>
      <c r="G23" s="203" t="s">
        <v>899</v>
      </c>
      <c r="H23" s="183"/>
      <c r="I23" s="184"/>
      <c r="J23" s="184"/>
      <c r="K23" s="18"/>
      <c r="M23" s="2"/>
      <c r="N23" s="18"/>
      <c r="Q23"/>
    </row>
    <row r="24" spans="1:17">
      <c r="A24" s="555">
        <v>45910</v>
      </c>
      <c r="B24" s="204">
        <v>1</v>
      </c>
      <c r="C24" s="204">
        <v>1.7270000000000001</v>
      </c>
      <c r="D24" s="204">
        <f t="shared" si="0"/>
        <v>0.72700000000000009</v>
      </c>
      <c r="E24" s="191">
        <f>SUM($D$2:D24)/SUM($B$2:B24)</f>
        <v>-0.18191304347826093</v>
      </c>
      <c r="F24" s="161">
        <f t="shared" si="1"/>
        <v>-4.1840000000000011</v>
      </c>
      <c r="G24" s="210" t="s">
        <v>900</v>
      </c>
      <c r="H24" s="183"/>
      <c r="I24" s="184"/>
      <c r="J24" s="184"/>
      <c r="K24" s="18"/>
      <c r="Q24"/>
    </row>
    <row r="25" spans="1:17">
      <c r="A25" s="556"/>
      <c r="B25" s="205">
        <v>1</v>
      </c>
      <c r="C25" s="205"/>
      <c r="D25" s="205">
        <f t="shared" si="0"/>
        <v>-1</v>
      </c>
      <c r="E25" s="154">
        <f>SUM($D$2:D25)/SUM($B$2:B25)</f>
        <v>-0.21600000000000005</v>
      </c>
      <c r="F25" s="150">
        <f t="shared" si="1"/>
        <v>-5.1840000000000011</v>
      </c>
      <c r="G25" s="201" t="s">
        <v>898</v>
      </c>
      <c r="H25" s="183"/>
      <c r="I25" s="184"/>
      <c r="J25" s="184"/>
      <c r="K25" s="18"/>
      <c r="Q25"/>
    </row>
    <row r="26" spans="1:17" ht="15.75" thickBot="1">
      <c r="A26" s="557"/>
      <c r="B26" s="206">
        <v>1</v>
      </c>
      <c r="C26" s="206"/>
      <c r="D26" s="206">
        <f t="shared" si="0"/>
        <v>-1</v>
      </c>
      <c r="E26" s="193">
        <f>SUM($D$2:D26)/SUM($B$2:B26)</f>
        <v>-0.24736000000000005</v>
      </c>
      <c r="F26" s="163">
        <f t="shared" si="1"/>
        <v>-6.1840000000000011</v>
      </c>
      <c r="G26" s="211" t="s">
        <v>901</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904</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905</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906</v>
      </c>
      <c r="H29" s="183"/>
      <c r="I29" s="184"/>
      <c r="J29" s="184"/>
      <c r="K29" s="18"/>
      <c r="Q29"/>
    </row>
    <row r="30" spans="1:17">
      <c r="A30" s="586"/>
      <c r="B30" s="205">
        <v>1</v>
      </c>
      <c r="C30" s="205"/>
      <c r="D30" s="205">
        <f t="shared" si="0"/>
        <v>-1</v>
      </c>
      <c r="E30" s="154">
        <f>SUM($D$2:D30)/SUM($B$2:B30)</f>
        <v>-0.15600000000000003</v>
      </c>
      <c r="F30" s="150">
        <f t="shared" si="1"/>
        <v>-4.5240000000000009</v>
      </c>
      <c r="G30" s="201" t="s">
        <v>907</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908</v>
      </c>
      <c r="H31" s="183"/>
      <c r="I31" s="184"/>
      <c r="J31" s="184"/>
      <c r="K31" s="18"/>
      <c r="Q31"/>
    </row>
    <row r="32" spans="1:17">
      <c r="A32" s="586"/>
      <c r="B32" s="205">
        <v>1</v>
      </c>
      <c r="C32" s="205"/>
      <c r="D32" s="205">
        <f t="shared" si="0"/>
        <v>-1</v>
      </c>
      <c r="E32" s="154">
        <f>SUM($D$2:D32)/SUM($B$2:B32)</f>
        <v>-0.14819354838709681</v>
      </c>
      <c r="F32" s="150">
        <f t="shared" si="1"/>
        <v>-4.5940000000000012</v>
      </c>
      <c r="G32" s="201" t="s">
        <v>909</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910</v>
      </c>
      <c r="H33" s="183"/>
      <c r="I33" s="184"/>
      <c r="J33" s="184"/>
      <c r="K33" s="18"/>
      <c r="Q33"/>
    </row>
    <row r="34" spans="1:17">
      <c r="A34" s="555">
        <v>45913</v>
      </c>
      <c r="B34" s="204">
        <v>1</v>
      </c>
      <c r="C34" s="204">
        <v>1.89</v>
      </c>
      <c r="D34" s="204">
        <f t="shared" si="0"/>
        <v>0.8899999999999999</v>
      </c>
      <c r="E34" s="191">
        <f>SUM($D$2:D34)/SUM($B$2:B34)</f>
        <v>-8.5272727272727333E-2</v>
      </c>
      <c r="F34" s="161">
        <f t="shared" si="1"/>
        <v>-2.8140000000000018</v>
      </c>
      <c r="G34" s="210" t="s">
        <v>911</v>
      </c>
      <c r="H34" s="183"/>
      <c r="I34" s="184"/>
      <c r="J34" s="184"/>
      <c r="K34" s="18"/>
      <c r="Q34"/>
    </row>
    <row r="35" spans="1:17">
      <c r="A35" s="556"/>
      <c r="B35" s="205">
        <v>1</v>
      </c>
      <c r="C35" s="205">
        <v>2.02</v>
      </c>
      <c r="D35" s="205">
        <f t="shared" si="0"/>
        <v>1.02</v>
      </c>
      <c r="E35" s="154">
        <f>SUM($D$2:D35)/SUM($B$2:B35)</f>
        <v>-5.2764705882352991E-2</v>
      </c>
      <c r="F35" s="150">
        <f t="shared" si="1"/>
        <v>-1.7940000000000018</v>
      </c>
      <c r="G35" s="201" t="s">
        <v>912</v>
      </c>
      <c r="H35" s="183"/>
      <c r="I35" s="184"/>
      <c r="J35" s="184"/>
      <c r="K35" s="18"/>
      <c r="Q35"/>
    </row>
    <row r="36" spans="1:17">
      <c r="A36" s="556"/>
      <c r="B36" s="205">
        <v>1</v>
      </c>
      <c r="C36" s="205">
        <v>1.92</v>
      </c>
      <c r="D36" s="205">
        <f t="shared" si="0"/>
        <v>0.91999999999999993</v>
      </c>
      <c r="E36" s="154">
        <f>SUM($D$2:D36)/SUM($B$2:B36)</f>
        <v>-2.4971428571428627E-2</v>
      </c>
      <c r="F36" s="150">
        <f t="shared" si="1"/>
        <v>-0.87400000000000189</v>
      </c>
      <c r="G36" s="201" t="s">
        <v>910</v>
      </c>
      <c r="H36" s="183"/>
      <c r="I36" s="184"/>
      <c r="J36" s="184"/>
      <c r="K36" s="18"/>
      <c r="Q36"/>
    </row>
    <row r="37" spans="1:17">
      <c r="A37" s="556"/>
      <c r="B37" s="205">
        <v>1</v>
      </c>
      <c r="C37" s="205"/>
      <c r="D37" s="205">
        <f t="shared" si="0"/>
        <v>-1</v>
      </c>
      <c r="E37" s="154">
        <f>SUM($D$2:D37)/SUM($B$2:B37)</f>
        <v>-5.2055555555555605E-2</v>
      </c>
      <c r="F37" s="150">
        <f t="shared" si="1"/>
        <v>-1.8740000000000019</v>
      </c>
      <c r="G37" s="201" t="s">
        <v>906</v>
      </c>
      <c r="H37" s="183"/>
      <c r="I37" s="184"/>
      <c r="J37" s="184"/>
      <c r="K37" s="18"/>
      <c r="Q37"/>
    </row>
    <row r="38" spans="1:17">
      <c r="A38" s="556"/>
      <c r="B38" s="205">
        <v>1</v>
      </c>
      <c r="C38" s="205"/>
      <c r="D38" s="205">
        <f t="shared" si="0"/>
        <v>-1</v>
      </c>
      <c r="E38" s="154">
        <f>SUM($D$2:D38)/SUM($B$2:B38)</f>
        <v>-7.7675675675675723E-2</v>
      </c>
      <c r="F38" s="150">
        <f t="shared" si="1"/>
        <v>-2.8740000000000019</v>
      </c>
      <c r="G38" s="201" t="s">
        <v>913</v>
      </c>
      <c r="H38" s="183"/>
      <c r="I38" s="184"/>
      <c r="J38" s="184"/>
      <c r="K38" s="18"/>
      <c r="Q38"/>
    </row>
    <row r="39" spans="1:17">
      <c r="A39" s="556"/>
      <c r="B39" s="205">
        <v>1</v>
      </c>
      <c r="C39" s="205">
        <v>1.98</v>
      </c>
      <c r="D39" s="205">
        <f t="shared" si="0"/>
        <v>0.98</v>
      </c>
      <c r="E39" s="154">
        <f>SUM($D$2:D39)/SUM($B$2:B39)</f>
        <v>-4.9842105263157944E-2</v>
      </c>
      <c r="F39" s="150">
        <f t="shared" si="1"/>
        <v>-1.8940000000000019</v>
      </c>
      <c r="G39" s="201" t="s">
        <v>914</v>
      </c>
      <c r="H39" s="183"/>
      <c r="I39" s="184"/>
      <c r="J39" s="184"/>
      <c r="K39" s="18"/>
      <c r="Q39"/>
    </row>
    <row r="40" spans="1:17" ht="15.75" thickBot="1">
      <c r="A40" s="557"/>
      <c r="B40" s="206">
        <v>1</v>
      </c>
      <c r="C40" s="206">
        <v>1.9</v>
      </c>
      <c r="D40" s="206">
        <f t="shared" si="0"/>
        <v>0.89999999999999991</v>
      </c>
      <c r="E40" s="193">
        <f>SUM($D$2:D40)/SUM($B$2:B40)</f>
        <v>-2.5487179487179538E-2</v>
      </c>
      <c r="F40" s="163">
        <f t="shared" si="1"/>
        <v>-0.99400000000000199</v>
      </c>
      <c r="G40" s="202" t="s">
        <v>915</v>
      </c>
      <c r="H40" s="183"/>
      <c r="I40" s="184"/>
      <c r="J40" s="184"/>
      <c r="K40" s="18"/>
      <c r="Q40"/>
    </row>
    <row r="41" spans="1:17">
      <c r="A41" s="555">
        <v>45914</v>
      </c>
      <c r="B41" s="204">
        <v>1</v>
      </c>
      <c r="C41" s="204"/>
      <c r="D41" s="204">
        <f t="shared" si="0"/>
        <v>-1</v>
      </c>
      <c r="E41" s="191">
        <f>SUM($D$2:D41)/SUM($B$2:B41)</f>
        <v>-4.9850000000000047E-2</v>
      </c>
      <c r="F41" s="161">
        <f t="shared" si="1"/>
        <v>-1.994000000000002</v>
      </c>
      <c r="G41" s="210" t="s">
        <v>915</v>
      </c>
      <c r="H41" s="183"/>
      <c r="I41" s="184"/>
      <c r="J41" s="184"/>
      <c r="K41" s="18"/>
      <c r="Q41"/>
    </row>
    <row r="42" spans="1:17">
      <c r="A42" s="556"/>
      <c r="B42" s="205">
        <v>1</v>
      </c>
      <c r="C42" s="205">
        <v>1.88</v>
      </c>
      <c r="D42" s="205">
        <f t="shared" si="0"/>
        <v>0.87999999999999989</v>
      </c>
      <c r="E42" s="154">
        <f>SUM($D$2:D42)/SUM($B$2:B42)</f>
        <v>-2.7170731707317125E-2</v>
      </c>
      <c r="F42" s="150">
        <f t="shared" si="1"/>
        <v>-1.1140000000000021</v>
      </c>
      <c r="G42" s="201" t="s">
        <v>916</v>
      </c>
      <c r="H42" s="183"/>
      <c r="I42" s="184"/>
      <c r="J42" s="184"/>
      <c r="K42" s="18"/>
      <c r="Q42"/>
    </row>
    <row r="43" spans="1:17">
      <c r="A43" s="556"/>
      <c r="B43" s="205">
        <v>1</v>
      </c>
      <c r="C43" s="205">
        <v>2</v>
      </c>
      <c r="D43" s="205">
        <f t="shared" si="0"/>
        <v>1</v>
      </c>
      <c r="E43" s="154">
        <f>SUM($D$2:D43)/SUM($B$2:B43)</f>
        <v>-2.7142857142857641E-3</v>
      </c>
      <c r="F43" s="150">
        <f t="shared" si="1"/>
        <v>-0.1140000000000021</v>
      </c>
      <c r="G43" s="201" t="s">
        <v>910</v>
      </c>
      <c r="H43" s="183"/>
      <c r="I43" s="184"/>
      <c r="J43" s="184"/>
      <c r="K43" s="18"/>
      <c r="Q43"/>
    </row>
    <row r="44" spans="1:17">
      <c r="A44" s="556"/>
      <c r="B44" s="205">
        <v>1</v>
      </c>
      <c r="C44" s="205">
        <v>1.81</v>
      </c>
      <c r="D44" s="205">
        <f t="shared" si="0"/>
        <v>0.81</v>
      </c>
      <c r="E44" s="154">
        <f>SUM($D$2:D44)/SUM($B$2:B44)</f>
        <v>1.6186046511627861E-2</v>
      </c>
      <c r="F44" s="150">
        <f t="shared" si="1"/>
        <v>0.69599999999999795</v>
      </c>
      <c r="G44" s="201" t="s">
        <v>906</v>
      </c>
      <c r="H44" s="183"/>
      <c r="I44" s="184"/>
      <c r="J44" s="184"/>
      <c r="K44" s="18"/>
      <c r="Q44"/>
    </row>
    <row r="45" spans="1:17">
      <c r="A45" s="556"/>
      <c r="B45" s="205">
        <v>1</v>
      </c>
      <c r="C45" s="205"/>
      <c r="D45" s="205">
        <f t="shared" si="0"/>
        <v>-1</v>
      </c>
      <c r="E45" s="154">
        <f>SUM($D$2:D45)/SUM($B$2:B45)</f>
        <v>-6.9090909090909558E-3</v>
      </c>
      <c r="F45" s="150">
        <f t="shared" si="1"/>
        <v>-0.30400000000000205</v>
      </c>
      <c r="G45" s="201" t="s">
        <v>909</v>
      </c>
      <c r="H45" s="183"/>
      <c r="I45" s="184"/>
      <c r="J45" s="184"/>
      <c r="K45" s="18"/>
      <c r="Q45"/>
    </row>
    <row r="46" spans="1:17" ht="15.75" thickBot="1">
      <c r="A46" s="557"/>
      <c r="B46" s="206">
        <v>1</v>
      </c>
      <c r="C46" s="206"/>
      <c r="D46" s="206">
        <f t="shared" si="0"/>
        <v>-1</v>
      </c>
      <c r="E46" s="193">
        <f>SUM($D$2:D46)/SUM($B$2:B46)</f>
        <v>-2.8977777777777824E-2</v>
      </c>
      <c r="F46" s="163">
        <f t="shared" si="1"/>
        <v>-1.304000000000002</v>
      </c>
      <c r="G46" s="202" t="s">
        <v>914</v>
      </c>
      <c r="H46" s="183"/>
      <c r="I46" s="184"/>
      <c r="J46" s="184"/>
      <c r="K46" s="18"/>
      <c r="Q46"/>
    </row>
    <row r="47" spans="1:17">
      <c r="A47" s="555">
        <v>45915</v>
      </c>
      <c r="B47" s="205">
        <v>1</v>
      </c>
      <c r="C47" s="205">
        <v>1.84</v>
      </c>
      <c r="D47" s="205">
        <f t="shared" si="0"/>
        <v>0.84000000000000008</v>
      </c>
      <c r="E47" s="154">
        <f>SUM($D$2:D47)/SUM($B$2:B47)</f>
        <v>-1.0086956521739174E-2</v>
      </c>
      <c r="F47" s="150">
        <f t="shared" si="1"/>
        <v>-0.46400000000000197</v>
      </c>
      <c r="G47" s="201" t="s">
        <v>917</v>
      </c>
      <c r="H47" s="183"/>
      <c r="I47" s="184"/>
      <c r="J47" s="184"/>
      <c r="K47" s="18"/>
      <c r="Q47"/>
    </row>
    <row r="48" spans="1:17">
      <c r="A48" s="556"/>
      <c r="B48" s="205">
        <v>1</v>
      </c>
      <c r="C48" s="205">
        <v>1.97</v>
      </c>
      <c r="D48" s="205">
        <f t="shared" si="0"/>
        <v>0.97</v>
      </c>
      <c r="E48" s="154">
        <f>SUM($D$2:D48)/SUM($B$2:B48)</f>
        <v>1.0765957446808468E-2</v>
      </c>
      <c r="F48" s="150">
        <f t="shared" si="1"/>
        <v>0.50599999999999801</v>
      </c>
      <c r="G48" s="201" t="s">
        <v>918</v>
      </c>
      <c r="H48" s="183"/>
      <c r="I48" s="184"/>
      <c r="J48" s="184"/>
      <c r="K48" s="18"/>
      <c r="Q48"/>
    </row>
    <row r="49" spans="1:17" ht="15.75" thickBot="1">
      <c r="A49" s="557"/>
      <c r="B49" s="206">
        <v>1</v>
      </c>
      <c r="C49" s="206">
        <v>1.909</v>
      </c>
      <c r="D49" s="206">
        <f t="shared" si="0"/>
        <v>0.90900000000000003</v>
      </c>
      <c r="E49" s="193">
        <f>SUM($D$2:D49)/SUM($B$2:B49)</f>
        <v>2.9479166666666626E-2</v>
      </c>
      <c r="F49" s="163">
        <f t="shared" si="1"/>
        <v>1.414999999999998</v>
      </c>
      <c r="G49" s="202" t="s">
        <v>919</v>
      </c>
      <c r="H49" s="183"/>
      <c r="I49" s="184"/>
      <c r="J49" s="184"/>
      <c r="K49" s="18"/>
      <c r="Q49"/>
    </row>
    <row r="50" spans="1:17">
      <c r="A50" s="555">
        <v>45916</v>
      </c>
      <c r="B50" s="205">
        <v>1</v>
      </c>
      <c r="C50" s="205">
        <v>1.86</v>
      </c>
      <c r="D50" s="205">
        <f t="shared" si="0"/>
        <v>0.8600000000000001</v>
      </c>
      <c r="E50" s="154">
        <f>SUM($D$2:D50)/SUM($B$2:B50)</f>
        <v>4.6428571428571389E-2</v>
      </c>
      <c r="F50" s="150">
        <f t="shared" si="1"/>
        <v>2.2749999999999981</v>
      </c>
      <c r="G50" s="272" t="s">
        <v>917</v>
      </c>
      <c r="H50" s="183"/>
      <c r="I50" s="184"/>
      <c r="J50" s="184"/>
      <c r="K50" s="18"/>
      <c r="Q50"/>
    </row>
    <row r="51" spans="1:17">
      <c r="A51" s="556"/>
      <c r="B51" s="205">
        <v>1</v>
      </c>
      <c r="C51" s="205"/>
      <c r="D51" s="205">
        <f t="shared" si="0"/>
        <v>-1</v>
      </c>
      <c r="E51" s="154">
        <f>SUM($D$2:D51)/SUM($B$2:B51)</f>
        <v>2.5499999999999964E-2</v>
      </c>
      <c r="F51" s="150">
        <f t="shared" si="1"/>
        <v>1.2749999999999981</v>
      </c>
      <c r="G51" s="201" t="s">
        <v>920</v>
      </c>
      <c r="H51" s="183"/>
      <c r="I51" s="184"/>
      <c r="J51" s="184"/>
      <c r="K51" s="18"/>
      <c r="Q51"/>
    </row>
    <row r="52" spans="1:17">
      <c r="A52" s="556"/>
      <c r="B52" s="205">
        <v>1</v>
      </c>
      <c r="C52" s="205">
        <v>1.95</v>
      </c>
      <c r="D52" s="205">
        <f t="shared" si="0"/>
        <v>0.95</v>
      </c>
      <c r="E52" s="154">
        <f>SUM($D$2:D52)/SUM($B$2:B52)</f>
        <v>4.3627450980392113E-2</v>
      </c>
      <c r="F52" s="150">
        <f t="shared" si="1"/>
        <v>2.2249999999999979</v>
      </c>
      <c r="G52" s="201" t="s">
        <v>919</v>
      </c>
      <c r="H52" s="183"/>
      <c r="I52" s="184"/>
      <c r="J52" s="184"/>
      <c r="K52" s="18"/>
      <c r="Q52"/>
    </row>
    <row r="53" spans="1:17">
      <c r="A53" s="556"/>
      <c r="B53" s="205">
        <v>1</v>
      </c>
      <c r="C53" s="205">
        <v>1.98</v>
      </c>
      <c r="D53" s="205">
        <f t="shared" si="0"/>
        <v>0.98</v>
      </c>
      <c r="E53" s="154">
        <f>SUM($D$2:D53)/SUM($B$2:B53)</f>
        <v>6.1634615384615343E-2</v>
      </c>
      <c r="F53" s="150">
        <f t="shared" si="1"/>
        <v>3.2049999999999979</v>
      </c>
      <c r="G53" s="201" t="s">
        <v>918</v>
      </c>
      <c r="H53" s="183"/>
      <c r="I53" s="184"/>
      <c r="J53" s="184"/>
      <c r="K53" s="18"/>
      <c r="Q53"/>
    </row>
    <row r="54" spans="1:17">
      <c r="A54" s="556"/>
      <c r="B54" s="205">
        <v>1</v>
      </c>
      <c r="C54" s="205">
        <v>1.87</v>
      </c>
      <c r="D54" s="205">
        <f t="shared" si="0"/>
        <v>0.87000000000000011</v>
      </c>
      <c r="E54" s="154">
        <f>SUM($D$2:D54)/SUM($B$2:B54)</f>
        <v>7.6886792452830144E-2</v>
      </c>
      <c r="F54" s="150">
        <f t="shared" si="1"/>
        <v>4.0749999999999975</v>
      </c>
      <c r="G54" s="201" t="s">
        <v>921</v>
      </c>
      <c r="H54" s="183"/>
      <c r="I54" s="184"/>
      <c r="J54" s="184"/>
      <c r="K54" s="18"/>
      <c r="Q54"/>
    </row>
    <row r="55" spans="1:17" ht="15.75" thickBot="1">
      <c r="A55" s="557"/>
      <c r="B55" s="206">
        <v>1</v>
      </c>
      <c r="C55" s="206"/>
      <c r="D55" s="206">
        <f t="shared" si="0"/>
        <v>-1</v>
      </c>
      <c r="E55" s="193">
        <f>SUM($D$2:D55)/SUM($B$2:B55)</f>
        <v>5.6944444444444402E-2</v>
      </c>
      <c r="F55" s="163">
        <f t="shared" si="1"/>
        <v>3.0749999999999975</v>
      </c>
      <c r="G55" s="202" t="s">
        <v>922</v>
      </c>
      <c r="H55" s="183"/>
      <c r="I55" s="184"/>
      <c r="J55" s="184"/>
      <c r="K55" s="18"/>
      <c r="Q55"/>
    </row>
    <row r="56" spans="1:17">
      <c r="A56" s="555">
        <v>45917</v>
      </c>
      <c r="B56" s="207">
        <v>1</v>
      </c>
      <c r="C56" s="207">
        <v>2.0099999999999998</v>
      </c>
      <c r="D56" s="207">
        <f t="shared" si="0"/>
        <v>1.0099999999999998</v>
      </c>
      <c r="E56" s="195">
        <f>SUM($D$2:D56)/SUM($B$2:B56)</f>
        <v>7.4272727272727226E-2</v>
      </c>
      <c r="F56" s="162">
        <f t="shared" si="1"/>
        <v>4.0849999999999973</v>
      </c>
      <c r="G56" s="275" t="s">
        <v>925</v>
      </c>
      <c r="H56" s="183"/>
      <c r="I56" s="184"/>
      <c r="J56" s="184"/>
      <c r="K56" s="18"/>
      <c r="Q56"/>
    </row>
    <row r="57" spans="1:17">
      <c r="A57" s="556"/>
      <c r="B57" s="205">
        <v>1</v>
      </c>
      <c r="C57" s="205">
        <v>1.87</v>
      </c>
      <c r="D57" s="205">
        <f t="shared" si="0"/>
        <v>0.87000000000000011</v>
      </c>
      <c r="E57" s="154">
        <f>SUM($D$2:D57)/SUM($B$2:B57)</f>
        <v>8.8482142857142815E-2</v>
      </c>
      <c r="F57" s="150">
        <f t="shared" si="1"/>
        <v>4.9549999999999974</v>
      </c>
      <c r="G57" s="201" t="s">
        <v>926</v>
      </c>
      <c r="H57" s="183"/>
      <c r="I57" s="184"/>
      <c r="J57" s="184"/>
      <c r="K57" s="18"/>
      <c r="Q57"/>
    </row>
    <row r="58" spans="1:17">
      <c r="A58" s="556"/>
      <c r="B58" s="205">
        <v>1</v>
      </c>
      <c r="C58" s="205"/>
      <c r="D58" s="205">
        <f t="shared" si="0"/>
        <v>-1</v>
      </c>
      <c r="E58" s="154">
        <f>SUM($D$2:D58)/SUM($B$2:B58)</f>
        <v>6.9385964912280662E-2</v>
      </c>
      <c r="F58" s="150">
        <f t="shared" si="1"/>
        <v>3.9549999999999974</v>
      </c>
      <c r="G58" s="201" t="s">
        <v>917</v>
      </c>
      <c r="H58" s="183"/>
      <c r="I58" s="184"/>
      <c r="J58" s="184"/>
      <c r="K58" s="18"/>
      <c r="Q58"/>
    </row>
    <row r="59" spans="1:17">
      <c r="A59" s="556"/>
      <c r="B59" s="205">
        <v>1</v>
      </c>
      <c r="C59" s="205">
        <v>1.93</v>
      </c>
      <c r="D59" s="205">
        <f t="shared" si="0"/>
        <v>0.92999999999999994</v>
      </c>
      <c r="E59" s="154">
        <f>SUM($D$2:D59)/SUM($B$2:B59)</f>
        <v>8.4224137931034435E-2</v>
      </c>
      <c r="F59" s="150">
        <f t="shared" si="1"/>
        <v>4.8849999999999971</v>
      </c>
      <c r="G59" s="201" t="s">
        <v>927</v>
      </c>
      <c r="H59" s="183"/>
      <c r="I59" s="184"/>
      <c r="J59" s="184"/>
      <c r="K59" s="18"/>
      <c r="Q59"/>
    </row>
    <row r="60" spans="1:17">
      <c r="A60" s="556"/>
      <c r="B60" s="205">
        <v>1</v>
      </c>
      <c r="C60" s="205"/>
      <c r="D60" s="205">
        <f t="shared" si="0"/>
        <v>-1</v>
      </c>
      <c r="E60" s="154">
        <f>SUM($D$2:D60)/SUM($B$2:B60)</f>
        <v>6.5847457627118591E-2</v>
      </c>
      <c r="F60" s="150">
        <f t="shared" si="1"/>
        <v>3.8849999999999971</v>
      </c>
      <c r="G60" s="201" t="s">
        <v>928</v>
      </c>
      <c r="H60" s="183"/>
      <c r="I60" s="184"/>
      <c r="J60" s="184"/>
      <c r="K60" s="18"/>
      <c r="Q60"/>
    </row>
    <row r="61" spans="1:17" ht="15.75" thickBot="1">
      <c r="A61" s="557"/>
      <c r="B61" s="206">
        <v>1</v>
      </c>
      <c r="C61" s="206">
        <v>1.87</v>
      </c>
      <c r="D61" s="206">
        <f t="shared" si="0"/>
        <v>0.87000000000000011</v>
      </c>
      <c r="E61" s="193">
        <f>SUM($D$2:D61)/SUM($B$2:B61)</f>
        <v>7.9249999999999959E-2</v>
      </c>
      <c r="F61" s="163">
        <f t="shared" si="1"/>
        <v>4.7549999999999972</v>
      </c>
      <c r="G61" s="202" t="s">
        <v>921</v>
      </c>
      <c r="H61" s="183"/>
      <c r="I61" s="184"/>
      <c r="J61" s="184"/>
      <c r="K61" s="18"/>
      <c r="Q61"/>
    </row>
    <row r="62" spans="1:17">
      <c r="A62" s="555">
        <v>45918</v>
      </c>
      <c r="B62" s="204">
        <v>1</v>
      </c>
      <c r="C62" s="204"/>
      <c r="D62" s="204">
        <f t="shared" si="0"/>
        <v>-1</v>
      </c>
      <c r="E62" s="191">
        <f>SUM($D$2:D62)/SUM($B$2:B62)</f>
        <v>6.1557377049180281E-2</v>
      </c>
      <c r="F62" s="161">
        <f t="shared" si="1"/>
        <v>3.7549999999999972</v>
      </c>
      <c r="G62" s="201" t="s">
        <v>919</v>
      </c>
      <c r="H62" s="183"/>
      <c r="I62" s="184"/>
      <c r="J62" s="184"/>
      <c r="K62" s="18"/>
      <c r="Q62"/>
    </row>
    <row r="63" spans="1:17">
      <c r="A63" s="556"/>
      <c r="B63" s="205">
        <v>1</v>
      </c>
      <c r="C63" s="205">
        <v>1.87</v>
      </c>
      <c r="D63" s="205">
        <f t="shared" si="0"/>
        <v>0.87000000000000011</v>
      </c>
      <c r="E63" s="154">
        <f>SUM($D$2:D63)/SUM($B$2:B63)</f>
        <v>7.4596774193548349E-2</v>
      </c>
      <c r="F63" s="150">
        <f t="shared" si="1"/>
        <v>4.6249999999999973</v>
      </c>
      <c r="G63" s="201" t="s">
        <v>929</v>
      </c>
      <c r="H63" s="183"/>
      <c r="I63" s="184"/>
      <c r="J63" s="184"/>
      <c r="K63" s="18"/>
      <c r="Q63"/>
    </row>
    <row r="64" spans="1:17">
      <c r="A64" s="556"/>
      <c r="B64" s="205">
        <v>1</v>
      </c>
      <c r="C64" s="205">
        <v>1.9</v>
      </c>
      <c r="D64" s="205">
        <f t="shared" si="0"/>
        <v>0.89999999999999991</v>
      </c>
      <c r="E64" s="154">
        <f>SUM($D$2:D64)/SUM($B$2:B64)</f>
        <v>8.7698412698412651E-2</v>
      </c>
      <c r="F64" s="150">
        <f t="shared" si="1"/>
        <v>5.5249999999999968</v>
      </c>
      <c r="G64" s="201" t="s">
        <v>930</v>
      </c>
      <c r="H64" s="183"/>
      <c r="I64" s="184"/>
      <c r="J64" s="184"/>
      <c r="K64" s="18"/>
      <c r="Q64"/>
    </row>
    <row r="65" spans="1:17">
      <c r="A65" s="556"/>
      <c r="B65" s="205">
        <v>1</v>
      </c>
      <c r="C65" s="205"/>
      <c r="D65" s="205">
        <f t="shared" si="0"/>
        <v>-1</v>
      </c>
      <c r="E65" s="154">
        <f>SUM($D$2:D65)/SUM($B$2:B65)</f>
        <v>7.070312499999995E-2</v>
      </c>
      <c r="F65" s="150">
        <f t="shared" si="1"/>
        <v>4.5249999999999968</v>
      </c>
      <c r="G65" s="201" t="s">
        <v>931</v>
      </c>
      <c r="H65" s="183"/>
      <c r="I65" s="184"/>
      <c r="J65" s="184"/>
      <c r="K65" s="18"/>
      <c r="Q65"/>
    </row>
    <row r="66" spans="1:17">
      <c r="A66" s="556"/>
      <c r="B66" s="205">
        <v>1</v>
      </c>
      <c r="C66" s="205"/>
      <c r="D66" s="205">
        <f t="shared" ref="D66:D108" si="2">(B66*C66)-B66</f>
        <v>-1</v>
      </c>
      <c r="E66" s="154">
        <f>SUM($D$2:D66)/SUM($B$2:B66)</f>
        <v>5.423076923076918E-2</v>
      </c>
      <c r="F66" s="150">
        <f t="shared" si="1"/>
        <v>3.5249999999999968</v>
      </c>
      <c r="G66" s="201" t="s">
        <v>932</v>
      </c>
      <c r="H66" s="183"/>
      <c r="I66" s="184"/>
      <c r="J66" s="184"/>
      <c r="K66" s="18"/>
      <c r="Q66"/>
    </row>
    <row r="67" spans="1:17" ht="15.75" thickBot="1">
      <c r="A67" s="557"/>
      <c r="B67" s="206">
        <v>1</v>
      </c>
      <c r="C67" s="206"/>
      <c r="D67" s="206">
        <f t="shared" si="2"/>
        <v>-1</v>
      </c>
      <c r="E67" s="193">
        <f>SUM($D$2:D67)/SUM($B$2:B67)</f>
        <v>3.8257575757575712E-2</v>
      </c>
      <c r="F67" s="163">
        <f t="shared" ref="F67:F108" si="3">F66+D67</f>
        <v>2.5249999999999968</v>
      </c>
      <c r="G67" s="202" t="s">
        <v>933</v>
      </c>
      <c r="H67" s="183"/>
      <c r="I67" s="184"/>
      <c r="J67" s="184"/>
      <c r="K67" s="18"/>
      <c r="Q67"/>
    </row>
    <row r="68" spans="1:17">
      <c r="A68" s="555">
        <v>45919</v>
      </c>
      <c r="B68" s="204">
        <v>1</v>
      </c>
      <c r="C68" s="204">
        <v>2.0099999999999998</v>
      </c>
      <c r="D68" s="204">
        <f t="shared" si="2"/>
        <v>1.0099999999999998</v>
      </c>
      <c r="E68" s="191">
        <f>SUM($D$2:D68)/SUM($B$2:B68)</f>
        <v>5.2761194029850696E-2</v>
      </c>
      <c r="F68" s="161">
        <f t="shared" si="3"/>
        <v>3.5349999999999966</v>
      </c>
      <c r="G68" s="201" t="s">
        <v>934</v>
      </c>
      <c r="H68" s="183"/>
      <c r="I68" s="184"/>
      <c r="J68" s="184"/>
      <c r="K68" s="18"/>
      <c r="Q68"/>
    </row>
    <row r="69" spans="1:17">
      <c r="A69" s="556"/>
      <c r="B69" s="205">
        <v>1</v>
      </c>
      <c r="C69" s="205">
        <v>1.615</v>
      </c>
      <c r="D69" s="205">
        <f t="shared" si="2"/>
        <v>0.61499999999999999</v>
      </c>
      <c r="E69" s="154">
        <f>SUM($D$2:D69)/SUM($B$2:B69)</f>
        <v>6.1029411764705832E-2</v>
      </c>
      <c r="F69" s="150">
        <f t="shared" si="3"/>
        <v>4.1499999999999968</v>
      </c>
      <c r="G69" s="201" t="s">
        <v>935</v>
      </c>
      <c r="H69" s="183"/>
      <c r="I69" s="184"/>
      <c r="J69" s="184"/>
      <c r="K69" s="18"/>
      <c r="Q69"/>
    </row>
    <row r="70" spans="1:17">
      <c r="A70" s="556"/>
      <c r="B70" s="205">
        <v>1</v>
      </c>
      <c r="C70" s="205">
        <v>1.92</v>
      </c>
      <c r="D70" s="205">
        <f t="shared" si="2"/>
        <v>0.91999999999999993</v>
      </c>
      <c r="E70" s="154">
        <f>SUM($D$2:D70)/SUM($B$2:B70)</f>
        <v>7.3478260869565173E-2</v>
      </c>
      <c r="F70" s="150">
        <f t="shared" si="3"/>
        <v>5.0699999999999967</v>
      </c>
      <c r="G70" s="201" t="s">
        <v>932</v>
      </c>
      <c r="H70" s="183"/>
      <c r="I70" s="184"/>
      <c r="J70" s="184"/>
      <c r="K70" s="18"/>
      <c r="Q70"/>
    </row>
    <row r="71" spans="1:17">
      <c r="A71" s="556"/>
      <c r="B71" s="205">
        <v>1</v>
      </c>
      <c r="C71" s="205">
        <v>1.84</v>
      </c>
      <c r="D71" s="205">
        <f t="shared" si="2"/>
        <v>0.84000000000000008</v>
      </c>
      <c r="E71" s="154">
        <f>SUM($D$2:D71)/SUM($B$2:B71)</f>
        <v>8.4428571428571381E-2</v>
      </c>
      <c r="F71" s="150">
        <f t="shared" si="3"/>
        <v>5.9099999999999966</v>
      </c>
      <c r="G71" s="201" t="s">
        <v>936</v>
      </c>
      <c r="H71" s="183"/>
      <c r="I71" s="184"/>
      <c r="J71" s="184"/>
      <c r="K71" s="18"/>
      <c r="Q71"/>
    </row>
    <row r="72" spans="1:17">
      <c r="A72" s="556"/>
      <c r="B72" s="205">
        <v>1</v>
      </c>
      <c r="C72" s="205">
        <v>1.909</v>
      </c>
      <c r="D72" s="205">
        <f t="shared" si="2"/>
        <v>0.90900000000000003</v>
      </c>
      <c r="E72" s="154">
        <f>SUM($D$2:D72)/SUM($B$2:B72)</f>
        <v>9.6042253521126705E-2</v>
      </c>
      <c r="F72" s="150">
        <f t="shared" si="3"/>
        <v>6.8189999999999964</v>
      </c>
      <c r="G72" s="201" t="s">
        <v>937</v>
      </c>
      <c r="H72" s="183"/>
      <c r="I72" s="184"/>
      <c r="J72" s="184"/>
      <c r="K72" s="18"/>
      <c r="Q72"/>
    </row>
    <row r="73" spans="1:17">
      <c r="A73" s="556"/>
      <c r="B73" s="205">
        <v>1</v>
      </c>
      <c r="C73" s="205">
        <v>1.98</v>
      </c>
      <c r="D73" s="205">
        <f t="shared" si="2"/>
        <v>0.98</v>
      </c>
      <c r="E73" s="154">
        <f>SUM($D$2:D73)/SUM($B$2:B73)</f>
        <v>0.10831944444444438</v>
      </c>
      <c r="F73" s="150">
        <f t="shared" si="3"/>
        <v>7.7989999999999959</v>
      </c>
      <c r="G73" s="201" t="s">
        <v>938</v>
      </c>
      <c r="H73" s="183"/>
      <c r="I73" s="184"/>
      <c r="J73" s="184"/>
      <c r="K73" s="18"/>
      <c r="Q73"/>
    </row>
    <row r="74" spans="1:17">
      <c r="A74" s="556"/>
      <c r="B74" s="205">
        <v>1</v>
      </c>
      <c r="C74" s="205">
        <v>1.909</v>
      </c>
      <c r="D74" s="205">
        <f t="shared" si="2"/>
        <v>0.90900000000000003</v>
      </c>
      <c r="E74" s="154">
        <f>SUM($D$2:D74)/SUM($B$2:B74)</f>
        <v>0.11928767123287666</v>
      </c>
      <c r="F74" s="150">
        <f t="shared" si="3"/>
        <v>8.7079999999999966</v>
      </c>
      <c r="G74" s="201" t="s">
        <v>933</v>
      </c>
      <c r="H74" s="183"/>
      <c r="I74" s="184"/>
      <c r="J74" s="184"/>
      <c r="K74" s="18"/>
      <c r="Q74"/>
    </row>
    <row r="75" spans="1:17">
      <c r="A75" s="556"/>
      <c r="B75" s="205">
        <v>1</v>
      </c>
      <c r="C75" s="205">
        <v>2.06</v>
      </c>
      <c r="D75" s="205">
        <f t="shared" si="2"/>
        <v>1.06</v>
      </c>
      <c r="E75" s="154">
        <f>SUM($D$2:D75)/SUM($B$2:B75)</f>
        <v>0.13199999999999995</v>
      </c>
      <c r="F75" s="150">
        <f t="shared" si="3"/>
        <v>9.7679999999999971</v>
      </c>
      <c r="G75" s="201" t="s">
        <v>939</v>
      </c>
      <c r="H75" s="183"/>
      <c r="I75" s="184"/>
      <c r="J75" s="184"/>
      <c r="K75" s="18"/>
      <c r="Q75"/>
    </row>
    <row r="76" spans="1:17">
      <c r="A76" s="556"/>
      <c r="B76" s="205">
        <v>1</v>
      </c>
      <c r="C76" s="205"/>
      <c r="D76" s="205">
        <f t="shared" si="2"/>
        <v>-1</v>
      </c>
      <c r="E76" s="154">
        <f>SUM($D$2:D76)/SUM($B$2:B76)</f>
        <v>0.11690666666666663</v>
      </c>
      <c r="F76" s="150">
        <f t="shared" si="3"/>
        <v>8.7679999999999971</v>
      </c>
      <c r="G76" s="201" t="s">
        <v>930</v>
      </c>
      <c r="H76" s="183"/>
      <c r="I76" s="184"/>
      <c r="J76" s="184"/>
      <c r="K76" s="18"/>
      <c r="Q76"/>
    </row>
    <row r="77" spans="1:17" ht="15.75" thickBot="1">
      <c r="A77" s="557"/>
      <c r="B77" s="206">
        <v>1</v>
      </c>
      <c r="C77" s="206">
        <v>2.13</v>
      </c>
      <c r="D77" s="206">
        <f t="shared" si="2"/>
        <v>1.1299999999999999</v>
      </c>
      <c r="E77" s="193">
        <f>SUM($D$2:D77)/SUM($B$2:B77)</f>
        <v>0.1302368421052631</v>
      </c>
      <c r="F77" s="163">
        <f t="shared" si="3"/>
        <v>9.8979999999999961</v>
      </c>
      <c r="G77" s="202" t="s">
        <v>940</v>
      </c>
      <c r="H77" s="183"/>
      <c r="I77" s="184"/>
      <c r="J77" s="184"/>
      <c r="K77" s="18"/>
      <c r="Q77"/>
    </row>
    <row r="78" spans="1:17">
      <c r="A78" s="555">
        <v>45920</v>
      </c>
      <c r="B78" s="205">
        <v>1</v>
      </c>
      <c r="C78" s="205">
        <v>1.93</v>
      </c>
      <c r="D78" s="205">
        <f t="shared" si="2"/>
        <v>0.92999999999999994</v>
      </c>
      <c r="E78" s="154">
        <f>SUM($D$2:D78)/SUM($B$2:B78)</f>
        <v>0.14062337662337657</v>
      </c>
      <c r="F78" s="150">
        <f t="shared" si="3"/>
        <v>10.827999999999996</v>
      </c>
      <c r="G78" s="201" t="s">
        <v>938</v>
      </c>
      <c r="H78" s="183"/>
      <c r="I78" s="184"/>
      <c r="J78" s="184"/>
      <c r="K78" s="18"/>
      <c r="Q78"/>
    </row>
    <row r="79" spans="1:17">
      <c r="A79" s="556"/>
      <c r="B79" s="205">
        <v>1</v>
      </c>
      <c r="C79" s="205">
        <v>1.88</v>
      </c>
      <c r="D79" s="205">
        <f t="shared" si="2"/>
        <v>0.87999999999999989</v>
      </c>
      <c r="E79" s="154">
        <f>SUM($D$2:D79)/SUM($B$2:B79)</f>
        <v>0.15010256410256403</v>
      </c>
      <c r="F79" s="150">
        <f t="shared" si="3"/>
        <v>11.707999999999995</v>
      </c>
      <c r="G79" s="201" t="s">
        <v>930</v>
      </c>
      <c r="H79" s="183"/>
      <c r="I79" s="184"/>
      <c r="J79" s="184"/>
      <c r="K79" s="18"/>
      <c r="Q79"/>
    </row>
    <row r="80" spans="1:17">
      <c r="A80" s="556"/>
      <c r="B80" s="205">
        <v>1</v>
      </c>
      <c r="C80" s="205">
        <v>1.87</v>
      </c>
      <c r="D80" s="205">
        <f t="shared" si="2"/>
        <v>0.87000000000000011</v>
      </c>
      <c r="E80" s="154">
        <f>SUM($D$2:D80)/SUM($B$2:B80)</f>
        <v>0.15921518987341768</v>
      </c>
      <c r="F80" s="150">
        <f t="shared" si="3"/>
        <v>12.577999999999996</v>
      </c>
      <c r="G80" s="201" t="s">
        <v>936</v>
      </c>
      <c r="H80" s="183"/>
      <c r="I80" s="184"/>
      <c r="J80" s="184"/>
      <c r="K80" s="18"/>
      <c r="Q80"/>
    </row>
    <row r="81" spans="1:17">
      <c r="A81" s="556"/>
      <c r="B81" s="205">
        <v>1</v>
      </c>
      <c r="C81" s="205">
        <v>1.87</v>
      </c>
      <c r="D81" s="205">
        <f t="shared" si="2"/>
        <v>0.87000000000000011</v>
      </c>
      <c r="E81" s="154">
        <f>SUM($D$2:D81)/SUM($B$2:B81)</f>
        <v>0.16809999999999997</v>
      </c>
      <c r="F81" s="37">
        <f>F80+D81</f>
        <v>13.447999999999997</v>
      </c>
      <c r="G81" s="201" t="s">
        <v>933</v>
      </c>
      <c r="H81" s="183"/>
      <c r="I81" s="184"/>
      <c r="J81" s="184"/>
      <c r="K81" s="18"/>
      <c r="Q81"/>
    </row>
    <row r="82" spans="1:17">
      <c r="A82" s="556"/>
      <c r="B82" s="205">
        <v>1</v>
      </c>
      <c r="C82" s="205"/>
      <c r="D82" s="205">
        <f t="shared" si="2"/>
        <v>-1</v>
      </c>
      <c r="E82" s="154">
        <f>SUM($D$2:D82)/SUM($B$2:B82)</f>
        <v>0.15367901234567896</v>
      </c>
      <c r="F82" s="150">
        <f>F81+D82</f>
        <v>12.447999999999997</v>
      </c>
      <c r="G82" s="201" t="s">
        <v>941</v>
      </c>
      <c r="H82" s="183"/>
      <c r="I82" s="184"/>
      <c r="J82" s="184"/>
      <c r="K82" s="18"/>
      <c r="Q82"/>
    </row>
    <row r="83" spans="1:17">
      <c r="A83" s="556"/>
      <c r="B83" s="205">
        <v>1</v>
      </c>
      <c r="C83" s="205"/>
      <c r="D83" s="205">
        <f t="shared" si="2"/>
        <v>-1</v>
      </c>
      <c r="E83" s="154">
        <f>SUM($D$2:D83)/SUM($B$2:B83)</f>
        <v>0.13960975609756093</v>
      </c>
      <c r="F83" s="150">
        <f t="shared" si="3"/>
        <v>11.447999999999997</v>
      </c>
      <c r="G83" s="201" t="s">
        <v>932</v>
      </c>
      <c r="H83" s="183"/>
      <c r="I83" s="184"/>
      <c r="J83" s="184"/>
      <c r="K83" s="18"/>
      <c r="Q83"/>
    </row>
    <row r="84" spans="1:17">
      <c r="A84" s="556"/>
      <c r="B84" s="205">
        <v>1</v>
      </c>
      <c r="C84" s="205"/>
      <c r="D84" s="205">
        <f t="shared" si="2"/>
        <v>-1</v>
      </c>
      <c r="E84" s="154">
        <f>SUM($D$2:D84)/SUM($B$2:B84)</f>
        <v>0.12587951807228911</v>
      </c>
      <c r="F84" s="150">
        <f t="shared" si="3"/>
        <v>10.447999999999997</v>
      </c>
      <c r="G84" s="201" t="s">
        <v>937</v>
      </c>
      <c r="H84" s="183"/>
      <c r="I84" s="184"/>
      <c r="J84" s="184"/>
      <c r="K84" s="18"/>
      <c r="Q84"/>
    </row>
    <row r="85" spans="1:17" ht="15.75" thickBot="1">
      <c r="A85" s="557"/>
      <c r="B85" s="206">
        <v>1</v>
      </c>
      <c r="C85" s="206">
        <v>2</v>
      </c>
      <c r="D85" s="206">
        <f t="shared" si="2"/>
        <v>1</v>
      </c>
      <c r="E85" s="193">
        <f>SUM($D$2:D85)/SUM($B$2:B85)</f>
        <v>0.13628571428571426</v>
      </c>
      <c r="F85" s="163">
        <f t="shared" si="3"/>
        <v>11.447999999999997</v>
      </c>
      <c r="G85" s="202" t="s">
        <v>939</v>
      </c>
      <c r="H85" s="183"/>
      <c r="I85" s="184"/>
      <c r="J85" s="184"/>
      <c r="K85" s="18"/>
      <c r="Q85"/>
    </row>
    <row r="86" spans="1:17">
      <c r="A86" s="555">
        <v>45921</v>
      </c>
      <c r="B86" s="165">
        <v>1</v>
      </c>
      <c r="C86" s="204"/>
      <c r="D86" s="204">
        <f t="shared" si="2"/>
        <v>-1</v>
      </c>
      <c r="E86" s="191">
        <f>SUM($D$2:D86)/SUM($B$2:B86)</f>
        <v>0.12291764705882349</v>
      </c>
      <c r="F86" s="161">
        <f t="shared" si="3"/>
        <v>10.447999999999997</v>
      </c>
      <c r="G86" s="200" t="s">
        <v>930</v>
      </c>
      <c r="H86" s="183"/>
      <c r="I86" s="184"/>
      <c r="J86" s="184"/>
      <c r="K86" s="18"/>
      <c r="Q86"/>
    </row>
    <row r="87" spans="1:17">
      <c r="A87" s="556"/>
      <c r="B87" s="167">
        <v>1</v>
      </c>
      <c r="C87" s="205"/>
      <c r="D87" s="205">
        <f t="shared" si="2"/>
        <v>-1</v>
      </c>
      <c r="E87" s="154">
        <f>SUM($D$2:D87)/SUM($B$2:B87)</f>
        <v>0.10986046511627903</v>
      </c>
      <c r="F87" s="150">
        <f t="shared" si="3"/>
        <v>9.4479999999999968</v>
      </c>
      <c r="G87" s="201" t="s">
        <v>944</v>
      </c>
      <c r="H87" s="183"/>
      <c r="I87" s="184"/>
      <c r="J87" s="184"/>
      <c r="K87" s="18"/>
      <c r="Q87"/>
    </row>
    <row r="88" spans="1:17">
      <c r="A88" s="556"/>
      <c r="B88" s="167">
        <v>1</v>
      </c>
      <c r="C88" s="205"/>
      <c r="D88" s="205">
        <f t="shared" si="2"/>
        <v>-1</v>
      </c>
      <c r="E88" s="154">
        <f>SUM($D$2:D88)/SUM($B$2:B88)</f>
        <v>9.7103448275862037E-2</v>
      </c>
      <c r="F88" s="150">
        <f t="shared" si="3"/>
        <v>8.4479999999999968</v>
      </c>
      <c r="G88" s="201" t="s">
        <v>938</v>
      </c>
      <c r="H88" s="183"/>
      <c r="I88" s="184"/>
      <c r="J88" s="184"/>
      <c r="K88" s="18"/>
      <c r="Q88"/>
    </row>
    <row r="89" spans="1:17">
      <c r="A89" s="556"/>
      <c r="B89" s="167">
        <v>1</v>
      </c>
      <c r="C89" s="205">
        <v>1.87</v>
      </c>
      <c r="D89" s="205">
        <f t="shared" si="2"/>
        <v>0.87000000000000011</v>
      </c>
      <c r="E89" s="154">
        <f>SUM($D$2:D89)/SUM($B$2:B89)</f>
        <v>0.10588636363636361</v>
      </c>
      <c r="F89" s="150">
        <f t="shared" si="3"/>
        <v>9.3179999999999978</v>
      </c>
      <c r="G89" s="201" t="s">
        <v>936</v>
      </c>
      <c r="H89" s="183"/>
      <c r="I89" s="184"/>
      <c r="J89" s="184"/>
      <c r="K89" s="18"/>
      <c r="Q89"/>
    </row>
    <row r="90" spans="1:17" ht="15.75" thickBot="1">
      <c r="A90" s="557"/>
      <c r="B90" s="170">
        <v>1</v>
      </c>
      <c r="C90" s="206">
        <v>1.64</v>
      </c>
      <c r="D90" s="206">
        <f t="shared" si="2"/>
        <v>0.6399999999999999</v>
      </c>
      <c r="E90" s="193">
        <f>SUM($D$2:D90)/SUM($B$2:B90)</f>
        <v>0.11188764044943818</v>
      </c>
      <c r="F90" s="163">
        <f t="shared" si="3"/>
        <v>9.9579999999999984</v>
      </c>
      <c r="G90" s="202" t="s">
        <v>935</v>
      </c>
      <c r="H90" s="183"/>
      <c r="I90" s="184"/>
      <c r="J90" s="184"/>
      <c r="K90" s="18"/>
      <c r="Q90"/>
    </row>
    <row r="91" spans="1:17" ht="15.75" thickBot="1">
      <c r="A91" s="526">
        <v>45922</v>
      </c>
      <c r="B91" s="222">
        <v>1</v>
      </c>
      <c r="C91" s="223">
        <v>1.98</v>
      </c>
      <c r="D91" s="223">
        <f t="shared" si="2"/>
        <v>0.98</v>
      </c>
      <c r="E91" s="224">
        <f>SUM($D$2:D91)/SUM($B$2:B91)</f>
        <v>0.12153333333333333</v>
      </c>
      <c r="F91" s="225">
        <f t="shared" si="3"/>
        <v>10.937999999999999</v>
      </c>
      <c r="G91" s="276" t="s">
        <v>945</v>
      </c>
      <c r="H91" s="183"/>
      <c r="I91" s="184"/>
      <c r="J91" s="184"/>
      <c r="K91" s="18"/>
      <c r="Q91"/>
    </row>
    <row r="92" spans="1:17">
      <c r="A92" s="555">
        <v>45923</v>
      </c>
      <c r="B92" s="167">
        <v>1</v>
      </c>
      <c r="C92" s="205">
        <v>1.75</v>
      </c>
      <c r="D92" s="205">
        <f t="shared" si="2"/>
        <v>0.75</v>
      </c>
      <c r="E92" s="154">
        <f>SUM($D$2:D92)/SUM($B$2:B92)</f>
        <v>0.12843956043956042</v>
      </c>
      <c r="F92" s="150">
        <f t="shared" si="3"/>
        <v>11.687999999999999</v>
      </c>
      <c r="G92" s="201" t="s">
        <v>947</v>
      </c>
      <c r="H92" s="183"/>
      <c r="I92" s="184"/>
      <c r="J92" s="184"/>
      <c r="K92" s="18"/>
      <c r="Q92"/>
    </row>
    <row r="93" spans="1:17">
      <c r="A93" s="556"/>
      <c r="B93" s="167">
        <v>1</v>
      </c>
      <c r="C93" s="205"/>
      <c r="D93" s="205">
        <f t="shared" si="2"/>
        <v>-1</v>
      </c>
      <c r="E93" s="154">
        <f>SUM($D$2:D93)/SUM($B$2:B93)</f>
        <v>0.11617391304347825</v>
      </c>
      <c r="F93" s="150">
        <f t="shared" si="3"/>
        <v>10.687999999999999</v>
      </c>
      <c r="G93" s="201" t="s">
        <v>948</v>
      </c>
      <c r="H93" s="183"/>
      <c r="I93" s="184"/>
      <c r="J93" s="184"/>
      <c r="K93" s="18"/>
      <c r="Q93"/>
    </row>
    <row r="94" spans="1:17">
      <c r="A94" s="556"/>
      <c r="B94" s="167">
        <v>1</v>
      </c>
      <c r="C94" s="205">
        <v>1.95</v>
      </c>
      <c r="D94" s="205">
        <f t="shared" si="2"/>
        <v>0.95</v>
      </c>
      <c r="E94" s="154">
        <f>SUM($D$2:D94)/SUM($B$2:B94)</f>
        <v>0.12513978494623654</v>
      </c>
      <c r="F94" s="150">
        <f t="shared" si="3"/>
        <v>11.637999999999998</v>
      </c>
      <c r="G94" s="201" t="s">
        <v>949</v>
      </c>
      <c r="H94" s="183"/>
      <c r="I94" s="184"/>
      <c r="J94" s="184"/>
      <c r="K94" s="18"/>
      <c r="Q94"/>
    </row>
    <row r="95" spans="1:17">
      <c r="A95" s="556"/>
      <c r="B95" s="167">
        <v>1</v>
      </c>
      <c r="C95" s="205"/>
      <c r="D95" s="205">
        <f t="shared" si="2"/>
        <v>-1</v>
      </c>
      <c r="E95" s="154">
        <f>SUM($D$2:D95)/SUM($B$2:B95)</f>
        <v>0.11317021276595743</v>
      </c>
      <c r="F95" s="150">
        <f t="shared" si="3"/>
        <v>10.637999999999998</v>
      </c>
      <c r="G95" s="272" t="s">
        <v>950</v>
      </c>
      <c r="H95" s="183"/>
      <c r="I95" s="184"/>
      <c r="J95" s="184"/>
      <c r="K95" s="18"/>
      <c r="Q95"/>
    </row>
    <row r="96" spans="1:17">
      <c r="A96" s="556"/>
      <c r="B96" s="167">
        <v>1</v>
      </c>
      <c r="C96" s="205"/>
      <c r="D96" s="205">
        <f t="shared" si="2"/>
        <v>-1</v>
      </c>
      <c r="E96" s="154">
        <f>SUM($D$2:D96)/SUM($B$2:B96)</f>
        <v>0.10145263157894735</v>
      </c>
      <c r="F96" s="150">
        <f t="shared" si="3"/>
        <v>9.6379999999999981</v>
      </c>
      <c r="G96" s="201" t="s">
        <v>951</v>
      </c>
      <c r="H96" s="183"/>
      <c r="I96" s="184"/>
      <c r="J96" s="184"/>
      <c r="K96" s="18"/>
      <c r="Q96"/>
    </row>
    <row r="97" spans="1:17" ht="15.75" thickBot="1">
      <c r="A97" s="557"/>
      <c r="B97" s="170">
        <v>1</v>
      </c>
      <c r="C97" s="206"/>
      <c r="D97" s="206">
        <f t="shared" si="2"/>
        <v>-1</v>
      </c>
      <c r="E97" s="193">
        <f>SUM($D$2:D97)/SUM($B$2:B97)</f>
        <v>8.9979166666666652E-2</v>
      </c>
      <c r="F97" s="163">
        <f t="shared" si="3"/>
        <v>8.6379999999999981</v>
      </c>
      <c r="G97" s="202" t="s">
        <v>952</v>
      </c>
      <c r="H97" s="183"/>
      <c r="I97" s="184"/>
      <c r="J97" s="184"/>
      <c r="K97" s="18"/>
      <c r="Q97"/>
    </row>
    <row r="98" spans="1:17">
      <c r="A98" s="559">
        <v>45924</v>
      </c>
      <c r="B98" s="165">
        <v>1</v>
      </c>
      <c r="C98" s="204"/>
      <c r="D98" s="204">
        <f t="shared" si="2"/>
        <v>-1</v>
      </c>
      <c r="E98" s="191">
        <f>SUM($D$2:D98)/SUM($B$2:B98)</f>
        <v>7.8742268041237087E-2</v>
      </c>
      <c r="F98" s="161">
        <f t="shared" si="3"/>
        <v>7.6379999999999981</v>
      </c>
      <c r="G98" s="200" t="s">
        <v>948</v>
      </c>
      <c r="H98" s="183"/>
      <c r="I98" s="184"/>
      <c r="J98" s="184"/>
      <c r="K98" s="18"/>
      <c r="Q98"/>
    </row>
    <row r="99" spans="1:17">
      <c r="A99" s="558"/>
      <c r="B99" s="167">
        <v>1</v>
      </c>
      <c r="C99" s="205">
        <v>1.833</v>
      </c>
      <c r="D99" s="205">
        <f t="shared" si="2"/>
        <v>0.83299999999999996</v>
      </c>
      <c r="E99" s="154">
        <f>SUM($D$2:D99)/SUM($B$2:B99)</f>
        <v>8.6438775510204069E-2</v>
      </c>
      <c r="F99" s="150">
        <f t="shared" si="3"/>
        <v>8.4709999999999983</v>
      </c>
      <c r="G99" s="201" t="s">
        <v>953</v>
      </c>
      <c r="H99" s="183"/>
      <c r="I99" s="184"/>
      <c r="J99" s="184"/>
      <c r="K99" s="18"/>
      <c r="Q99"/>
    </row>
    <row r="100" spans="1:17">
      <c r="A100" s="558"/>
      <c r="B100" s="167">
        <v>1</v>
      </c>
      <c r="C100" s="205">
        <v>2</v>
      </c>
      <c r="D100" s="205">
        <f t="shared" si="2"/>
        <v>1</v>
      </c>
      <c r="E100" s="154">
        <f>SUM($D$2:D100)/SUM($B$2:B100)</f>
        <v>9.566666666666665E-2</v>
      </c>
      <c r="F100" s="150">
        <f t="shared" si="3"/>
        <v>9.4709999999999983</v>
      </c>
      <c r="G100" s="201" t="s">
        <v>950</v>
      </c>
      <c r="H100" s="183"/>
      <c r="I100" s="184"/>
      <c r="J100" s="184"/>
      <c r="K100" s="18"/>
      <c r="Q100"/>
    </row>
    <row r="101" spans="1:17">
      <c r="A101" s="558"/>
      <c r="B101" s="167">
        <v>1</v>
      </c>
      <c r="C101" s="205">
        <v>2.06</v>
      </c>
      <c r="D101" s="205">
        <f t="shared" si="2"/>
        <v>1.06</v>
      </c>
      <c r="E101" s="154">
        <f>SUM($D$2:D101)/SUM($B$2:B101)</f>
        <v>0.10530999999999999</v>
      </c>
      <c r="F101" s="150">
        <f t="shared" si="3"/>
        <v>10.530999999999999</v>
      </c>
      <c r="G101" s="201" t="s">
        <v>954</v>
      </c>
      <c r="H101" s="183"/>
      <c r="I101" s="184"/>
      <c r="J101" s="184"/>
      <c r="K101" s="18"/>
      <c r="Q101"/>
    </row>
    <row r="102" spans="1:17" ht="15.75" thickBot="1">
      <c r="A102" s="560"/>
      <c r="B102" s="170">
        <v>1</v>
      </c>
      <c r="C102" s="206"/>
      <c r="D102" s="206">
        <f t="shared" si="2"/>
        <v>-1</v>
      </c>
      <c r="E102" s="193">
        <f>SUM($D$2:D102)/SUM($B$2:B102)</f>
        <v>9.4366336633663353E-2</v>
      </c>
      <c r="F102" s="163">
        <f t="shared" si="3"/>
        <v>9.5309999999999988</v>
      </c>
      <c r="G102" s="202" t="s">
        <v>945</v>
      </c>
      <c r="H102" s="183"/>
      <c r="I102" s="184"/>
      <c r="J102" s="184"/>
      <c r="K102" s="18"/>
      <c r="Q102"/>
    </row>
    <row r="103" spans="1:17">
      <c r="A103" s="559">
        <v>45925</v>
      </c>
      <c r="B103" s="165">
        <v>1</v>
      </c>
      <c r="C103" s="204">
        <v>1.88</v>
      </c>
      <c r="D103" s="204">
        <f t="shared" si="2"/>
        <v>0.87999999999999989</v>
      </c>
      <c r="E103" s="191">
        <f>SUM($D$2:D103)/SUM($B$2:B103)</f>
        <v>0.10206862745098037</v>
      </c>
      <c r="F103" s="161">
        <f t="shared" si="3"/>
        <v>10.410999999999998</v>
      </c>
      <c r="G103" s="200" t="s">
        <v>948</v>
      </c>
      <c r="H103" s="183"/>
      <c r="I103" s="184"/>
      <c r="J103" s="184"/>
      <c r="K103" s="18"/>
      <c r="Q103"/>
    </row>
    <row r="104" spans="1:17">
      <c r="A104" s="558"/>
      <c r="B104" s="167">
        <v>1</v>
      </c>
      <c r="C104" s="205">
        <v>1.8</v>
      </c>
      <c r="D104" s="205">
        <f t="shared" si="2"/>
        <v>0.8</v>
      </c>
      <c r="E104" s="154">
        <f>SUM($D$2:D104)/SUM($B$2:B104)</f>
        <v>0.10884466019417474</v>
      </c>
      <c r="F104" s="150">
        <f t="shared" si="3"/>
        <v>11.210999999999999</v>
      </c>
      <c r="G104" s="201" t="s">
        <v>947</v>
      </c>
      <c r="H104" s="183"/>
      <c r="I104" s="184"/>
      <c r="J104" s="184"/>
      <c r="K104" s="18"/>
      <c r="Q104"/>
    </row>
    <row r="105" spans="1:17">
      <c r="A105" s="558"/>
      <c r="B105" s="167">
        <v>1</v>
      </c>
      <c r="C105" s="205"/>
      <c r="D105" s="205">
        <f t="shared" si="2"/>
        <v>-1</v>
      </c>
      <c r="E105" s="154">
        <f>SUM($D$2:D105)/SUM($B$2:B105)</f>
        <v>9.818269230769229E-2</v>
      </c>
      <c r="F105" s="150">
        <f t="shared" si="3"/>
        <v>10.210999999999999</v>
      </c>
      <c r="G105" s="201" t="s">
        <v>950</v>
      </c>
      <c r="H105" s="183"/>
      <c r="I105" s="184"/>
      <c r="J105" s="184"/>
      <c r="K105" s="18"/>
      <c r="Q105"/>
    </row>
    <row r="106" spans="1:17">
      <c r="A106" s="558"/>
      <c r="B106" s="167">
        <v>1</v>
      </c>
      <c r="C106" s="205">
        <v>1.98</v>
      </c>
      <c r="D106" s="205">
        <f t="shared" si="2"/>
        <v>0.98</v>
      </c>
      <c r="E106" s="154">
        <f>SUM($D$2:D106)/SUM($B$2:B106)</f>
        <v>0.10658095238095237</v>
      </c>
      <c r="F106" s="150">
        <f t="shared" si="3"/>
        <v>11.190999999999999</v>
      </c>
      <c r="G106" s="201" t="s">
        <v>955</v>
      </c>
      <c r="H106" s="183"/>
      <c r="I106" s="184"/>
      <c r="J106" s="184"/>
      <c r="K106" s="18"/>
      <c r="Q106"/>
    </row>
    <row r="107" spans="1:17">
      <c r="A107" s="558"/>
      <c r="B107" s="167">
        <v>1</v>
      </c>
      <c r="C107" s="205"/>
      <c r="D107" s="205">
        <f t="shared" si="2"/>
        <v>-1</v>
      </c>
      <c r="E107" s="154">
        <f>SUM($D$2:D107)/SUM($B$2:B107)</f>
        <v>9.6141509433962255E-2</v>
      </c>
      <c r="F107" s="150">
        <f t="shared" si="3"/>
        <v>10.190999999999999</v>
      </c>
      <c r="G107" s="201" t="s">
        <v>956</v>
      </c>
      <c r="H107" s="183"/>
      <c r="I107" s="184"/>
      <c r="J107" s="184"/>
      <c r="K107" s="18"/>
      <c r="Q107"/>
    </row>
    <row r="108" spans="1:17" ht="15.75" thickBot="1">
      <c r="A108" s="558"/>
      <c r="B108" s="170">
        <v>1</v>
      </c>
      <c r="C108" s="206">
        <v>2.0299999999999998</v>
      </c>
      <c r="D108" s="206">
        <f t="shared" si="2"/>
        <v>1.0299999999999998</v>
      </c>
      <c r="E108" s="193">
        <f>SUM($D$2:D108)/SUM($B$2:B108)</f>
        <v>0.10486915887850466</v>
      </c>
      <c r="F108" s="163">
        <f t="shared" si="3"/>
        <v>11.220999999999998</v>
      </c>
      <c r="G108" s="202" t="s">
        <v>957</v>
      </c>
      <c r="H108" s="183"/>
      <c r="I108" s="184"/>
      <c r="J108" s="184"/>
      <c r="K108" s="18"/>
      <c r="Q108"/>
    </row>
    <row r="109" spans="1:17">
      <c r="A109" s="555">
        <v>45926</v>
      </c>
      <c r="B109" s="216">
        <v>1</v>
      </c>
      <c r="C109" s="216"/>
      <c r="D109" s="216">
        <f>(B109*C109)-B109</f>
        <v>-1</v>
      </c>
      <c r="E109" s="96">
        <f>SUM($D$2:D109)/SUM($B$2:B109)</f>
        <v>9.463888888888887E-2</v>
      </c>
      <c r="F109" s="97">
        <f>F108+D109</f>
        <v>10.220999999999998</v>
      </c>
      <c r="G109" s="217" t="s">
        <v>958</v>
      </c>
      <c r="H109" s="183"/>
      <c r="I109" s="184"/>
      <c r="J109" s="184"/>
      <c r="K109" s="18"/>
      <c r="Q109"/>
    </row>
    <row r="110" spans="1:17">
      <c r="A110" s="556"/>
      <c r="B110" s="41">
        <v>1</v>
      </c>
      <c r="C110" s="41"/>
      <c r="D110" s="41">
        <f>(B110*C110)-B110</f>
        <v>-1</v>
      </c>
      <c r="E110" s="47">
        <f>SUM($D$2:D110)/SUM($B$2:B110)</f>
        <v>8.4596330275229337E-2</v>
      </c>
      <c r="F110" s="37">
        <f>F109+D110</f>
        <v>9.2209999999999983</v>
      </c>
      <c r="G110" s="129" t="s">
        <v>959</v>
      </c>
      <c r="H110" s="183"/>
      <c r="I110" s="184"/>
      <c r="J110" s="184"/>
      <c r="K110" s="18"/>
      <c r="Q110"/>
    </row>
    <row r="111" spans="1:17">
      <c r="A111" s="556"/>
      <c r="B111" s="41">
        <v>1</v>
      </c>
      <c r="C111" s="41">
        <v>1.93</v>
      </c>
      <c r="D111" s="41">
        <f>(B111*C111)-B111</f>
        <v>0.92999999999999994</v>
      </c>
      <c r="E111" s="47">
        <f>SUM($D$2:D111)/SUM($B$2:B111)</f>
        <v>9.2281818181818159E-2</v>
      </c>
      <c r="F111" s="37">
        <f>F110+D111</f>
        <v>10.150999999999998</v>
      </c>
      <c r="G111" s="129" t="s">
        <v>960</v>
      </c>
      <c r="H111" s="183"/>
      <c r="I111" s="184"/>
      <c r="J111" s="184"/>
      <c r="K111" s="18"/>
      <c r="Q111"/>
    </row>
    <row r="112" spans="1:17">
      <c r="A112" s="556"/>
      <c r="B112" s="41">
        <v>1</v>
      </c>
      <c r="C112" s="41">
        <v>2.06</v>
      </c>
      <c r="D112" s="41">
        <f>(B112*C112)-B112</f>
        <v>1.06</v>
      </c>
      <c r="E112" s="47">
        <f>SUM($D$2:D112)/SUM($B$2:B112)</f>
        <v>0.10099999999999999</v>
      </c>
      <c r="F112" s="37">
        <f>F111+D112</f>
        <v>11.210999999999999</v>
      </c>
      <c r="G112" s="129" t="s">
        <v>961</v>
      </c>
      <c r="H112" s="183"/>
      <c r="I112" s="184"/>
      <c r="J112" s="184"/>
      <c r="K112" s="18"/>
      <c r="Q112"/>
    </row>
    <row r="113" spans="1:17">
      <c r="A113" s="556"/>
      <c r="B113" s="41">
        <v>1</v>
      </c>
      <c r="C113" s="41">
        <v>1.87</v>
      </c>
      <c r="D113" s="41">
        <f>(B113*C113)-B113</f>
        <v>0.87000000000000011</v>
      </c>
      <c r="E113" s="47">
        <f>SUM($D$2:D113)/SUM($B$2:B113)</f>
        <v>0.10786607142857142</v>
      </c>
      <c r="F113" s="37">
        <f>F112+D113</f>
        <v>12.081</v>
      </c>
      <c r="G113" s="129" t="s">
        <v>962</v>
      </c>
      <c r="H113" s="183"/>
      <c r="I113" s="184"/>
      <c r="J113" s="184"/>
      <c r="K113" s="18"/>
      <c r="Q113"/>
    </row>
    <row r="114" spans="1:17">
      <c r="A114" s="556"/>
      <c r="B114" s="41">
        <v>1</v>
      </c>
      <c r="C114" s="41">
        <v>2.0099999999999998</v>
      </c>
      <c r="D114" s="41">
        <f>(B114*C114)-B114</f>
        <v>1.0099999999999998</v>
      </c>
      <c r="E114" s="47">
        <f>SUM($D$2:D114)/SUM($B$2:B114)</f>
        <v>0.11584955752212389</v>
      </c>
      <c r="F114" s="37">
        <f>F113+D114</f>
        <v>13.090999999999999</v>
      </c>
      <c r="G114" s="129" t="s">
        <v>963</v>
      </c>
      <c r="H114" s="183"/>
      <c r="I114" s="184"/>
      <c r="J114" s="184"/>
      <c r="K114" s="18"/>
      <c r="Q114"/>
    </row>
    <row r="115" spans="1:17" ht="15.75" thickBot="1">
      <c r="A115" s="557"/>
      <c r="B115" s="218">
        <v>1</v>
      </c>
      <c r="C115" s="206">
        <v>1.97</v>
      </c>
      <c r="D115" s="206">
        <f>(B115*C115)-B115</f>
        <v>0.97</v>
      </c>
      <c r="E115" s="193">
        <f>SUM($D$2:D115)/SUM($B$2:B115)</f>
        <v>0.12334210526315789</v>
      </c>
      <c r="F115" s="150">
        <f>F114+D115</f>
        <v>14.061</v>
      </c>
      <c r="G115" s="202" t="s">
        <v>964</v>
      </c>
      <c r="H115" s="183"/>
      <c r="I115" s="184"/>
      <c r="J115" s="184"/>
      <c r="K115" s="18"/>
      <c r="Q115"/>
    </row>
    <row r="116" spans="1:17">
      <c r="A116" s="555">
        <v>45927</v>
      </c>
      <c r="B116" s="165">
        <v>1</v>
      </c>
      <c r="C116" s="204"/>
      <c r="D116" s="204">
        <f>(B116*C116)-B116</f>
        <v>-1</v>
      </c>
      <c r="E116" s="191">
        <f>SUM($D$2:D116)/SUM($B$2:B116)</f>
        <v>0.11357391304347826</v>
      </c>
      <c r="F116" s="161">
        <f>F115+D116</f>
        <v>13.061</v>
      </c>
      <c r="G116" s="166" t="s">
        <v>965</v>
      </c>
      <c r="H116" s="183"/>
      <c r="I116" s="184"/>
      <c r="J116" s="184"/>
      <c r="K116" s="18"/>
      <c r="Q116"/>
    </row>
    <row r="117" spans="1:17">
      <c r="A117" s="556"/>
      <c r="B117" s="167">
        <v>1</v>
      </c>
      <c r="C117" s="205">
        <v>1.88</v>
      </c>
      <c r="D117" s="205">
        <f>(B117*C117)-B117</f>
        <v>0.87999999999999989</v>
      </c>
      <c r="E117" s="154">
        <f>SUM($D$2:D117)/SUM($B$2:B117)</f>
        <v>0.12018103448275862</v>
      </c>
      <c r="F117" s="150">
        <f>F116+D117</f>
        <v>13.940999999999999</v>
      </c>
      <c r="G117" s="189" t="s">
        <v>966</v>
      </c>
      <c r="H117" s="183"/>
      <c r="I117" s="184"/>
      <c r="J117" s="184"/>
      <c r="K117" s="18"/>
      <c r="Q117"/>
    </row>
    <row r="118" spans="1:17">
      <c r="A118" s="556"/>
      <c r="B118" s="167">
        <v>1</v>
      </c>
      <c r="C118" s="205">
        <v>1.77</v>
      </c>
      <c r="D118" s="205">
        <f>(B118*C118)-B118</f>
        <v>0.77</v>
      </c>
      <c r="E118" s="154">
        <f>SUM($D$2:D118)/SUM($B$2:B118)</f>
        <v>0.12573504273504271</v>
      </c>
      <c r="F118" s="150">
        <f>F117+D118</f>
        <v>14.710999999999999</v>
      </c>
      <c r="G118" s="189" t="s">
        <v>959</v>
      </c>
      <c r="H118" s="183"/>
      <c r="I118" s="184"/>
      <c r="J118" s="184"/>
      <c r="K118" s="18"/>
      <c r="Q118"/>
    </row>
    <row r="119" spans="1:17">
      <c r="A119" s="556"/>
      <c r="B119" s="167">
        <v>1</v>
      </c>
      <c r="C119" s="205">
        <v>2</v>
      </c>
      <c r="D119" s="205">
        <f>(B119*C119)-B119</f>
        <v>1</v>
      </c>
      <c r="E119" s="154">
        <f>SUM($D$2:D119)/SUM($B$2:B119)</f>
        <v>0.13314406779661014</v>
      </c>
      <c r="F119" s="150">
        <f>F118+D119</f>
        <v>15.710999999999999</v>
      </c>
      <c r="G119" s="189" t="s">
        <v>963</v>
      </c>
      <c r="H119" s="183"/>
      <c r="I119" s="184"/>
      <c r="J119" s="184"/>
      <c r="K119" s="18"/>
      <c r="Q119"/>
    </row>
    <row r="120" spans="1:17">
      <c r="A120" s="556"/>
      <c r="B120" s="167">
        <v>1</v>
      </c>
      <c r="C120" s="205"/>
      <c r="D120" s="205">
        <f>(B120*C120)-B120</f>
        <v>-1</v>
      </c>
      <c r="E120" s="154">
        <f>SUM($D$2:D120)/SUM($B$2:B120)</f>
        <v>0.12362184873949579</v>
      </c>
      <c r="F120" s="150">
        <f>F119+D120</f>
        <v>14.710999999999999</v>
      </c>
      <c r="G120" s="189" t="s">
        <v>964</v>
      </c>
      <c r="H120" s="183"/>
      <c r="I120" s="184"/>
      <c r="J120" s="184"/>
      <c r="K120" s="18"/>
      <c r="Q120"/>
    </row>
    <row r="121" spans="1:17">
      <c r="A121" s="556"/>
      <c r="B121" s="167">
        <v>1</v>
      </c>
      <c r="C121" s="205">
        <v>1.83</v>
      </c>
      <c r="D121" s="205">
        <f>(B121*C121)-B121</f>
        <v>0.83000000000000007</v>
      </c>
      <c r="E121" s="154">
        <f>SUM($D$2:D121)/SUM($B$2:B121)</f>
        <v>0.12950833333333331</v>
      </c>
      <c r="F121" s="150">
        <f>F120+D121</f>
        <v>15.540999999999999</v>
      </c>
      <c r="G121" s="189" t="s">
        <v>962</v>
      </c>
      <c r="H121" s="183"/>
      <c r="I121" s="184"/>
      <c r="J121" s="184"/>
      <c r="K121" s="18"/>
      <c r="Q121"/>
    </row>
    <row r="122" spans="1:17">
      <c r="A122" s="556"/>
      <c r="B122" s="167">
        <v>1</v>
      </c>
      <c r="C122" s="205">
        <v>1.96</v>
      </c>
      <c r="D122" s="205">
        <f>(B122*C122)-B122</f>
        <v>0.96</v>
      </c>
      <c r="E122" s="154">
        <f>SUM($D$2:D122)/SUM($B$2:B122)</f>
        <v>0.13637190082644626</v>
      </c>
      <c r="F122" s="150">
        <f>F121+D122</f>
        <v>16.500999999999998</v>
      </c>
      <c r="G122" s="189" t="s">
        <v>967</v>
      </c>
      <c r="H122" s="183"/>
      <c r="I122" s="184"/>
      <c r="J122" s="184"/>
      <c r="K122" s="18"/>
      <c r="Q122"/>
    </row>
    <row r="123" spans="1:17" ht="15.75" thickBot="1">
      <c r="A123" s="557"/>
      <c r="B123" s="170">
        <v>1</v>
      </c>
      <c r="C123" s="206">
        <v>2.06</v>
      </c>
      <c r="D123" s="206">
        <f>(B123*C123)-B123</f>
        <v>1.06</v>
      </c>
      <c r="E123" s="193">
        <f>SUM($D$2:D123)/SUM($B$2:B123)</f>
        <v>0.14394262295081964</v>
      </c>
      <c r="F123" s="163">
        <f>F122+D123</f>
        <v>17.560999999999996</v>
      </c>
      <c r="G123" s="194" t="s">
        <v>968</v>
      </c>
      <c r="H123" s="183"/>
      <c r="I123" s="184"/>
      <c r="J123" s="184"/>
      <c r="K123" s="18"/>
      <c r="Q123"/>
    </row>
    <row r="124" spans="1:17">
      <c r="A124" s="561">
        <v>45928</v>
      </c>
      <c r="B124" s="179">
        <v>1</v>
      </c>
      <c r="C124" s="207">
        <v>1.87</v>
      </c>
      <c r="D124" s="207">
        <f>(B124*C124)-B124</f>
        <v>0.87000000000000011</v>
      </c>
      <c r="E124" s="195">
        <f>SUM($D$2:D124)/SUM($B$2:B124)</f>
        <v>0.14984552845528454</v>
      </c>
      <c r="F124" s="162">
        <f>F123+D124</f>
        <v>18.430999999999997</v>
      </c>
      <c r="G124" s="214" t="s">
        <v>966</v>
      </c>
      <c r="H124" s="183"/>
      <c r="I124" s="184"/>
      <c r="J124" s="184"/>
      <c r="K124" s="18"/>
      <c r="Q124"/>
    </row>
    <row r="125" spans="1:17">
      <c r="A125" s="562"/>
      <c r="B125" s="167">
        <v>1</v>
      </c>
      <c r="C125" s="205"/>
      <c r="D125" s="205">
        <f>(B125*C125)-B125</f>
        <v>-1</v>
      </c>
      <c r="E125" s="154">
        <f>SUM($D$2:D125)/SUM($B$2:B125)</f>
        <v>0.14057258064516126</v>
      </c>
      <c r="F125" s="150">
        <f>F124+D125</f>
        <v>17.430999999999997</v>
      </c>
      <c r="G125" s="189" t="s">
        <v>970</v>
      </c>
      <c r="H125" s="183"/>
      <c r="I125" s="184"/>
      <c r="J125" s="184"/>
      <c r="K125" s="18"/>
      <c r="Q125"/>
    </row>
    <row r="126" spans="1:17">
      <c r="A126" s="562"/>
      <c r="B126" s="167">
        <v>1</v>
      </c>
      <c r="C126" s="205">
        <v>1.81</v>
      </c>
      <c r="D126" s="205">
        <f>(B126*C126)-B126</f>
        <v>0.81</v>
      </c>
      <c r="E126" s="154">
        <f>SUM($D$2:D126)/SUM($B$2:B126)</f>
        <v>0.14592799999999997</v>
      </c>
      <c r="F126" s="150">
        <f>F125+D126</f>
        <v>18.240999999999996</v>
      </c>
      <c r="G126" s="189" t="s">
        <v>971</v>
      </c>
      <c r="H126" s="183"/>
      <c r="I126" s="184"/>
      <c r="J126" s="184"/>
      <c r="K126" s="18"/>
      <c r="Q126"/>
    </row>
    <row r="127" spans="1:17">
      <c r="A127" s="562"/>
      <c r="B127" s="167">
        <v>1</v>
      </c>
      <c r="C127" s="205">
        <v>1.87</v>
      </c>
      <c r="D127" s="205">
        <f>(B127*C127)-B127</f>
        <v>0.87000000000000011</v>
      </c>
      <c r="E127" s="154">
        <f>SUM($D$2:D127)/SUM($B$2:B127)</f>
        <v>0.15167460317460316</v>
      </c>
      <c r="F127" s="150">
        <f>F126+D127</f>
        <v>19.110999999999997</v>
      </c>
      <c r="G127" s="189" t="s">
        <v>958</v>
      </c>
      <c r="H127" s="183"/>
      <c r="I127" s="184"/>
      <c r="J127" s="184"/>
      <c r="K127" s="18"/>
      <c r="Q127"/>
    </row>
    <row r="128" spans="1:17">
      <c r="A128" s="562"/>
      <c r="B128" s="167">
        <v>1</v>
      </c>
      <c r="C128" s="205">
        <v>1.98</v>
      </c>
      <c r="D128" s="205">
        <f>(B128*C128)-B128</f>
        <v>0.98</v>
      </c>
      <c r="E128" s="154">
        <f>SUM($D$2:D128)/SUM($B$2:B128)</f>
        <v>0.15819685039370077</v>
      </c>
      <c r="F128" s="150">
        <f>F127+D128</f>
        <v>20.090999999999998</v>
      </c>
      <c r="G128" s="189" t="s">
        <v>963</v>
      </c>
      <c r="H128" s="183"/>
      <c r="I128" s="184"/>
      <c r="J128" s="184"/>
      <c r="K128" s="18"/>
      <c r="Q128"/>
    </row>
    <row r="129" spans="1:17">
      <c r="A129" s="562"/>
      <c r="B129" s="167">
        <v>1</v>
      </c>
      <c r="C129" s="205">
        <v>2.02</v>
      </c>
      <c r="D129" s="205">
        <f>(B129*C129)-B129</f>
        <v>1.02</v>
      </c>
      <c r="E129" s="154">
        <f>SUM($D$2:D129)/SUM($B$2:B129)</f>
        <v>0.16492968749999998</v>
      </c>
      <c r="F129" s="150">
        <f>F128+D129</f>
        <v>21.110999999999997</v>
      </c>
      <c r="G129" s="189" t="s">
        <v>968</v>
      </c>
      <c r="H129" s="183"/>
      <c r="I129" s="184"/>
      <c r="J129" s="184"/>
      <c r="K129" s="18"/>
      <c r="Q129"/>
    </row>
    <row r="130" spans="1:17" ht="15.75" thickBot="1">
      <c r="A130" s="563"/>
      <c r="B130" s="170">
        <v>1</v>
      </c>
      <c r="C130" s="206">
        <v>2</v>
      </c>
      <c r="D130" s="206">
        <f>(B130*C130)-B130</f>
        <v>1</v>
      </c>
      <c r="E130" s="193">
        <f>SUM($D$2:D130)/SUM($B$2:B130)</f>
        <v>0.17140310077519377</v>
      </c>
      <c r="F130" s="212">
        <f>F129+D130</f>
        <v>22.110999999999997</v>
      </c>
      <c r="G130" s="194" t="s">
        <v>964</v>
      </c>
      <c r="H130" s="183"/>
      <c r="I130" s="184"/>
      <c r="J130" s="184"/>
      <c r="K130" s="18"/>
      <c r="Q130"/>
    </row>
    <row r="131" spans="1:17">
      <c r="A131" s="555">
        <v>45930</v>
      </c>
      <c r="B131" s="103">
        <v>1</v>
      </c>
      <c r="C131" s="41"/>
      <c r="D131" s="41">
        <f>(B131*C131)-B131</f>
        <v>-1</v>
      </c>
      <c r="E131" s="47">
        <f>SUM($D$2:D131)/SUM($B$2:B131)</f>
        <v>0.16239230769230767</v>
      </c>
      <c r="F131" s="37">
        <f>F130+D131</f>
        <v>21.110999999999997</v>
      </c>
      <c r="G131" s="129" t="s">
        <v>972</v>
      </c>
      <c r="H131" s="2"/>
      <c r="K131" s="18"/>
      <c r="Q131"/>
    </row>
    <row r="132" spans="1:17" ht="15.75" thickBot="1">
      <c r="A132" s="557"/>
      <c r="B132" s="105">
        <v>1</v>
      </c>
      <c r="C132" s="218"/>
      <c r="D132" s="218">
        <f>(B132*C132)-B132</f>
        <v>-1</v>
      </c>
      <c r="E132" s="59">
        <f>SUM($D$2:D132)/SUM($B$2:B132)</f>
        <v>0.15351908396946562</v>
      </c>
      <c r="F132" s="38">
        <f>F131+D132</f>
        <v>20.110999999999997</v>
      </c>
      <c r="G132" s="141" t="s">
        <v>973</v>
      </c>
      <c r="H132" s="2"/>
      <c r="K132" s="18"/>
      <c r="Q132"/>
    </row>
    <row r="133" spans="1:17">
      <c r="A133" s="555">
        <v>45931</v>
      </c>
      <c r="B133" s="41">
        <v>1</v>
      </c>
      <c r="C133" s="41">
        <v>2.0699999999999998</v>
      </c>
      <c r="D133" s="41">
        <f>(B133*C133)-B133</f>
        <v>1.0699999999999998</v>
      </c>
      <c r="E133" s="47">
        <f>SUM($D$2:D133)/SUM($B$2:B133)</f>
        <v>0.16046212121212119</v>
      </c>
      <c r="F133" s="37">
        <f>F132+D133</f>
        <v>21.180999999999997</v>
      </c>
      <c r="G133" s="129" t="s">
        <v>972</v>
      </c>
      <c r="H133" s="2"/>
      <c r="K133" s="18"/>
      <c r="Q133"/>
    </row>
    <row r="134" spans="1:17" ht="15.75" thickBot="1">
      <c r="A134" s="557"/>
      <c r="B134" s="218">
        <v>1</v>
      </c>
      <c r="C134" s="218">
        <v>2.2200000000000002</v>
      </c>
      <c r="D134" s="218">
        <f>(B134*C134)-B134</f>
        <v>1.2200000000000002</v>
      </c>
      <c r="E134" s="59">
        <f>SUM($D$2:D134)/SUM($B$2:B134)</f>
        <v>0.1684285714285714</v>
      </c>
      <c r="F134" s="38">
        <f>F133+D134</f>
        <v>22.400999999999996</v>
      </c>
      <c r="G134" s="141" t="s">
        <v>973</v>
      </c>
      <c r="H134" s="2"/>
      <c r="K134" s="18"/>
      <c r="Q134"/>
    </row>
    <row r="135" spans="1:17">
      <c r="A135" s="555">
        <v>45932</v>
      </c>
      <c r="B135" s="41">
        <v>1</v>
      </c>
      <c r="C135" s="41"/>
      <c r="D135" s="41">
        <f>(B135*C135)-B135</f>
        <v>-1</v>
      </c>
      <c r="E135" s="47">
        <f>SUM($D$2:D135)/SUM($B$2:B135)</f>
        <v>0.15970895522388057</v>
      </c>
      <c r="F135" s="37">
        <f>F134+D135</f>
        <v>21.400999999999996</v>
      </c>
      <c r="G135" s="129" t="s">
        <v>972</v>
      </c>
      <c r="H135" s="2"/>
      <c r="K135" s="18"/>
      <c r="Q135"/>
    </row>
    <row r="136" spans="1:17">
      <c r="A136" s="557"/>
      <c r="B136" s="218">
        <v>1</v>
      </c>
      <c r="C136" s="218"/>
      <c r="D136" s="218">
        <f>(B136*C136)-B136</f>
        <v>-1</v>
      </c>
      <c r="E136" s="59">
        <f>SUM($D$2:D136)/SUM($B$2:B136)</f>
        <v>0.15111851851851849</v>
      </c>
      <c r="F136" s="38">
        <f>F135+D136</f>
        <v>20.400999999999996</v>
      </c>
      <c r="G136" s="141" t="s">
        <v>973</v>
      </c>
      <c r="H136" s="2"/>
      <c r="K136" s="18"/>
      <c r="Q136"/>
    </row>
    <row r="137" spans="1:17" s="184" customFormat="1">
      <c r="A137" s="526">
        <v>45934</v>
      </c>
      <c r="B137" s="222">
        <v>1</v>
      </c>
      <c r="C137" s="223">
        <v>1.97</v>
      </c>
      <c r="D137" s="223">
        <f>(B137*C137)-B137</f>
        <v>0.97</v>
      </c>
      <c r="E137" s="224">
        <f>SUM($D$2:D137)/SUM($B$2:B137)</f>
        <v>0.1571397058823529</v>
      </c>
      <c r="F137" s="225">
        <f>F136+D137</f>
        <v>21.370999999999995</v>
      </c>
      <c r="G137" s="274" t="s">
        <v>974</v>
      </c>
      <c r="H137" s="183"/>
      <c r="K137" s="234"/>
    </row>
    <row r="138" spans="1:17" s="184" customFormat="1">
      <c r="A138" s="526">
        <v>45936</v>
      </c>
      <c r="B138" s="222">
        <v>1</v>
      </c>
      <c r="C138" s="223"/>
      <c r="D138" s="223">
        <f>(B138*C138)-B138</f>
        <v>-1</v>
      </c>
      <c r="E138" s="224">
        <f>SUM($D$2:D138)/SUM($B$2:B138)</f>
        <v>0.14869343065693427</v>
      </c>
      <c r="F138" s="225">
        <f t="shared" ref="F138:F144" si="4">F137+D138</f>
        <v>20.370999999999995</v>
      </c>
      <c r="G138" s="226" t="s">
        <v>975</v>
      </c>
      <c r="H138" s="183"/>
      <c r="K138" s="234"/>
    </row>
    <row r="139" spans="1:17" s="184" customFormat="1">
      <c r="A139" s="526">
        <v>45937</v>
      </c>
      <c r="B139" s="222">
        <v>1</v>
      </c>
      <c r="C139" s="223"/>
      <c r="D139" s="223">
        <f>(B139*C139)-B139</f>
        <v>-1</v>
      </c>
      <c r="E139" s="224">
        <f>SUM($D$2:D139)/SUM($B$2:B139)</f>
        <v>0.14036956521739127</v>
      </c>
      <c r="F139" s="225">
        <f t="shared" si="4"/>
        <v>19.370999999999995</v>
      </c>
      <c r="G139" s="226" t="s">
        <v>976</v>
      </c>
      <c r="H139" s="183"/>
      <c r="K139" s="234"/>
    </row>
    <row r="140" spans="1:17" s="184" customFormat="1">
      <c r="A140" s="555">
        <v>45938</v>
      </c>
      <c r="B140" s="165">
        <v>1</v>
      </c>
      <c r="C140" s="204"/>
      <c r="D140" s="204">
        <f>(B140*C140)-B140</f>
        <v>-1</v>
      </c>
      <c r="E140" s="191">
        <f>SUM($D$2:D140)/SUM($B$2:B140)</f>
        <v>0.13216546762589926</v>
      </c>
      <c r="F140" s="161">
        <f t="shared" si="4"/>
        <v>18.370999999999995</v>
      </c>
      <c r="G140" s="169" t="s">
        <v>922</v>
      </c>
      <c r="H140" s="183"/>
      <c r="K140" s="234"/>
    </row>
    <row r="141" spans="1:17" s="184" customFormat="1">
      <c r="A141" s="556"/>
      <c r="B141" s="167">
        <v>1</v>
      </c>
      <c r="C141" s="205">
        <v>1.92</v>
      </c>
      <c r="D141" s="205">
        <f>(B141*C141)-B141</f>
        <v>0.91999999999999993</v>
      </c>
      <c r="E141" s="154">
        <f>SUM($D$2:D141)/SUM($B$2:B141)</f>
        <v>0.13779285714285713</v>
      </c>
      <c r="F141" s="150">
        <f t="shared" si="4"/>
        <v>19.290999999999997</v>
      </c>
      <c r="G141" s="155" t="s">
        <v>885</v>
      </c>
      <c r="H141" s="183"/>
      <c r="K141" s="234"/>
    </row>
    <row r="142" spans="1:17" s="184" customFormat="1">
      <c r="A142" s="557"/>
      <c r="B142" s="170">
        <v>1</v>
      </c>
      <c r="C142" s="206"/>
      <c r="D142" s="206">
        <f>(B142*C142)-B142</f>
        <v>-1</v>
      </c>
      <c r="E142" s="193">
        <f>SUM($D$2:D142)/SUM($B$2:B142)</f>
        <v>0.12972340425531911</v>
      </c>
      <c r="F142" s="163">
        <f t="shared" si="4"/>
        <v>18.290999999999997</v>
      </c>
      <c r="G142" s="194" t="s">
        <v>976</v>
      </c>
      <c r="H142" s="183"/>
      <c r="K142" s="234"/>
    </row>
    <row r="143" spans="1:17" s="184" customFormat="1">
      <c r="A143" s="526">
        <v>45942</v>
      </c>
      <c r="B143" s="222">
        <v>1</v>
      </c>
      <c r="C143" s="225">
        <v>1.97</v>
      </c>
      <c r="D143" s="225">
        <f t="shared" ref="D143" si="5">(B143*C143)-B143</f>
        <v>0.97</v>
      </c>
      <c r="E143" s="224">
        <f>SUM($D$2:D143)/SUM($B$2:B143)</f>
        <v>0.13564084507042251</v>
      </c>
      <c r="F143" s="225">
        <f t="shared" si="4"/>
        <v>19.260999999999996</v>
      </c>
      <c r="G143" s="226" t="s">
        <v>977</v>
      </c>
      <c r="H143" s="183"/>
      <c r="K143" s="234"/>
    </row>
    <row r="144" spans="1:17" s="184" customFormat="1">
      <c r="A144" s="526">
        <v>45946</v>
      </c>
      <c r="B144" s="251">
        <v>1</v>
      </c>
      <c r="C144" s="251"/>
      <c r="D144" s="251">
        <f>(B144*C144)-B144</f>
        <v>-1</v>
      </c>
      <c r="E144" s="252">
        <f>SUM($D$2:D144)/SUM($B$2:B144)</f>
        <v>0.12769930069930066</v>
      </c>
      <c r="F144" s="253">
        <f t="shared" si="4"/>
        <v>18.260999999999996</v>
      </c>
      <c r="G144" s="279" t="s">
        <v>978</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979</v>
      </c>
      <c r="C148" s="573" t="s">
        <v>980</v>
      </c>
      <c r="D148" s="574"/>
      <c r="E148" s="575"/>
      <c r="H148" s="576">
        <f>100</f>
        <v>100</v>
      </c>
      <c r="I148" s="577"/>
      <c r="J148" s="16" t="s">
        <v>981</v>
      </c>
      <c r="K148" s="576">
        <v>80.89</v>
      </c>
      <c r="L148" s="577"/>
      <c r="M148" s="16" t="s">
        <v>981</v>
      </c>
      <c r="N148" s="19"/>
      <c r="O148" s="138"/>
      <c r="P148" s="58"/>
    </row>
    <row r="149" spans="1:18" ht="15" customHeight="1">
      <c r="A149">
        <f>COUNT(B2:B145)</f>
        <v>143</v>
      </c>
      <c r="B149" s="1"/>
      <c r="C149" s="156">
        <f>I149</f>
        <v>5</v>
      </c>
      <c r="D149" s="553">
        <v>1.32</v>
      </c>
      <c r="E149" s="157">
        <f>C149*D149-C149</f>
        <v>1.6000000000000005</v>
      </c>
      <c r="F149" s="15"/>
      <c r="G149" s="147" t="s">
        <v>982</v>
      </c>
      <c r="H149" s="75">
        <f>H152/100</f>
        <v>1</v>
      </c>
      <c r="I149" s="149">
        <f>H149*5</f>
        <v>5</v>
      </c>
      <c r="J149" s="3" t="s">
        <v>983</v>
      </c>
      <c r="K149" s="75">
        <f>K152/100</f>
        <v>0.99151</v>
      </c>
      <c r="L149" s="149">
        <f>K149*5</f>
        <v>4.9575500000000003</v>
      </c>
      <c r="M149" s="3" t="s">
        <v>983</v>
      </c>
    </row>
    <row r="150" spans="1:18" ht="15" customHeight="1">
      <c r="A150" t="s">
        <v>984</v>
      </c>
      <c r="B150" s="99"/>
      <c r="C150" s="135">
        <f>E150/(D149-1)</f>
        <v>9.3749999999999982</v>
      </c>
      <c r="D150" s="554"/>
      <c r="E150" s="136">
        <v>3</v>
      </c>
      <c r="F150" s="15"/>
      <c r="G150" s="147" t="s">
        <v>985</v>
      </c>
      <c r="H150" s="127">
        <f>SUM(H2:H145)</f>
        <v>0</v>
      </c>
      <c r="I150" s="148"/>
      <c r="J150" s="3" t="s">
        <v>986</v>
      </c>
      <c r="K150" s="127">
        <f>D146</f>
        <v>18.260999999999996</v>
      </c>
      <c r="L150" s="148"/>
      <c r="M150" s="3" t="s">
        <v>986</v>
      </c>
    </row>
    <row r="151" spans="1:18">
      <c r="A151" s="18">
        <f>COUNT(C2:C145)/A149</f>
        <v>0.58741258741258739</v>
      </c>
      <c r="B151" s="18"/>
      <c r="D151" s="15">
        <f>1/A151</f>
        <v>1.7023809523809523</v>
      </c>
      <c r="E151" s="15"/>
      <c r="F151" s="15"/>
      <c r="G151" s="147" t="s">
        <v>987</v>
      </c>
      <c r="H151" s="565">
        <f>(H150-I150)</f>
        <v>0</v>
      </c>
      <c r="I151" s="566"/>
      <c r="J151" s="128"/>
      <c r="K151" s="565">
        <f>(K150-L150)</f>
        <v>18.260999999999996</v>
      </c>
      <c r="L151" s="566"/>
      <c r="M151" s="128"/>
    </row>
    <row r="152" spans="1:18">
      <c r="A152" t="s">
        <v>4</v>
      </c>
      <c r="G152" s="147" t="s">
        <v>988</v>
      </c>
      <c r="H152" s="567">
        <f>H148+H151</f>
        <v>100</v>
      </c>
      <c r="I152" s="568"/>
      <c r="J152" s="128">
        <f>130-H152</f>
        <v>30</v>
      </c>
      <c r="K152" s="567">
        <f>K148+K151</f>
        <v>99.150999999999996</v>
      </c>
      <c r="L152" s="568"/>
      <c r="M152" s="128"/>
      <c r="O152" s="235">
        <v>74.147999999999996</v>
      </c>
      <c r="P152" s="18"/>
    </row>
    <row r="153" spans="1:18">
      <c r="A153" s="18">
        <f>D146/B146</f>
        <v>0.12769930069930066</v>
      </c>
      <c r="F153" s="158"/>
      <c r="G153" s="147" t="s">
        <v>989</v>
      </c>
      <c r="H153" s="45">
        <f>(H152-H148)/H148</f>
        <v>0</v>
      </c>
      <c r="I153" s="46">
        <f>B146/H148</f>
        <v>1.43</v>
      </c>
      <c r="J153" t="s">
        <v>990</v>
      </c>
      <c r="K153" s="45">
        <f>(K152-K148)/K148</f>
        <v>0.22575101990357269</v>
      </c>
      <c r="L153" s="46">
        <f>B146/K148</f>
        <v>1.767832859438744</v>
      </c>
      <c r="M153" t="s">
        <v>990</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4" t="s">
        <v>408</v>
      </c>
      <c r="B171" s="132" t="s">
        <v>1</v>
      </c>
      <c r="C171" s="525"/>
      <c r="E171" s="134" t="s">
        <v>4</v>
      </c>
    </row>
    <row r="173" spans="1:37">
      <c r="D173" s="7" t="s">
        <v>3</v>
      </c>
    </row>
    <row r="174" spans="1:37">
      <c r="B174" s="21" t="s">
        <v>993</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410</v>
      </c>
      <c r="B197" s="140">
        <f>SUM(B2:B16)</f>
        <v>15</v>
      </c>
      <c r="C197" s="140"/>
      <c r="D197" s="140">
        <f>SUM(D2:D16)</f>
        <v>-3.4500000000000006</v>
      </c>
      <c r="E197" s="144">
        <f t="shared" ref="E197:E198" si="7">D197/B197</f>
        <v>-0.23000000000000004</v>
      </c>
      <c r="F197" s="18"/>
      <c r="G197" s="221" t="s">
        <v>409</v>
      </c>
    </row>
    <row r="198" spans="1:7">
      <c r="A198" s="139" t="s">
        <v>411</v>
      </c>
      <c r="B198" s="140">
        <f>SUM(B17:B46)</f>
        <v>30</v>
      </c>
      <c r="C198" s="140"/>
      <c r="D198" s="140">
        <f>SUM(D17:D46)</f>
        <v>2.145999999999999</v>
      </c>
      <c r="E198" s="144">
        <f t="shared" si="7"/>
        <v>7.1533333333333296E-2</v>
      </c>
      <c r="G198" s="220"/>
    </row>
    <row r="199" spans="1:7">
      <c r="A199" s="139" t="s">
        <v>412</v>
      </c>
      <c r="B199" s="140">
        <f>SUM(B47:B90)</f>
        <v>44</v>
      </c>
      <c r="C199" s="140"/>
      <c r="D199" s="140">
        <f>SUM(D47:D90)</f>
        <v>11.262000000000004</v>
      </c>
      <c r="E199" s="144">
        <f t="shared" ref="E199" si="8">D199/B199</f>
        <v>0.25595454545454555</v>
      </c>
      <c r="G199" s="220"/>
    </row>
    <row r="200" spans="1:7">
      <c r="A200" s="139" t="s">
        <v>414</v>
      </c>
      <c r="B200" s="140">
        <f>SUM(B91:B145)</f>
        <v>54</v>
      </c>
      <c r="C200" s="140"/>
      <c r="D200" s="140">
        <f>SUM(D91:D145)</f>
        <v>8.3030000000000008</v>
      </c>
      <c r="E200" s="144">
        <f t="shared" ref="E200" si="9">D200/B200</f>
        <v>0.15375925925925926</v>
      </c>
      <c r="G200" s="220"/>
    </row>
    <row r="201" spans="1:7">
      <c r="A201" s="139" t="s">
        <v>415</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425</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994</v>
      </c>
      <c r="D1" t="s">
        <v>995</v>
      </c>
      <c r="E1" s="175" t="s">
        <v>996</v>
      </c>
      <c r="G1" s="233" t="s">
        <v>997</v>
      </c>
      <c r="H1" s="175" t="s">
        <v>996</v>
      </c>
      <c r="M1" t="s">
        <v>998</v>
      </c>
      <c r="N1" s="587" t="s">
        <v>999</v>
      </c>
      <c r="O1" s="587"/>
      <c r="P1" s="587"/>
      <c r="Q1" s="587"/>
      <c r="R1" s="587"/>
      <c r="S1" s="587"/>
      <c r="T1" s="88" t="s">
        <v>1000</v>
      </c>
      <c r="U1" s="240" t="s">
        <v>5</v>
      </c>
      <c r="V1" s="217" t="s">
        <v>1001</v>
      </c>
    </row>
    <row r="2" spans="1:22">
      <c r="A2" s="522" t="s">
        <v>1002</v>
      </c>
      <c r="B2" s="171">
        <v>0.6</v>
      </c>
      <c r="C2" s="171"/>
      <c r="D2" s="180">
        <f>26/61</f>
        <v>0.42622950819672129</v>
      </c>
      <c r="E2" s="176">
        <f>B2*D2</f>
        <v>0.25573770491803277</v>
      </c>
      <c r="F2" s="18"/>
      <c r="G2" s="180">
        <f>15/62</f>
        <v>0.24193548387096775</v>
      </c>
      <c r="H2" s="176">
        <f>B2*G2</f>
        <v>0.14516129032258066</v>
      </c>
      <c r="M2" t="s">
        <v>1003</v>
      </c>
      <c r="N2" s="58">
        <v>2</v>
      </c>
      <c r="T2" s="241">
        <v>100</v>
      </c>
      <c r="U2" s="239">
        <v>2.5099999999999998</v>
      </c>
      <c r="V2" s="242"/>
    </row>
    <row r="3" spans="1:22">
      <c r="A3" s="522" t="s">
        <v>1004</v>
      </c>
      <c r="B3" s="171">
        <v>0.4</v>
      </c>
      <c r="C3" s="171"/>
      <c r="D3" s="180">
        <f>9/15</f>
        <v>0.6</v>
      </c>
      <c r="E3" s="177">
        <f t="shared" ref="E3" si="0">B3*D3</f>
        <v>0.24</v>
      </c>
      <c r="F3" s="18"/>
      <c r="G3" s="180">
        <f>6/15</f>
        <v>0.4</v>
      </c>
      <c r="H3" s="177">
        <f>B3*G3</f>
        <v>0.16000000000000003</v>
      </c>
      <c r="M3" t="s">
        <v>1005</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1006</v>
      </c>
      <c r="M4" t="s">
        <v>1007</v>
      </c>
      <c r="N4" s="19">
        <f>1-N3</f>
        <v>0.4</v>
      </c>
      <c r="T4" s="236"/>
      <c r="U4" s="236"/>
      <c r="V4" s="236"/>
    </row>
    <row r="5" spans="1:22">
      <c r="C5" s="164"/>
      <c r="F5" s="18"/>
      <c r="J5" s="172">
        <f>1 - J4</f>
        <v>0.62954263513887831</v>
      </c>
      <c r="K5" s="174" t="s">
        <v>1008</v>
      </c>
      <c r="M5" t="s">
        <v>992</v>
      </c>
      <c r="N5" s="19">
        <f>(N2*N3-N4)/N2</f>
        <v>0.39999999999999997</v>
      </c>
      <c r="T5" s="236"/>
      <c r="U5" s="236"/>
      <c r="V5" s="236"/>
    </row>
    <row r="6" spans="1:22">
      <c r="A6" s="522" t="s">
        <v>1009</v>
      </c>
      <c r="B6" s="171">
        <v>0.7</v>
      </c>
      <c r="D6" s="176">
        <f>E4</f>
        <v>0.49573770491803276</v>
      </c>
      <c r="E6" s="178">
        <f>B6*D6</f>
        <v>0.34701639344262292</v>
      </c>
      <c r="G6" s="176">
        <f>H4</f>
        <v>0.30516129032258066</v>
      </c>
      <c r="H6" s="178">
        <f>B6*G6</f>
        <v>0.21361290322580645</v>
      </c>
      <c r="M6" t="s">
        <v>1010</v>
      </c>
      <c r="N6" s="19">
        <f>N5/10</f>
        <v>3.9999999999999994E-2</v>
      </c>
      <c r="T6" s="236"/>
      <c r="U6" s="236"/>
      <c r="V6" s="236"/>
    </row>
    <row r="7" spans="1:22">
      <c r="A7" s="522" t="s">
        <v>1011</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996</v>
      </c>
      <c r="G10" t="str">
        <f>G1</f>
        <v>Cleveland</v>
      </c>
      <c r="H10" s="175" t="s">
        <v>996</v>
      </c>
      <c r="J10" s="18">
        <f xml:space="preserve"> (1 - E11) * (1 - H11)</f>
        <v>0.760876</v>
      </c>
      <c r="K10" s="173" t="s">
        <v>1006</v>
      </c>
      <c r="T10" s="236"/>
      <c r="U10" s="236"/>
      <c r="V10" s="236"/>
    </row>
    <row r="11" spans="1:22">
      <c r="D11" s="18"/>
      <c r="E11" s="44">
        <v>0.14699999999999999</v>
      </c>
      <c r="G11" s="18"/>
      <c r="H11" s="44">
        <v>0.108</v>
      </c>
      <c r="J11" s="172">
        <f>1 - J10</f>
        <v>0.239124</v>
      </c>
      <c r="K11" s="174" t="s">
        <v>1008</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1012</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1013</v>
      </c>
      <c r="B1" s="80" t="s">
        <v>1014</v>
      </c>
      <c r="C1" s="80" t="s">
        <v>1015</v>
      </c>
      <c r="D1" s="81" t="s">
        <v>1016</v>
      </c>
      <c r="E1" s="81" t="s">
        <v>1017</v>
      </c>
      <c r="F1" s="82" t="s">
        <v>1018</v>
      </c>
      <c r="G1" s="82" t="s">
        <v>1019</v>
      </c>
      <c r="H1" s="82" t="s">
        <v>1020</v>
      </c>
      <c r="I1" s="83" t="s">
        <v>1021</v>
      </c>
      <c r="J1" s="81" t="s">
        <v>1022</v>
      </c>
      <c r="K1" s="80" t="s">
        <v>1023</v>
      </c>
      <c r="L1" s="84" t="s">
        <v>1024</v>
      </c>
      <c r="M1" s="85" t="s">
        <v>1025</v>
      </c>
      <c r="N1" s="85" t="s">
        <v>1026</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6">
        <f>P6</f>
        <v>700</v>
      </c>
      <c r="T4" s="577"/>
      <c r="U4" s="16" t="s">
        <v>1027</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1028</v>
      </c>
      <c r="P5" s="588"/>
      <c r="R5" s="17" t="s">
        <v>982</v>
      </c>
      <c r="S5" s="75">
        <f>L2</f>
        <v>7</v>
      </c>
      <c r="T5" s="76">
        <f>S5*10</f>
        <v>70</v>
      </c>
      <c r="U5" s="3" t="s">
        <v>983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1029</v>
      </c>
      <c r="P6" s="29">
        <v>700</v>
      </c>
      <c r="R6" s="17" t="s">
        <v>985</v>
      </c>
      <c r="S6" s="46">
        <v>0</v>
      </c>
      <c r="T6" s="60"/>
      <c r="U6" s="3" t="s">
        <v>986</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1030</v>
      </c>
      <c r="P7" s="30">
        <v>45951</v>
      </c>
      <c r="R7" s="17" t="s">
        <v>987</v>
      </c>
      <c r="S7" s="576">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1031</v>
      </c>
      <c r="P8" s="31">
        <v>1</v>
      </c>
      <c r="R8" s="17" t="s">
        <v>988</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1032</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1033</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1034</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1035</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1036</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1037</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1038</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1039</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1040</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1041</v>
      </c>
      <c r="B1" s="56" t="s">
        <v>1042</v>
      </c>
      <c r="C1" s="56" t="s">
        <v>1043</v>
      </c>
      <c r="D1" s="56" t="s">
        <v>1044</v>
      </c>
      <c r="E1" s="56" t="s">
        <v>1043</v>
      </c>
    </row>
    <row r="2" spans="1:7">
      <c r="A2" s="49" t="s">
        <v>425</v>
      </c>
      <c r="B2" s="61">
        <f>SUM(B4:B8)</f>
        <v>297.69890755043576</v>
      </c>
      <c r="C2" s="63">
        <f>SUM(C4:C8)</f>
        <v>0.99999999999999989</v>
      </c>
      <c r="D2" s="62" t="e">
        <f>#REF!+0</f>
        <v>#REF!</v>
      </c>
      <c r="E2" s="63" t="e">
        <f>(D2-B2)/B2</f>
        <v>#REF!</v>
      </c>
      <c r="F2" s="50"/>
    </row>
    <row r="3" spans="1:7">
      <c r="B3" s="50"/>
      <c r="D3" s="50"/>
    </row>
    <row r="4" spans="1:7">
      <c r="A4" t="s">
        <v>1045</v>
      </c>
      <c r="B4" s="50">
        <v>5.4938695562496047</v>
      </c>
      <c r="C4" s="18">
        <f t="shared" ref="C4:C7" si="0">B4/$B$2</f>
        <v>1.8454449838109805E-2</v>
      </c>
      <c r="D4" s="50" t="e">
        <f t="shared" ref="D4:D7" si="1">$D$2*C4</f>
        <v>#REF!</v>
      </c>
      <c r="E4" s="98"/>
      <c r="F4" s="50"/>
    </row>
    <row r="5" spans="1:7">
      <c r="A5" t="s">
        <v>1046</v>
      </c>
      <c r="B5" s="50">
        <v>5.7229409898235017</v>
      </c>
      <c r="C5" s="18">
        <f t="shared" si="0"/>
        <v>1.9223923382567093E-2</v>
      </c>
      <c r="D5" s="50" t="e">
        <f t="shared" si="1"/>
        <v>#REF!</v>
      </c>
      <c r="E5" s="98"/>
      <c r="F5" s="50"/>
    </row>
    <row r="6" spans="1:7">
      <c r="A6" t="s">
        <v>1047</v>
      </c>
      <c r="B6" s="50">
        <v>29.972097004362656</v>
      </c>
      <c r="C6" s="18">
        <f t="shared" si="0"/>
        <v>0.10067923074015588</v>
      </c>
      <c r="D6" s="50" t="e">
        <f t="shared" si="1"/>
        <v>#REF!</v>
      </c>
      <c r="E6" s="98"/>
      <c r="F6" s="50"/>
    </row>
    <row r="7" spans="1:7">
      <c r="A7" t="s">
        <v>1048</v>
      </c>
      <c r="B7" s="50">
        <v>256.51</v>
      </c>
      <c r="C7" s="18">
        <f t="shared" si="0"/>
        <v>0.86164239603916715</v>
      </c>
      <c r="D7" s="50" t="e">
        <f t="shared" si="1"/>
        <v>#REF!</v>
      </c>
      <c r="E7" s="18"/>
      <c r="F7" s="50"/>
    </row>
    <row r="8" spans="1:7">
      <c r="B8" s="50"/>
      <c r="D8" s="50"/>
    </row>
    <row r="9" spans="1:7">
      <c r="A9" t="s">
        <v>1049</v>
      </c>
      <c r="B9" s="51">
        <f>B2-SUM(B4:B8)</f>
        <v>0</v>
      </c>
      <c r="C9" s="52"/>
      <c r="D9" s="51" t="e">
        <f>D2-SUM(D4:D8)</f>
        <v>#REF!</v>
      </c>
    </row>
    <row r="10" spans="1:7">
      <c r="B10" s="50"/>
      <c r="D10" s="50"/>
      <c r="E10" s="18">
        <v>0.8</v>
      </c>
      <c r="F10" s="53" t="s">
        <v>1050</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993</v>
      </c>
      <c r="B1" s="4" t="s">
        <v>2</v>
      </c>
      <c r="C1" s="5" t="s">
        <v>3</v>
      </c>
      <c r="D1" s="6" t="s">
        <v>4</v>
      </c>
      <c r="E1" s="6" t="s">
        <v>5</v>
      </c>
      <c r="F1" s="100"/>
      <c r="G1" s="112" t="s">
        <v>993</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1051</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2026-03-16T18:31:00Z</dcterms:modified>
  <cp:category/>
  <cp:contentStatus/>
</cp:coreProperties>
</file>