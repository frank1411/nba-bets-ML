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177AB377-5312-4D13-9EA0-2ADD7BE0E7AA}"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182"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86" i="17" l="1"/>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I1269" i="17" s="1"/>
  <c r="L1269" i="17" s="1"/>
  <c r="E1258" i="17"/>
  <c r="E1257" i="17"/>
  <c r="E1256" i="17"/>
  <c r="E1255" i="17"/>
  <c r="E1254" i="17"/>
  <c r="E1253" i="17"/>
  <c r="E1252" i="17"/>
  <c r="E1251" i="17"/>
  <c r="E1250" i="17"/>
  <c r="E1249" i="17"/>
  <c r="E1248" i="17"/>
  <c r="E1247" i="17"/>
  <c r="I1258" i="17" s="1"/>
  <c r="L1258" i="17" s="1"/>
  <c r="E1246" i="17"/>
  <c r="E1245" i="17"/>
  <c r="E1244" i="17"/>
  <c r="E1243" i="17"/>
  <c r="E1242" i="17"/>
  <c r="E1241" i="17"/>
  <c r="E1240" i="17"/>
  <c r="E1239" i="17"/>
  <c r="E1238" i="17"/>
  <c r="E1237" i="17"/>
  <c r="E1236" i="17"/>
  <c r="E1235" i="17"/>
  <c r="E1234" i="17"/>
  <c r="E1233" i="17"/>
  <c r="E1232" i="17"/>
  <c r="E1231" i="17"/>
  <c r="E1230" i="17"/>
  <c r="I1246" i="17" s="1"/>
  <c r="L1246" i="17" s="1"/>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I1204" i="17" s="1"/>
  <c r="L1204" i="17" s="1"/>
  <c r="E1196" i="17"/>
  <c r="E1195" i="17"/>
  <c r="E1194" i="17"/>
  <c r="E1193" i="17"/>
  <c r="E1192" i="17"/>
  <c r="E1191" i="17"/>
  <c r="E1190" i="17"/>
  <c r="E1189" i="17"/>
  <c r="E1188" i="17"/>
  <c r="E1187" i="17"/>
  <c r="E1186" i="17"/>
  <c r="E1185" i="17"/>
  <c r="E1184" i="17"/>
  <c r="E1183" i="17"/>
  <c r="E1182" i="17"/>
  <c r="E1181" i="17"/>
  <c r="E1180" i="17"/>
  <c r="E1179" i="17"/>
  <c r="E1178" i="17"/>
  <c r="E1177" i="17"/>
  <c r="I1196" i="17" s="1"/>
  <c r="L1196" i="17" s="1"/>
  <c r="E1176" i="17"/>
  <c r="E1175" i="17"/>
  <c r="E1174" i="17"/>
  <c r="E1173" i="17"/>
  <c r="E1172" i="17"/>
  <c r="E1171" i="17"/>
  <c r="C1311" i="17"/>
  <c r="E1170" i="17"/>
  <c r="E1169" i="17"/>
  <c r="E1168" i="17"/>
  <c r="E1167" i="17"/>
  <c r="E1166" i="17"/>
  <c r="E1165" i="17"/>
  <c r="I1170" i="17" s="1"/>
  <c r="L1170" i="17" s="1"/>
  <c r="E1164" i="17"/>
  <c r="E1163" i="17"/>
  <c r="E1162" i="17"/>
  <c r="E1161" i="17"/>
  <c r="E1160" i="17"/>
  <c r="E1159" i="17"/>
  <c r="E1158" i="17"/>
  <c r="E1157" i="17"/>
  <c r="E1156" i="17"/>
  <c r="E1155" i="17"/>
  <c r="E1154" i="17"/>
  <c r="E1153" i="17"/>
  <c r="E1152" i="17"/>
  <c r="E1151" i="17"/>
  <c r="I1164" i="17" s="1"/>
  <c r="L1164" i="17" s="1"/>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I1136" i="17" s="1"/>
  <c r="L1136" i="17" s="1"/>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335" i="17"/>
  <c r="I848" i="17"/>
  <c r="L848" i="17" s="1"/>
  <c r="I798" i="17"/>
  <c r="L798" i="17" s="1"/>
  <c r="I774" i="17"/>
  <c r="L774" i="17" s="1"/>
  <c r="I1329" i="17"/>
  <c r="C1329" i="17"/>
  <c r="C1324" i="17"/>
  <c r="C1323" i="17"/>
  <c r="J1322" i="17"/>
  <c r="I1322" i="17"/>
  <c r="C1322" i="17"/>
  <c r="K1321" i="17"/>
  <c r="C1321" i="17"/>
  <c r="K1320" i="17"/>
  <c r="C1320" i="17"/>
  <c r="K1319" i="17"/>
  <c r="C1319" i="17"/>
  <c r="K1318" i="17"/>
  <c r="K1322" i="17" s="1"/>
  <c r="C1316" i="17"/>
  <c r="C1315" i="17"/>
  <c r="C1314" i="17"/>
  <c r="C1313" i="17"/>
  <c r="C1312" i="17"/>
  <c r="I756" i="17"/>
  <c r="L756" i="17" s="1"/>
  <c r="I753" i="17"/>
  <c r="L753" i="17" s="1"/>
  <c r="I738" i="17"/>
  <c r="L738" i="17" s="1"/>
  <c r="I729" i="17"/>
  <c r="L729" i="17" s="1"/>
  <c r="I717" i="17"/>
  <c r="L717" i="17" s="1"/>
  <c r="E1329" i="17"/>
  <c r="F1329"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K1286" i="17" l="1"/>
  <c r="J1286" i="17"/>
  <c r="I1286" i="17"/>
  <c r="L1286" i="17" s="1"/>
  <c r="F1286" i="17"/>
  <c r="F1285" i="17"/>
  <c r="F1284" i="17"/>
  <c r="F1283" i="17"/>
  <c r="F1282" i="17"/>
  <c r="F1281" i="17"/>
  <c r="F1280" i="17"/>
  <c r="F1279" i="17"/>
  <c r="F1278" i="17"/>
  <c r="F1277" i="17"/>
  <c r="F1276" i="17"/>
  <c r="F1275" i="17"/>
  <c r="F1274" i="17"/>
  <c r="F1273" i="17"/>
  <c r="F1272" i="17"/>
  <c r="F1271" i="17"/>
  <c r="G1270" i="17"/>
  <c r="G1271" i="17" s="1"/>
  <c r="G1272" i="17" s="1"/>
  <c r="G1273" i="17" s="1"/>
  <c r="G1274" i="17" s="1"/>
  <c r="G1275" i="17" s="1"/>
  <c r="G1276" i="17" s="1"/>
  <c r="G1277" i="17" s="1"/>
  <c r="G1278" i="17" s="1"/>
  <c r="G1279" i="17" s="1"/>
  <c r="G1280" i="17" s="1"/>
  <c r="G1281" i="17" s="1"/>
  <c r="G1282" i="17" s="1"/>
  <c r="G1283" i="17" s="1"/>
  <c r="G1284" i="17" s="1"/>
  <c r="G1285" i="17" s="1"/>
  <c r="G1286" i="17" s="1"/>
  <c r="F1270" i="17"/>
  <c r="J1269" i="17"/>
  <c r="F1269" i="17"/>
  <c r="F1268" i="17"/>
  <c r="F1267" i="17"/>
  <c r="F1266" i="17"/>
  <c r="F1265" i="17"/>
  <c r="F1264" i="17"/>
  <c r="F1263" i="17"/>
  <c r="F1262" i="17"/>
  <c r="F1261" i="17"/>
  <c r="F1260" i="17"/>
  <c r="F1259" i="17"/>
  <c r="F1258" i="17"/>
  <c r="F1257" i="17"/>
  <c r="F1256" i="17"/>
  <c r="F1255" i="17"/>
  <c r="F1254" i="17"/>
  <c r="F1253" i="17"/>
  <c r="F1252" i="17"/>
  <c r="F1251" i="17"/>
  <c r="F1250" i="17"/>
  <c r="F1249" i="17"/>
  <c r="F1248" i="17"/>
  <c r="F1247" i="17"/>
  <c r="F1246" i="17"/>
  <c r="F1245" i="17"/>
  <c r="F1244" i="17"/>
  <c r="F1243" i="17"/>
  <c r="F1242" i="17"/>
  <c r="F1241" i="17"/>
  <c r="F1240" i="17"/>
  <c r="F1239" i="17"/>
  <c r="F1238" i="17"/>
  <c r="F1237" i="17"/>
  <c r="F1236" i="17"/>
  <c r="F1235" i="17"/>
  <c r="F1234" i="17"/>
  <c r="F1233" i="17"/>
  <c r="F1232" i="17"/>
  <c r="F1231" i="17"/>
  <c r="F1230" i="17"/>
  <c r="I1229" i="17"/>
  <c r="L1229" i="17" s="1"/>
  <c r="F1229" i="17"/>
  <c r="F1228" i="17"/>
  <c r="F1227" i="17"/>
  <c r="F1226" i="17"/>
  <c r="F1225" i="17"/>
  <c r="F1224" i="17"/>
  <c r="F1223" i="17"/>
  <c r="I1222" i="17"/>
  <c r="L1222" i="17" s="1"/>
  <c r="F1222" i="17"/>
  <c r="F1221" i="17"/>
  <c r="F1220" i="17"/>
  <c r="F1219" i="17"/>
  <c r="F1218" i="17"/>
  <c r="F1217" i="17"/>
  <c r="F1216" i="17"/>
  <c r="F1215" i="17"/>
  <c r="F1214" i="17"/>
  <c r="F1213" i="17"/>
  <c r="F1212" i="17"/>
  <c r="F1211" i="17"/>
  <c r="F1210" i="17"/>
  <c r="F1209" i="17"/>
  <c r="F1208" i="17"/>
  <c r="F1207" i="17"/>
  <c r="F1206" i="17"/>
  <c r="F1205" i="17"/>
  <c r="F1204" i="17"/>
  <c r="F1203" i="17"/>
  <c r="F1202" i="17"/>
  <c r="F1201" i="17"/>
  <c r="F1200" i="17"/>
  <c r="F1199" i="17"/>
  <c r="F1198" i="17"/>
  <c r="F1197" i="17"/>
  <c r="F1196" i="17"/>
  <c r="F1195" i="17"/>
  <c r="F1194" i="17"/>
  <c r="F1193" i="17"/>
  <c r="F1192" i="17"/>
  <c r="F1191" i="17"/>
  <c r="F1190" i="17"/>
  <c r="F1189" i="17"/>
  <c r="F1188" i="17"/>
  <c r="F1187" i="17"/>
  <c r="F1186" i="17"/>
  <c r="F1185" i="17"/>
  <c r="F1184" i="17"/>
  <c r="F1183" i="17"/>
  <c r="F1182" i="17"/>
  <c r="F1181" i="17"/>
  <c r="F1180" i="17"/>
  <c r="F1179" i="17"/>
  <c r="F1178" i="17"/>
  <c r="F1177" i="17"/>
  <c r="J1176" i="17"/>
  <c r="I1176" i="17"/>
  <c r="L1176" i="17" s="1"/>
  <c r="F1176" i="17"/>
  <c r="F1175" i="17"/>
  <c r="F1174" i="17"/>
  <c r="F1173" i="17"/>
  <c r="F1172" i="17"/>
  <c r="F1171" i="17"/>
  <c r="F1170" i="17"/>
  <c r="F1169" i="17"/>
  <c r="F1168" i="17"/>
  <c r="F1167" i="17"/>
  <c r="F1166" i="17"/>
  <c r="F1165" i="17"/>
  <c r="F1164" i="17"/>
  <c r="F1163" i="17"/>
  <c r="F1162" i="17"/>
  <c r="F1161" i="17"/>
  <c r="F1160" i="17"/>
  <c r="F1159" i="17"/>
  <c r="F1158" i="17"/>
  <c r="F1157" i="17"/>
  <c r="F1156" i="17"/>
  <c r="F1155" i="17"/>
  <c r="F1154" i="17"/>
  <c r="F1153" i="17"/>
  <c r="F1152" i="17"/>
  <c r="F1151" i="17"/>
  <c r="I1150" i="17"/>
  <c r="L1150" i="17" s="1"/>
  <c r="F1150" i="17"/>
  <c r="F1149" i="17"/>
  <c r="F1148" i="17"/>
  <c r="F1147" i="17"/>
  <c r="F1146" i="17"/>
  <c r="F1145" i="17"/>
  <c r="F1144" i="17"/>
  <c r="F1143" i="17"/>
  <c r="F1142" i="17"/>
  <c r="F1141" i="17"/>
  <c r="F1140" i="17"/>
  <c r="F1139" i="17"/>
  <c r="F1138" i="17"/>
  <c r="F1137" i="17"/>
  <c r="F1136" i="17"/>
  <c r="F1135" i="17"/>
  <c r="F1134" i="17"/>
  <c r="F1133" i="17"/>
  <c r="F1132" i="17"/>
  <c r="F1131" i="17"/>
  <c r="F1130" i="17"/>
  <c r="F1129" i="17"/>
  <c r="F1128" i="17"/>
  <c r="F1127" i="17"/>
  <c r="I1126" i="17"/>
  <c r="L1126" i="17" s="1"/>
  <c r="F1126" i="17"/>
  <c r="F1125" i="17"/>
  <c r="F1124" i="17"/>
  <c r="F1123" i="17"/>
  <c r="F1122" i="17"/>
  <c r="F1121" i="17"/>
  <c r="F1120" i="17"/>
  <c r="F1119" i="17"/>
  <c r="F1118" i="17"/>
  <c r="J1117" i="17"/>
  <c r="I1117" i="17"/>
  <c r="L1117" i="17" s="1"/>
  <c r="F1117" i="17"/>
  <c r="F1116" i="17"/>
  <c r="F1115" i="17"/>
  <c r="F1114" i="17"/>
  <c r="F1113" i="17"/>
  <c r="F1112" i="17"/>
  <c r="F1111" i="17"/>
  <c r="F1110" i="17"/>
  <c r="F1109" i="17"/>
  <c r="F1108" i="17"/>
  <c r="F1107" i="17"/>
  <c r="F1106" i="17"/>
  <c r="F1105" i="17"/>
  <c r="F1104" i="17"/>
  <c r="F1103" i="17"/>
  <c r="K1102" i="17"/>
  <c r="J1102" i="17"/>
  <c r="I1102" i="17"/>
  <c r="L1102" i="17" s="1"/>
  <c r="F1102" i="17"/>
  <c r="F1101" i="17"/>
  <c r="F1100" i="17"/>
  <c r="F1099" i="17"/>
  <c r="F1098" i="17"/>
  <c r="F1097" i="17"/>
  <c r="F1096" i="17"/>
  <c r="F1095" i="17"/>
  <c r="F1094" i="17"/>
  <c r="F1093" i="17"/>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G1092" i="17" s="1"/>
  <c r="G1093" i="17" s="1"/>
  <c r="G1094" i="17" s="1"/>
  <c r="G1095" i="17" s="1"/>
  <c r="G1096" i="17" s="1"/>
  <c r="G1097" i="17" s="1"/>
  <c r="G1098" i="17" s="1"/>
  <c r="G1099" i="17" s="1"/>
  <c r="G1100" i="17" s="1"/>
  <c r="G1101" i="17" s="1"/>
  <c r="G1102" i="17" s="1"/>
  <c r="G1103" i="17" s="1"/>
  <c r="G1104" i="17" s="1"/>
  <c r="G1105" i="17" s="1"/>
  <c r="G1106" i="17" s="1"/>
  <c r="G1107" i="17" s="1"/>
  <c r="G1108" i="17" s="1"/>
  <c r="G1109" i="17" s="1"/>
  <c r="G1110" i="17" s="1"/>
  <c r="G1111" i="17" s="1"/>
  <c r="G1112" i="17" s="1"/>
  <c r="G1113" i="17" s="1"/>
  <c r="G1114" i="17" s="1"/>
  <c r="G1115" i="17" s="1"/>
  <c r="G1116" i="17" s="1"/>
  <c r="G1117" i="17" s="1"/>
  <c r="G1118" i="17" s="1"/>
  <c r="G1119" i="17" s="1"/>
  <c r="G1120" i="17" s="1"/>
  <c r="G1121" i="17" s="1"/>
  <c r="G1122" i="17" s="1"/>
  <c r="G1123" i="17" s="1"/>
  <c r="G1124" i="17" s="1"/>
  <c r="G1125" i="17" s="1"/>
  <c r="G1126" i="17" s="1"/>
  <c r="G1127" i="17" s="1"/>
  <c r="G1128" i="17" s="1"/>
  <c r="G1129" i="17" s="1"/>
  <c r="G1130" i="17" s="1"/>
  <c r="G1131" i="17" s="1"/>
  <c r="G1132" i="17" s="1"/>
  <c r="G1133" i="17" s="1"/>
  <c r="G1134" i="17" s="1"/>
  <c r="G1135" i="17" s="1"/>
  <c r="G1136" i="17" s="1"/>
  <c r="G1137" i="17" s="1"/>
  <c r="G1138" i="17" s="1"/>
  <c r="G1139" i="17" s="1"/>
  <c r="G1140" i="17" s="1"/>
  <c r="G1141" i="17" s="1"/>
  <c r="G1142" i="17" s="1"/>
  <c r="G1143" i="17" s="1"/>
  <c r="G1144" i="17" s="1"/>
  <c r="G1145" i="17" s="1"/>
  <c r="G1146" i="17" s="1"/>
  <c r="G1147" i="17" s="1"/>
  <c r="G1148" i="17" s="1"/>
  <c r="G1149" i="17" s="1"/>
  <c r="G1150" i="17" s="1"/>
  <c r="G1151" i="17" s="1"/>
  <c r="G1152" i="17" s="1"/>
  <c r="G1153" i="17" s="1"/>
  <c r="G1154" i="17" s="1"/>
  <c r="G1155" i="17" s="1"/>
  <c r="G1156" i="17" s="1"/>
  <c r="G1157" i="17" s="1"/>
  <c r="G1158" i="17" s="1"/>
  <c r="G1159" i="17" s="1"/>
  <c r="G1160" i="17" s="1"/>
  <c r="G1161" i="17" s="1"/>
  <c r="G1162" i="17" s="1"/>
  <c r="G1163" i="17" s="1"/>
  <c r="G1164" i="17" s="1"/>
  <c r="G1165" i="17" s="1"/>
  <c r="G1166" i="17" s="1"/>
  <c r="G1167" i="17" s="1"/>
  <c r="G1168" i="17" s="1"/>
  <c r="G1169" i="17" s="1"/>
  <c r="G1170" i="17" s="1"/>
  <c r="G1171" i="17" s="1"/>
  <c r="G1172" i="17" s="1"/>
  <c r="G1173" i="17" s="1"/>
  <c r="G1174" i="17" s="1"/>
  <c r="G1175" i="17" s="1"/>
  <c r="G1176" i="17" s="1"/>
  <c r="G1177" i="17" s="1"/>
  <c r="G1178" i="17" s="1"/>
  <c r="G1179" i="17" s="1"/>
  <c r="G1180" i="17" s="1"/>
  <c r="G1181" i="17" s="1"/>
  <c r="G1182" i="17" s="1"/>
  <c r="G1183" i="17" s="1"/>
  <c r="G1184" i="17" s="1"/>
  <c r="G1185" i="17" s="1"/>
  <c r="G1186" i="17" s="1"/>
  <c r="G1187" i="17" s="1"/>
  <c r="G1188" i="17" s="1"/>
  <c r="G1189" i="17" s="1"/>
  <c r="G1190" i="17" s="1"/>
  <c r="G1191" i="17" s="1"/>
  <c r="G1192" i="17" s="1"/>
  <c r="G1193" i="17" s="1"/>
  <c r="G1194" i="17" s="1"/>
  <c r="G1195" i="17" s="1"/>
  <c r="G1196" i="17" s="1"/>
  <c r="G1197" i="17" s="1"/>
  <c r="G1198" i="17" s="1"/>
  <c r="G1199" i="17" s="1"/>
  <c r="G1200" i="17" s="1"/>
  <c r="G1201" i="17" s="1"/>
  <c r="G1202" i="17" s="1"/>
  <c r="G1203" i="17" s="1"/>
  <c r="G1204" i="17" s="1"/>
  <c r="G1205" i="17" s="1"/>
  <c r="G1206" i="17" s="1"/>
  <c r="G1207" i="17" s="1"/>
  <c r="G1208" i="17" s="1"/>
  <c r="G1209" i="17" s="1"/>
  <c r="G1210" i="17" s="1"/>
  <c r="G1211" i="17" s="1"/>
  <c r="G1212" i="17" s="1"/>
  <c r="G1213" i="17" s="1"/>
  <c r="G1214" i="17" s="1"/>
  <c r="G1215" i="17" s="1"/>
  <c r="G1216" i="17" s="1"/>
  <c r="G1217" i="17" s="1"/>
  <c r="G1218" i="17" s="1"/>
  <c r="G1219" i="17" s="1"/>
  <c r="G1220" i="17" s="1"/>
  <c r="G1221" i="17" s="1"/>
  <c r="G1222" i="17" s="1"/>
  <c r="G1223" i="17" s="1"/>
  <c r="G1224" i="17" s="1"/>
  <c r="G1225" i="17" s="1"/>
  <c r="G1226" i="17" s="1"/>
  <c r="G1227" i="17" s="1"/>
  <c r="G1228" i="17" s="1"/>
  <c r="G1229" i="17" s="1"/>
  <c r="G1230" i="17" s="1"/>
  <c r="G1231" i="17" s="1"/>
  <c r="G1232" i="17" s="1"/>
  <c r="G1233" i="17" s="1"/>
  <c r="G1234" i="17" s="1"/>
  <c r="G1235" i="17" s="1"/>
  <c r="G1236" i="17" s="1"/>
  <c r="G1237" i="17" s="1"/>
  <c r="G1238" i="17" s="1"/>
  <c r="G1239" i="17" s="1"/>
  <c r="G1240" i="17" s="1"/>
  <c r="G1241" i="17" s="1"/>
  <c r="G1242" i="17" s="1"/>
  <c r="G1243" i="17" s="1"/>
  <c r="G1244" i="17" s="1"/>
  <c r="G1245" i="17" s="1"/>
  <c r="G1246" i="17" s="1"/>
  <c r="G1247" i="17" s="1"/>
  <c r="G1248" i="17" s="1"/>
  <c r="G1249" i="17" s="1"/>
  <c r="G1250" i="17" s="1"/>
  <c r="G1251" i="17" s="1"/>
  <c r="G1252" i="17" s="1"/>
  <c r="G1253" i="17" s="1"/>
  <c r="G1254" i="17" s="1"/>
  <c r="G1255" i="17" s="1"/>
  <c r="G1256" i="17" s="1"/>
  <c r="G1257" i="17" s="1"/>
  <c r="G1258" i="17" s="1"/>
  <c r="G1259" i="17" s="1"/>
  <c r="G1260" i="17" s="1"/>
  <c r="G1261" i="17" s="1"/>
  <c r="G1262" i="17" s="1"/>
  <c r="G1263" i="17" s="1"/>
  <c r="G1264" i="17" s="1"/>
  <c r="G1265" i="17" s="1"/>
  <c r="G1266" i="17" s="1"/>
  <c r="G1267" i="17" s="1"/>
  <c r="G1268" i="17" s="1"/>
  <c r="G1269"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311" i="17"/>
  <c r="F2" i="17"/>
  <c r="E1312" i="17"/>
  <c r="F1312" i="17" s="1"/>
  <c r="E1313" i="17"/>
  <c r="F1313" i="17" s="1"/>
  <c r="E1314" i="17"/>
  <c r="J125" i="17"/>
  <c r="I21" i="17"/>
  <c r="L21" i="17" s="1"/>
  <c r="E1315" i="17"/>
  <c r="F1315" i="17" s="1"/>
  <c r="J180" i="17"/>
  <c r="I134" i="17"/>
  <c r="L134" i="17" s="1"/>
  <c r="E1316" i="17"/>
  <c r="F1316" i="17" s="1"/>
  <c r="J263" i="17"/>
  <c r="I190" i="17"/>
  <c r="L190" i="17" s="1"/>
  <c r="C1317" i="17"/>
  <c r="I378" i="17"/>
  <c r="L378" i="17" s="1"/>
  <c r="C1318" i="17"/>
  <c r="E1319" i="17"/>
  <c r="F1319" i="17" s="1"/>
  <c r="J519" i="17"/>
  <c r="I464" i="17"/>
  <c r="L464" i="17" s="1"/>
  <c r="E1320" i="17"/>
  <c r="F1320" i="17" s="1"/>
  <c r="J556" i="17"/>
  <c r="I526" i="17"/>
  <c r="L526" i="17" s="1"/>
  <c r="E1321" i="17"/>
  <c r="F1321" i="17" s="1"/>
  <c r="J613" i="17"/>
  <c r="I565" i="17"/>
  <c r="L565" i="17" s="1"/>
  <c r="E1322" i="17"/>
  <c r="F1322" i="17" s="1"/>
  <c r="J692" i="17"/>
  <c r="I623" i="17"/>
  <c r="L623" i="17" s="1"/>
  <c r="I692" i="17"/>
  <c r="L692" i="17" s="1"/>
  <c r="E1323" i="17"/>
  <c r="F1323" i="17" s="1"/>
  <c r="J756" i="17"/>
  <c r="I695" i="17"/>
  <c r="L695" i="17" s="1"/>
  <c r="E1324" i="17"/>
  <c r="F1324" i="17" s="1"/>
  <c r="C1327" i="17"/>
  <c r="C1328" i="17"/>
  <c r="K675" i="17" l="1"/>
  <c r="I408" i="17"/>
  <c r="L408" i="17" s="1"/>
  <c r="E1318" i="17"/>
  <c r="F1318" i="17" s="1"/>
  <c r="J454" i="17"/>
  <c r="E1317" i="17"/>
  <c r="F1317" i="17" s="1"/>
  <c r="J357" i="17"/>
  <c r="I276" i="17"/>
  <c r="L276" i="17" s="1"/>
  <c r="K402" i="17"/>
  <c r="E1328" i="17"/>
  <c r="F1328" i="17" s="1"/>
  <c r="F1314" i="17"/>
  <c r="E1327" i="17"/>
  <c r="F1327" i="17" s="1"/>
  <c r="F131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<sst xmlns="http://schemas.openxmlformats.org/spreadsheetml/2006/main" count="2758" uniqueCount="1095">
  <si>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</si>
  <si>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</si>
  <si>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</si>
  <si>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</si>
  <si>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</si>
  <si>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</si>
  <si>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</si>
  <si>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</si>
  <si>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</si>
  <si>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</si>
  <si>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</si>
  <si>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</si>
  <si>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</si>
  <si>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</si>
  <si>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</si>
  <si>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</si>
  <si>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</si>
  <si>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</si>
  <si>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</si>
  <si>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</si>
  <si>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</si>
  <si>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</si>
  <si>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</si>
  <si>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</si>
  <si>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</si>
  <si>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</si>
  <si>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</si>
  <si>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</si>
  <si>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</si>
  <si>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</si>
  <si>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</si>
  <si>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</si>
  <si>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</si>
  <si>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</si>
  <si>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</si>
  <si>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</si>
  <si>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</si>
  <si>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</si>
  <si>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</si>
  <si>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</si>
  <si>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</si>
  <si>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</si>
  <si>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</si>
  <si>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</si>
  <si>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</si>
  <si>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</si>
  <si>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</si>
  <si>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</si>
  <si>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</si>
  <si>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</si>
  <si>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</si>
  <si>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</si>
  <si>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</si>
  <si>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</si>
  <si>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</si>
  <si>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</si>
  <si>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</si>
  <si>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</si>
  <si>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</si>
  <si>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</si>
  <si>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</si>
  <si>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</si>
  <si>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</si>
  <si>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</si>
  <si>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</si>
  <si>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</si>
  <si>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</si>
  <si>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</si>
  <si>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</si>
  <si>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</si>
  <si>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</si>
  <si>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</si>
  <si>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</si>
  <si>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</si>
  <si>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</si>
  <si>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</si>
  <si>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</si>
  <si>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</si>
  <si>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</si>
  <si>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</si>
  <si>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</si>
  <si>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</si>
  <si>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</si>
  <si>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</si>
  <si>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</si>
  <si>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</si>
  <si>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</si>
  <si>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</si>
  <si>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</si>
  <si>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</si>
  <si>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</si>
  <si>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</si>
  <si>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</si>
  <si>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</si>
  <si>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</si>
  <si>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</si>
  <si>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</si>
  <si>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</si>
  <si>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</si>
  <si>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</si>
  <si>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</si>
  <si>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</si>
  <si>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</si>
  <si>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</si>
  <si>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</si>
  <si>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</si>
  <si>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</si>
  <si>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</si>
  <si>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</si>
  <si>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</si>
  <si>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</si>
  <si>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</si>
  <si>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</si>
  <si>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</si>
  <si>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</si>
  <si>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</si>
  <si>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</si>
  <si>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</si>
  <si>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</si>
  <si>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</si>
  <si>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</si>
  <si>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</si>
  <si>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</si>
  <si>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</si>
  <si>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</si>
  <si>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</si>
  <si>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</si>
  <si>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</si>
  <si>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</si>
  <si>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</si>
  <si>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</si>
  <si>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</si>
  <si>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</si>
  <si>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</si>
  <si>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</si>
  <si>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</si>
  <si>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</si>
  <si>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</si>
  <si>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</si>
  <si>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</si>
  <si>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</si>
  <si>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</si>
  <si>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</si>
  <si>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</si>
  <si>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</si>
  <si>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</si>
  <si>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</si>
  <si>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</si>
  <si>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</si>
  <si>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</si>
  <si>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</si>
  <si>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</si>
  <si>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</si>
  <si>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</si>
  <si>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</si>
  <si>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</si>
  <si>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</si>
  <si>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</si>
  <si>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</si>
  <si>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</si>
  <si>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</si>
  <si>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</si>
  <si>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</si>
  <si>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</si>
  <si>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</si>
  <si>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</si>
  <si>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</si>
  <si>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</si>
  <si>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</si>
  <si>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</si>
  <si>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</si>
  <si>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</si>
  <si>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</si>
  <si>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</si>
  <si>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</si>
  <si>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</si>
  <si>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</si>
  <si>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</si>
  <si>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</si>
  <si>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</si>
  <si>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</si>
  <si>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</si>
  <si>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</si>
  <si>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</si>
  <si>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</si>
  <si>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</si>
  <si>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</si>
  <si>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</si>
  <si>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</si>
  <si>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</si>
  <si>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</si>
  <si>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</si>
  <si>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</si>
  <si>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</si>
  <si>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</si>
  <si>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</si>
  <si>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</si>
  <si>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</si>
  <si>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</si>
  <si>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</si>
  <si>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</si>
  <si>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</si>
  <si>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</si>
  <si>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</si>
  <si>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</si>
  <si>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</si>
  <si>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</si>
  <si>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</si>
  <si>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</si>
  <si>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</si>
  <si>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</si>
  <si>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</si>
  <si>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</si>
  <si>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</si>
  <si>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</si>
  <si>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</si>
  <si>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</si>
  <si>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</si>
  <si>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</si>
  <si>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</si>
  <si>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</si>
  <si>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</si>
  <si>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</si>
  <si>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</si>
  <si>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</si>
  <si>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</si>
  <si>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</si>
  <si>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</si>
  <si>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</si>
  <si>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</si>
  <si>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</si>
  <si>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</si>
  <si>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</si>
  <si>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</si>
  <si>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</si>
  <si>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</si>
  <si>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</si>
  <si>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</si>
  <si>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</si>
  <si>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</si>
  <si>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</si>
  <si>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</si>
  <si>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</si>
  <si>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</si>
  <si>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</si>
  <si>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</si>
  <si>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</si>
  <si>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</si>
  <si>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</si>
  <si>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</si>
  <si>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</si>
  <si>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</si>
  <si>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</si>
  <si>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</si>
  <si>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</si>
  <si>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</si>
  <si>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</si>
  <si>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</si>
  <si>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</si>
  <si>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</si>
  <si>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</si>
  <si>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</si>
  <si>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</si>
  <si>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</si>
  <si>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</si>
  <si>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</si>
  <si>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</si>
  <si>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</si>
  <si>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</si>
  <si>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</si>
  <si>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</si>
  <si>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</si>
  <si>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</si>
  <si>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</si>
  <si>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</si>
  <si>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</si>
  <si>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</si>
  <si>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</si>
  <si>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</si>
  <si>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</si>
  <si>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</si>
  <si>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</si>
  <si>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</si>
  <si>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</si>
  <si>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</si>
  <si>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</si>
  <si>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</si>
  <si>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</si>
  <si>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</si>
  <si>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</si>
  <si>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</si>
  <si>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</si>
  <si>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</si>
  <si>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</si>
  <si>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</si>
  <si>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</si>
  <si>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</si>
  <si>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</si>
  <si>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</si>
  <si>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</si>
  <si>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</si>
  <si>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</si>
  <si>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</si>
  <si>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</si>
  <si>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</si>
  <si>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</si>
  <si>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</si>
  <si>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</si>
  <si>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</si>
  <si>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</si>
  <si>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</si>
  <si>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</si>
  <si>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</si>
  <si>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</si>
  <si>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</si>
  <si>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</si>
  <si>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</si>
  <si>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</si>
  <si>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</si>
  <si>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</si>
  <si>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</si>
  <si>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</si>
  <si>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</si>
  <si>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</si>
  <si>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</si>
  <si>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</si>
  <si>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</si>
  <si>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</si>
  <si>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</si>
  <si>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</si>
  <si>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</si>
  <si>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</si>
  <si>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</si>
  <si>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</si>
  <si>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</si>
  <si>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</si>
  <si>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</si>
  <si>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</si>
  <si>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</si>
  <si>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</si>
  <si>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</si>
  <si>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</si>
  <si>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</si>
  <si>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</si>
  <si>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</si>
  <si>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</si>
  <si>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</si>
  <si>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</si>
  <si>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</si>
  <si>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</si>
  <si>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</si>
  <si>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</si>
  <si>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</si>
  <si>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</si>
  <si>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</si>
  <si>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</si>
  <si>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</si>
  <si>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</si>
  <si>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</si>
  <si>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</si>
  <si>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</si>
  <si>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</si>
  <si>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</si>
  <si>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</si>
  <si>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</si>
  <si>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</si>
  <si>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</si>
  <si>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</si>
  <si>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</si>
  <si>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</si>
  <si>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</si>
  <si>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</si>
  <si>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</si>
  <si>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</si>
  <si>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</si>
  <si>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</si>
  <si>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</si>
  <si>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</si>
  <si>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</si>
  <si>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</si>
  <si>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</si>
  <si>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</si>
  <si>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</si>
  <si>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</si>
  <si>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</si>
  <si>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</si>
  <si>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</si>
  <si>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</si>
  <si>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</si>
  <si>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</si>
  <si>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</si>
  <si>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</si>
  <si>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</si>
  <si>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</si>
  <si>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</si>
  <si>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</si>
  <si>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</si>
  <si>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</si>
  <si>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</si>
  <si>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</si>
  <si>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</si>
  <si>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Oklahoma City</t>
  </si>
  <si>
    <t>Dallas Mavericks @ Cleveland Cavaliers</t>
  </si>
  <si>
    <t>Detroit Pistons @ Toronto Raptors</t>
  </si>
  <si>
    <t>Indiana Pacers @ Milwaukee Bucks</t>
  </si>
  <si>
    <t>Portland Trail Blazers @ Philadelphia 76ers</t>
  </si>
  <si>
    <t>Golden State Warriors @ New York Knicks</t>
  </si>
  <si>
    <t>Utah Jazz @ Sacramento Kings</t>
  </si>
  <si>
    <t>Memphis Grizzlies @ Chicago Bulls</t>
  </si>
  <si>
    <t>Los Angeles Lakers @ Houston Rockets</t>
  </si>
  <si>
    <t>Detroit Pistons @ Washington Wizards</t>
  </si>
  <si>
    <t>Philadelphia 76ers @ Denver Nuggets</t>
  </si>
  <si>
    <t>Golden State Warriors @ Boston Celtics</t>
  </si>
  <si>
    <t>Oklahoma City Thunder @ Brooklyn Nets</t>
  </si>
  <si>
    <t>Portland Trail Blazers @ Indiana Pacers</t>
  </si>
  <si>
    <t>Atlanta Hawks @ Dallas Mavericks</t>
  </si>
  <si>
    <t>Denver Nuggets @ Memphis Grizzlies</t>
  </si>
  <si>
    <t>Orlando Magic @ Charlotte Hornets</t>
  </si>
  <si>
    <t>Los Angeles Lakers @ Miami Heat</t>
  </si>
  <si>
    <t>Milwaukee Bucks @ Utah Jazz</t>
  </si>
  <si>
    <t>Philadelphia 76ers @ Sacramento Kings</t>
  </si>
  <si>
    <t>Golden State Warriors @ Detroit Pistons</t>
  </si>
  <si>
    <t>Atlanta Hawks @ Houston Rockets</t>
  </si>
  <si>
    <t>Boston Celtics @ Memphis Grizzlies</t>
  </si>
  <si>
    <t>Toronto Raptors @ Denver Nuggets</t>
  </si>
  <si>
    <t>Portland Trail Blazers @ Denver Nuggets</t>
  </si>
  <si>
    <t>Washington Wizards @ New York Knicks</t>
  </si>
  <si>
    <t>Oklahoma City Thunder @ Philadelphia 76ers</t>
  </si>
  <si>
    <t>San Antonio Spurs @ Miami Heat</t>
  </si>
  <si>
    <t>Memphis Grizzlies @ Atlanta Hawks</t>
  </si>
  <si>
    <t>Houston Rockets @ Chicago Bulls</t>
  </si>
  <si>
    <t>Toronto Raptors @ Utah Jazz</t>
  </si>
  <si>
    <t>Golden State Warriors @ Dallas Mavericks</t>
  </si>
  <si>
    <t>Sacramento Kings @ Charlotte Hornets</t>
  </si>
  <si>
    <t>New Orleans Pelicans @ New York Knicks</t>
  </si>
  <si>
    <t>Denver Nuggets @ Phoenix Suns</t>
  </si>
  <si>
    <t>Los Angeles Lakers @ Indiana Pacers</t>
  </si>
  <si>
    <t>Chicago Bulls @ Philadelphia 76ers</t>
  </si>
  <si>
    <t>Oklahoma City Thunder @ Boston Celtics</t>
  </si>
  <si>
    <t>Miami Heat @ Cleveland Cavaliers</t>
  </si>
  <si>
    <t>San Antonio Spurs @ Memphis Grizzlies</t>
  </si>
  <si>
    <t>Dallas Mavericks @ Denver Nuggets</t>
  </si>
  <si>
    <t>Toronto Raptors @ LA Clippers</t>
  </si>
  <si>
    <t>New York Knicks @ Charlotte Hornets</t>
  </si>
  <si>
    <t>New Orleans Pelicans @ Detroit Pistons</t>
  </si>
  <si>
    <t>Sacramento Kings @ Orlando Magic</t>
  </si>
  <si>
    <t xml:space="preserve">New Orleans Pelicans </t>
  </si>
  <si>
    <t>LA Clippers @ Indiana Pacers</t>
  </si>
  <si>
    <t>Houston Rockets @ Memphis Grizzlies</t>
  </si>
  <si>
    <t>Chicago Bulls @ Oklahoma City Thunder</t>
  </si>
  <si>
    <t>Utah Jazz @ Denver Nuggets</t>
  </si>
  <si>
    <t>Washington Wizards @ Golden State Warriors</t>
  </si>
  <si>
    <t>Philadelphia 76ers @ Charlotte Hornets</t>
  </si>
  <si>
    <t>Sacramento Kings @ Atlanta Hawks</t>
  </si>
  <si>
    <t>Chicago Bulls @ Memphis Grizzlies</t>
  </si>
  <si>
    <t>Utah Jazz @ Phoenix Suns</t>
  </si>
  <si>
    <t>LA Clippers @ Milwaukee Bucks</t>
  </si>
  <si>
    <t>Miami Heat @ Indiana Pacers</t>
  </si>
  <si>
    <t>Orlando Magic @ Toronto Raptors</t>
  </si>
  <si>
    <t>Washington Wizards @ Portland Trail Blazers</t>
  </si>
  <si>
    <t>Golden State Warriors @ Denver Nuggets</t>
  </si>
  <si>
    <t>Philadelphia 76ers @ Miami Heat</t>
  </si>
  <si>
    <t>Boston Celtics @ Atlanta Hawks</t>
  </si>
  <si>
    <t>Phoenix Suns @ Memphis Grizzlies</t>
  </si>
  <si>
    <t>Chicago Bulls @ San Antonio Spurs</t>
  </si>
  <si>
    <t>Cleveland Cavaliers @ Utah Jazz</t>
  </si>
  <si>
    <t>Detroit Pistons @ Oklahoma City Thunder</t>
  </si>
  <si>
    <t>Washington Wizards @ Los Angeles Lakers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</si>
  <si>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</si>
  <si>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</si>
  <si>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</si>
  <si>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</si>
  <si>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</si>
  <si>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</si>
  <si>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</si>
  <si>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</si>
  <si>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</si>
  <si>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</si>
  <si>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</si>
  <si>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</si>
  <si>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</si>
  <si>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</si>
  <si>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</si>
  <si>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</si>
  <si>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</si>
  <si>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</si>
  <si>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</si>
  <si>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</si>
  <si>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</si>
  <si>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</si>
  <si>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</si>
  <si>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</si>
  <si>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</si>
  <si>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</si>
  <si>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</si>
  <si>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</si>
  <si>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</si>
  <si>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</si>
  <si>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</si>
  <si>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</si>
  <si>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</si>
  <si>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</si>
  <si>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</si>
  <si>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</si>
  <si>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</si>
  <si>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</si>
  <si>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</si>
  <si>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</si>
  <si>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</si>
  <si>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</si>
  <si>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</si>
  <si>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</si>
  <si>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</si>
  <si>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</si>
  <si>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</si>
  <si>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</si>
  <si>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</si>
  <si>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</si>
  <si>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</si>
  <si>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</si>
  <si>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</si>
  <si>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</si>
  <si>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</si>
  <si>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</si>
  <si>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</si>
  <si>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</si>
  <si>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</si>
  <si>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</si>
  <si>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</si>
  <si>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</si>
  <si>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</si>
  <si>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</si>
  <si>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</si>
  <si>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</si>
  <si>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</si>
  <si>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</si>
  <si>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</si>
  <si>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</si>
  <si>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</si>
  <si>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</si>
  <si>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</si>
  <si>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</si>
  <si>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</si>
  <si>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</si>
  <si>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</si>
  <si>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</si>
  <si>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</si>
  <si>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</si>
  <si>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</si>
  <si>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</si>
  <si>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</si>
  <si>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</si>
  <si>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</si>
  <si>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</si>
  <si>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</si>
  <si>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</si>
  <si>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</si>
  <si>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</si>
  <si>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</si>
  <si>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</si>
  <si>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</si>
  <si>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</si>
  <si>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</si>
  <si>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</si>
  <si>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</si>
  <si>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</si>
  <si>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</si>
  <si>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</si>
  <si>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</si>
  <si>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</si>
  <si>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</si>
  <si>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</si>
  <si>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</si>
  <si>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</si>
  <si>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</si>
  <si>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</si>
  <si>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</si>
  <si>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</si>
  <si>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</si>
  <si>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</si>
  <si>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</si>
  <si>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</si>
  <si>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</si>
  <si>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</si>
  <si>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</si>
  <si>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</si>
  <si>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</si>
  <si>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Minnesota Timberwolves @ New York Knicks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</si>
  <si>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</si>
  <si>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</si>
  <si>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</si>
  <si>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</si>
  <si>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</si>
  <si>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</si>
  <si>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</si>
  <si>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</si>
  <si>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</si>
  <si>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</si>
  <si>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</si>
  <si>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</si>
  <si>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</si>
  <si>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</si>
  <si>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</si>
  <si>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</si>
  <si>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</si>
  <si>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</si>
  <si>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</si>
  <si>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</si>
  <si>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</si>
  <si>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</si>
  <si>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</si>
  <si>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</si>
  <si>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</si>
  <si>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</si>
  <si>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</si>
  <si>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</si>
  <si>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</si>
  <si>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</si>
  <si>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</si>
  <si>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</si>
  <si>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</si>
  <si>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</si>
  <si>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</si>
  <si>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</si>
  <si>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</si>
  <si>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</si>
  <si>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</si>
  <si>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</si>
  <si>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</si>
  <si>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</si>
  <si>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</si>
  <si>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</si>
  <si>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</si>
  <si>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</si>
  <si>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</si>
  <si>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</si>
  <si>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</si>
  <si>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</si>
  <si>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</si>
  <si>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</si>
  <si>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</si>
  <si>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</si>
  <si>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</si>
  <si>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</si>
  <si>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</si>
  <si>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</si>
  <si>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</si>
  <si>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</si>
  <si>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</si>
  <si>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</si>
  <si>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</si>
  <si>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</si>
  <si>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</si>
  <si>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</si>
  <si>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</si>
  <si>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</si>
  <si>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</si>
  <si>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</si>
  <si>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</si>
  <si>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</si>
  <si>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</si>
  <si>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</si>
  <si>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</si>
  <si>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</si>
  <si>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</si>
  <si>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</si>
  <si>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</si>
  <si>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</si>
  <si>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</si>
  <si>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</si>
  <si>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</si>
  <si>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</si>
  <si>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</si>
  <si>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</si>
  <si>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</si>
  <si>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</si>
  <si>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</si>
  <si>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</si>
  <si>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</si>
  <si>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</si>
  <si>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</si>
  <si>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Portland Trail Blazers @ Milwaukee Bucks</t>
  </si>
  <si>
    <t>Chicago Bulls @ New Orleans Pelicans</t>
  </si>
  <si>
    <t>Houston Rockets @ Phoenix Suns</t>
  </si>
  <si>
    <t>LA Clippers @ Los Angeles Lakers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</si>
  <si>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</si>
  <si>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</si>
  <si>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</si>
  <si>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</si>
  <si>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</si>
  <si>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</si>
  <si>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</si>
  <si>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</si>
  <si>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</si>
  <si>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</si>
  <si>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</si>
  <si>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</si>
  <si>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</si>
  <si>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Dallas Mavericks @ LA Clippers</t>
  </si>
  <si>
    <t>Boston Celtics @ Cleveland Cavaliers</t>
  </si>
  <si>
    <t>Toronto Raptors @ New York Knicks</t>
  </si>
  <si>
    <t>San Antonio Spurs @ Minnesota Timberwolves</t>
  </si>
  <si>
    <t>LA Clippers @ Miami Heat</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</si>
  <si>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</si>
  <si>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</si>
  <si>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</si>
  <si>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</si>
  <si>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</si>
  <si>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</si>
  <si>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</si>
  <si>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</si>
  <si>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</si>
  <si>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</si>
  <si>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</si>
  <si>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</si>
  <si>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</si>
  <si>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</si>
  <si>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</si>
  <si>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</si>
  <si>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</si>
  <si>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</si>
  <si>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</si>
  <si>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</si>
  <si>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</si>
  <si>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</si>
  <si>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</si>
  <si>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</si>
  <si>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</si>
  <si>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</si>
  <si>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</si>
  <si>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</si>
  <si>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</si>
  <si>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</si>
  <si>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</si>
  <si>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</si>
  <si>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</si>
  <si>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</si>
  <si>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</si>
  <si>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</si>
  <si>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</si>
  <si>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</si>
  <si>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</si>
  <si>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</si>
  <si>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Miami Heat @ Minnesota Timberwolves</t>
  </si>
  <si>
    <t>Denver Nuggets @ Boston Celtics</t>
  </si>
  <si>
    <t>New Orleans Pelicans @ Atlanta Hawks</t>
  </si>
  <si>
    <t>Orlando Magic @ Brooklyn Nets</t>
  </si>
  <si>
    <t>LA Clippers @ New York Knicks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</si>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</sst>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4">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22" fillId="0" borderId="107" xfId="0" applyFont="1" applyBorder="1"/>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0" fontId="0" fillId="0" borderId="41" xfId="0" applyBorder="1" applyAlignment="1">
      <alignment wrapText="1"/>
    </xf>
    <xf numFmtId="0" fontId="0" fillId="0" borderId="0" xfId="0" applyAlignment="1">
      <alignment wrapText="1"/>
    </xf>
    <xf numFmtId="0" fontId="11" fillId="0" borderId="0" xfId="0" applyFont="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1">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NBA!$G$2:$G$1287</c:f>
              <c:numCache>
                <c:formatCode>#,##0.00;[Red]#,##0.00</c:formatCode>
                <c:ptCount val="1286"/>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pt idx="1101">
                  <c:v>54.116833976833988</c:v>
                </c:pt>
                <c:pt idx="1102">
                  <c:v>55.016833976833986</c:v>
                </c:pt>
                <c:pt idx="1103">
                  <c:v>54.016833976833986</c:v>
                </c:pt>
                <c:pt idx="1104">
                  <c:v>54.916833976833985</c:v>
                </c:pt>
                <c:pt idx="1105">
                  <c:v>55.756833976833988</c:v>
                </c:pt>
                <c:pt idx="1106">
                  <c:v>54.756833976833988</c:v>
                </c:pt>
                <c:pt idx="1107">
                  <c:v>53.756833976833988</c:v>
                </c:pt>
                <c:pt idx="1108">
                  <c:v>52.756833976833988</c:v>
                </c:pt>
                <c:pt idx="1109">
                  <c:v>53.60683397683399</c:v>
                </c:pt>
                <c:pt idx="1110">
                  <c:v>53.60683397683399</c:v>
                </c:pt>
                <c:pt idx="1111">
                  <c:v>54.476833976833987</c:v>
                </c:pt>
                <c:pt idx="1112">
                  <c:v>55.892833976833984</c:v>
                </c:pt>
                <c:pt idx="1113">
                  <c:v>58.492833976833985</c:v>
                </c:pt>
                <c:pt idx="1114">
                  <c:v>57.492833976833985</c:v>
                </c:pt>
                <c:pt idx="1115">
                  <c:v>56.492833976833985</c:v>
                </c:pt>
                <c:pt idx="1116">
                  <c:v>55.492833976833985</c:v>
                </c:pt>
                <c:pt idx="1117">
                  <c:v>54.492833976833985</c:v>
                </c:pt>
                <c:pt idx="1118">
                  <c:v>53.492833976833985</c:v>
                </c:pt>
                <c:pt idx="1119">
                  <c:v>54.362833976833983</c:v>
                </c:pt>
                <c:pt idx="1120">
                  <c:v>55.218833976833984</c:v>
                </c:pt>
                <c:pt idx="1121">
                  <c:v>54.218833976833984</c:v>
                </c:pt>
                <c:pt idx="1122">
                  <c:v>53.218833976833984</c:v>
                </c:pt>
                <c:pt idx="1123">
                  <c:v>52.218833976833984</c:v>
                </c:pt>
                <c:pt idx="1124">
                  <c:v>53.118833976833983</c:v>
                </c:pt>
                <c:pt idx="1125">
                  <c:v>52.118833976833983</c:v>
                </c:pt>
                <c:pt idx="1126">
                  <c:v>51.118833976833983</c:v>
                </c:pt>
                <c:pt idx="1127">
                  <c:v>50.118833976833983</c:v>
                </c:pt>
                <c:pt idx="1128">
                  <c:v>51.018833976833982</c:v>
                </c:pt>
                <c:pt idx="1129">
                  <c:v>50.018833976833982</c:v>
                </c:pt>
                <c:pt idx="1130">
                  <c:v>49.018833976833982</c:v>
                </c:pt>
                <c:pt idx="1131">
                  <c:v>48.018833976833982</c:v>
                </c:pt>
                <c:pt idx="1132">
                  <c:v>48.91883397683398</c:v>
                </c:pt>
                <c:pt idx="1133">
                  <c:v>47.91883397683398</c:v>
                </c:pt>
                <c:pt idx="1134">
                  <c:v>46.91883397683398</c:v>
                </c:pt>
                <c:pt idx="1135">
                  <c:v>45.91883397683398</c:v>
                </c:pt>
                <c:pt idx="1136">
                  <c:v>46.91883397683398</c:v>
                </c:pt>
                <c:pt idx="1137">
                  <c:v>45.91883397683398</c:v>
                </c:pt>
                <c:pt idx="1138">
                  <c:v>44.91883397683398</c:v>
                </c:pt>
                <c:pt idx="1139">
                  <c:v>45.818833976833979</c:v>
                </c:pt>
                <c:pt idx="1140">
                  <c:v>44.818833976833979</c:v>
                </c:pt>
                <c:pt idx="1141">
                  <c:v>43.818833976833979</c:v>
                </c:pt>
                <c:pt idx="1142">
                  <c:v>42.818833976833979</c:v>
                </c:pt>
                <c:pt idx="1143">
                  <c:v>41.818833976833979</c:v>
                </c:pt>
                <c:pt idx="1144">
                  <c:v>42.678833976833978</c:v>
                </c:pt>
                <c:pt idx="1145">
                  <c:v>43.52883397683398</c:v>
                </c:pt>
                <c:pt idx="1146">
                  <c:v>42.52883397683398</c:v>
                </c:pt>
                <c:pt idx="1147">
                  <c:v>41.52883397683398</c:v>
                </c:pt>
                <c:pt idx="1148">
                  <c:v>40.52883397683398</c:v>
                </c:pt>
                <c:pt idx="1149">
                  <c:v>39.52883397683398</c:v>
                </c:pt>
                <c:pt idx="1150">
                  <c:v>38.52883397683398</c:v>
                </c:pt>
                <c:pt idx="1151">
                  <c:v>39.358833976833978</c:v>
                </c:pt>
                <c:pt idx="1152">
                  <c:v>40.188833976833976</c:v>
                </c:pt>
                <c:pt idx="1153">
                  <c:v>39.188833976833976</c:v>
                </c:pt>
                <c:pt idx="1154">
                  <c:v>38.188833976833976</c:v>
                </c:pt>
                <c:pt idx="1155">
                  <c:v>39.058833976833974</c:v>
                </c:pt>
                <c:pt idx="1156">
                  <c:v>38.058833976833974</c:v>
                </c:pt>
                <c:pt idx="1157">
                  <c:v>38.928833976833971</c:v>
                </c:pt>
                <c:pt idx="1158">
                  <c:v>39.798833976833969</c:v>
                </c:pt>
                <c:pt idx="1159">
                  <c:v>38.798833976833969</c:v>
                </c:pt>
                <c:pt idx="1160">
                  <c:v>39.618833976833969</c:v>
                </c:pt>
                <c:pt idx="1161">
                  <c:v>38.618833976833969</c:v>
                </c:pt>
                <c:pt idx="1162">
                  <c:v>40.530833976833968</c:v>
                </c:pt>
                <c:pt idx="1163">
                  <c:v>39.530833976833968</c:v>
                </c:pt>
                <c:pt idx="1164">
                  <c:v>40.390833976833967</c:v>
                </c:pt>
                <c:pt idx="1165">
                  <c:v>39.390833976833967</c:v>
                </c:pt>
                <c:pt idx="1166">
                  <c:v>38.390833976833967</c:v>
                </c:pt>
                <c:pt idx="1167">
                  <c:v>39.260833976833965</c:v>
                </c:pt>
                <c:pt idx="1168">
                  <c:v>40.120833976833964</c:v>
                </c:pt>
                <c:pt idx="1169">
                  <c:v>39.120833976833964</c:v>
                </c:pt>
                <c:pt idx="1170">
                  <c:v>38.120833976833964</c:v>
                </c:pt>
                <c:pt idx="1171">
                  <c:v>37.120833976833964</c:v>
                </c:pt>
                <c:pt idx="1172">
                  <c:v>38.030833976833961</c:v>
                </c:pt>
                <c:pt idx="1173">
                  <c:v>37.030833976833961</c:v>
                </c:pt>
                <c:pt idx="1174">
                  <c:v>36.030833976833961</c:v>
                </c:pt>
                <c:pt idx="1175">
                  <c:v>35.030833976833961</c:v>
                </c:pt>
                <c:pt idx="1176">
                  <c:v>35.860833976833959</c:v>
                </c:pt>
                <c:pt idx="1177">
                  <c:v>34.860833976833959</c:v>
                </c:pt>
                <c:pt idx="1178">
                  <c:v>33.860833976833959</c:v>
                </c:pt>
                <c:pt idx="1179">
                  <c:v>32.860833976833959</c:v>
                </c:pt>
                <c:pt idx="1180">
                  <c:v>31.860833976833959</c:v>
                </c:pt>
                <c:pt idx="1181">
                  <c:v>30.860833976833959</c:v>
                </c:pt>
                <c:pt idx="1182">
                  <c:v>29.860833976833959</c:v>
                </c:pt>
                <c:pt idx="1183">
                  <c:v>28.860833976833959</c:v>
                </c:pt>
                <c:pt idx="1184">
                  <c:v>27.860833976833959</c:v>
                </c:pt>
                <c:pt idx="1185">
                  <c:v>26.860833976833959</c:v>
                </c:pt>
                <c:pt idx="1186">
                  <c:v>25.860833976833959</c:v>
                </c:pt>
                <c:pt idx="1187">
                  <c:v>24.860833976833959</c:v>
                </c:pt>
                <c:pt idx="1188">
                  <c:v>26.00383397683396</c:v>
                </c:pt>
                <c:pt idx="1189">
                  <c:v>25.00383397683396</c:v>
                </c:pt>
                <c:pt idx="1190">
                  <c:v>27.603833976833961</c:v>
                </c:pt>
                <c:pt idx="1191">
                  <c:v>26.603833976833961</c:v>
                </c:pt>
                <c:pt idx="1192">
                  <c:v>25.603833976833961</c:v>
                </c:pt>
                <c:pt idx="1193">
                  <c:v>24.603833976833961</c:v>
                </c:pt>
                <c:pt idx="1194">
                  <c:v>23.603833976833961</c:v>
                </c:pt>
                <c:pt idx="1195">
                  <c:v>22.603833976833961</c:v>
                </c:pt>
                <c:pt idx="1196">
                  <c:v>21.603833976833961</c:v>
                </c:pt>
                <c:pt idx="1197">
                  <c:v>20.603833976833961</c:v>
                </c:pt>
                <c:pt idx="1198">
                  <c:v>19.603833976833961</c:v>
                </c:pt>
                <c:pt idx="1199">
                  <c:v>20.50383397683396</c:v>
                </c:pt>
                <c:pt idx="1200">
                  <c:v>19.50383397683396</c:v>
                </c:pt>
                <c:pt idx="1201">
                  <c:v>18.50383397683396</c:v>
                </c:pt>
                <c:pt idx="1202">
                  <c:v>17.50383397683396</c:v>
                </c:pt>
                <c:pt idx="1203">
                  <c:v>16.50383397683396</c:v>
                </c:pt>
                <c:pt idx="1204">
                  <c:v>15.50383397683396</c:v>
                </c:pt>
                <c:pt idx="1205">
                  <c:v>16.41383397683396</c:v>
                </c:pt>
                <c:pt idx="1206">
                  <c:v>15.41383397683396</c:v>
                </c:pt>
                <c:pt idx="1207">
                  <c:v>16.41383397683396</c:v>
                </c:pt>
                <c:pt idx="1208">
                  <c:v>15.41383397683396</c:v>
                </c:pt>
                <c:pt idx="1209">
                  <c:v>14.41383397683396</c:v>
                </c:pt>
                <c:pt idx="1210">
                  <c:v>13.41383397683396</c:v>
                </c:pt>
                <c:pt idx="1211">
                  <c:v>12.41383397683396</c:v>
                </c:pt>
                <c:pt idx="1212">
                  <c:v>11.41383397683396</c:v>
                </c:pt>
                <c:pt idx="1213">
                  <c:v>12.30383397683396</c:v>
                </c:pt>
                <c:pt idx="1214">
                  <c:v>13.193833976833961</c:v>
                </c:pt>
                <c:pt idx="1215">
                  <c:v>12.193833976833961</c:v>
                </c:pt>
                <c:pt idx="1216">
                  <c:v>13.093833976833961</c:v>
                </c:pt>
                <c:pt idx="1217">
                  <c:v>14.323833976833962</c:v>
                </c:pt>
                <c:pt idx="1218">
                  <c:v>15.483833976833962</c:v>
                </c:pt>
                <c:pt idx="1219">
                  <c:v>16.64383397683396</c:v>
                </c:pt>
                <c:pt idx="1220">
                  <c:v>17.475833976833961</c:v>
                </c:pt>
                <c:pt idx="1221">
                  <c:v>16.475833976833961</c:v>
                </c:pt>
                <c:pt idx="1222">
                  <c:v>17.33583397683396</c:v>
                </c:pt>
                <c:pt idx="1223">
                  <c:v>18.205833976833961</c:v>
                </c:pt>
                <c:pt idx="1224">
                  <c:v>19.10583397683396</c:v>
                </c:pt>
                <c:pt idx="1225">
                  <c:v>18.10583397683396</c:v>
                </c:pt>
                <c:pt idx="1226">
                  <c:v>17.10583397683396</c:v>
                </c:pt>
                <c:pt idx="1227">
                  <c:v>16.10583397683396</c:v>
                </c:pt>
                <c:pt idx="1228">
                  <c:v>16.94583397683396</c:v>
                </c:pt>
                <c:pt idx="1229">
                  <c:v>15.94583397683396</c:v>
                </c:pt>
                <c:pt idx="1230">
                  <c:v>14.94583397683396</c:v>
                </c:pt>
                <c:pt idx="1231">
                  <c:v>13.94583397683396</c:v>
                </c:pt>
                <c:pt idx="1232">
                  <c:v>12.94583397683396</c:v>
                </c:pt>
                <c:pt idx="1233">
                  <c:v>11.94583397683396</c:v>
                </c:pt>
                <c:pt idx="1234">
                  <c:v>12.83583397683396</c:v>
                </c:pt>
                <c:pt idx="1235">
                  <c:v>13.75583397683396</c:v>
                </c:pt>
                <c:pt idx="1236">
                  <c:v>14.655833976833961</c:v>
                </c:pt>
                <c:pt idx="1237">
                  <c:v>13.655833976833961</c:v>
                </c:pt>
                <c:pt idx="1238">
                  <c:v>12.655833976833961</c:v>
                </c:pt>
                <c:pt idx="1239">
                  <c:v>11.655833976833961</c:v>
                </c:pt>
                <c:pt idx="1240">
                  <c:v>10.655833976833961</c:v>
                </c:pt>
                <c:pt idx="1241">
                  <c:v>9.6558339768339607</c:v>
                </c:pt>
                <c:pt idx="1242">
                  <c:v>10.543833976833961</c:v>
                </c:pt>
                <c:pt idx="1243">
                  <c:v>9.5438339768339606</c:v>
                </c:pt>
                <c:pt idx="1244">
                  <c:v>8.5438339768339606</c:v>
                </c:pt>
                <c:pt idx="1245">
                  <c:v>7.5438339768339606</c:v>
                </c:pt>
                <c:pt idx="1246">
                  <c:v>8.4238339768339614</c:v>
                </c:pt>
                <c:pt idx="1247">
                  <c:v>9.3788339768339615</c:v>
                </c:pt>
                <c:pt idx="1248">
                  <c:v>8.3788339768339615</c:v>
                </c:pt>
                <c:pt idx="1249">
                  <c:v>7.3788339768339615</c:v>
                </c:pt>
                <c:pt idx="1250">
                  <c:v>8.2788339768339618</c:v>
                </c:pt>
                <c:pt idx="1251">
                  <c:v>9.1688339768339624</c:v>
                </c:pt>
                <c:pt idx="1252">
                  <c:v>8.1688339768339624</c:v>
                </c:pt>
                <c:pt idx="1253">
                  <c:v>7.1688339768339624</c:v>
                </c:pt>
                <c:pt idx="1254">
                  <c:v>8.9238339768339614</c:v>
                </c:pt>
                <c:pt idx="1255">
                  <c:v>7.9238339768339614</c:v>
                </c:pt>
                <c:pt idx="1256">
                  <c:v>9.3838339768339623</c:v>
                </c:pt>
                <c:pt idx="1257">
                  <c:v>8.3838339768339623</c:v>
                </c:pt>
                <c:pt idx="1258">
                  <c:v>9.2838339768339626</c:v>
                </c:pt>
                <c:pt idx="1259">
                  <c:v>10.133833976833962</c:v>
                </c:pt>
                <c:pt idx="1260">
                  <c:v>11.033833976833963</c:v>
                </c:pt>
                <c:pt idx="1261">
                  <c:v>10.033833976833963</c:v>
                </c:pt>
                <c:pt idx="1262">
                  <c:v>9.0338339768339626</c:v>
                </c:pt>
                <c:pt idx="1263">
                  <c:v>8.0338339768339626</c:v>
                </c:pt>
                <c:pt idx="1264">
                  <c:v>8.9138339768339634</c:v>
                </c:pt>
                <c:pt idx="1265">
                  <c:v>9.8138339768339637</c:v>
                </c:pt>
                <c:pt idx="1266">
                  <c:v>10.713833976833964</c:v>
                </c:pt>
                <c:pt idx="1267">
                  <c:v>11.583833976833965</c:v>
                </c:pt>
                <c:pt idx="1268">
                  <c:v>12.433833976833965</c:v>
                </c:pt>
                <c:pt idx="1269">
                  <c:v>13.283833976833964</c:v>
                </c:pt>
                <c:pt idx="1270">
                  <c:v>14.163833976833963</c:v>
                </c:pt>
                <c:pt idx="1271">
                  <c:v>15.053833976833964</c:v>
                </c:pt>
                <c:pt idx="1272">
                  <c:v>15.943833976833965</c:v>
                </c:pt>
                <c:pt idx="1273">
                  <c:v>16.833833976833965</c:v>
                </c:pt>
                <c:pt idx="1274">
                  <c:v>15.833833976833965</c:v>
                </c:pt>
                <c:pt idx="1275">
                  <c:v>16.713833976833964</c:v>
                </c:pt>
                <c:pt idx="1276">
                  <c:v>17.603833976833965</c:v>
                </c:pt>
                <c:pt idx="1277">
                  <c:v>18.503833976833963</c:v>
                </c:pt>
                <c:pt idx="1278">
                  <c:v>19.403833976833962</c:v>
                </c:pt>
                <c:pt idx="1279">
                  <c:v>20.283833976833961</c:v>
                </c:pt>
                <c:pt idx="1280">
                  <c:v>21.353833976833961</c:v>
                </c:pt>
                <c:pt idx="1281">
                  <c:v>20.353833976833961</c:v>
                </c:pt>
                <c:pt idx="1282">
                  <c:v>19.353833976833961</c:v>
                </c:pt>
                <c:pt idx="1283">
                  <c:v>18.353833976833961</c:v>
                </c:pt>
                <c:pt idx="1284">
                  <c:v>19.17883397683396</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1288</xdr:row>
      <xdr:rowOff>0</xdr:rowOff>
    </xdr:from>
    <xdr:to>
      <xdr:col>10</xdr:col>
      <xdr:colOff>0</xdr:colOff>
      <xdr:row>1308</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112.391369675926"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18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4">
      <pivotArea outline="0" fieldPosition="0">
        <references count="1">
          <reference field="4294967294" count="1" selected="0">
            <x v="1"/>
          </reference>
        </references>
      </pivotArea>
    </format>
    <format dxfId="115">
      <pivotArea outline="0" fieldPosition="0">
        <references count="1">
          <reference field="4294967294" count="1" selected="0">
            <x v="3"/>
          </reference>
        </references>
      </pivotArea>
    </format>
    <format dxfId="116">
      <pivotArea dataOnly="0" labelOnly="1" outline="0" fieldPosition="0">
        <references count="1">
          <reference field="4294967294" count="1">
            <x v="3"/>
          </reference>
        </references>
      </pivotArea>
    </format>
    <format dxfId="117">
      <pivotArea outline="0" fieldPosition="0">
        <references count="1">
          <reference field="4294967294" count="1" selected="0">
            <x v="5"/>
          </reference>
        </references>
      </pivotArea>
    </format>
    <format dxfId="118">
      <pivotArea dataOnly="0" labelOnly="1" outline="0" fieldPosition="0">
        <references count="1">
          <reference field="4294967294" count="1">
            <x v="5"/>
          </reference>
        </references>
      </pivotArea>
    </format>
    <format dxfId="119">
      <pivotArea outline="0" fieldPosition="0">
        <references count="1">
          <reference field="4294967294" count="1" selected="0">
            <x v="7"/>
          </reference>
        </references>
      </pivotArea>
    </format>
    <format dxfId="120">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343"/>
  <sheetViews>
    <sheetView tabSelected="1" topLeftCell="A1282" workbookViewId="0">
      <selection activeCell="C1270" sqref="C1270:C1286"/>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30">
        <v>45992</v>
      </c>
      <c r="C2" s="471">
        <v>1</v>
      </c>
      <c r="D2" s="465"/>
      <c r="E2" s="465">
        <f t="shared" ref="E2:E65" si="0">(C2*D2)-C2</f>
        <v>-1</v>
      </c>
      <c r="F2" s="466">
        <f>SUM($E$2:E2)/SUM($C$2:C2)</f>
        <v>-1</v>
      </c>
      <c r="G2" s="465">
        <f>E2</f>
        <v>-1</v>
      </c>
      <c r="H2" s="475" t="s">
        <v>10</v>
      </c>
      <c r="I2" s="2"/>
      <c r="J2" s="2"/>
      <c r="K2" s="2"/>
      <c r="O2" s="58"/>
      <c r="P2" s="58"/>
    </row>
    <row r="3" spans="1:16">
      <c r="A3"/>
      <c r="B3" s="530"/>
      <c r="C3" s="468">
        <v>1</v>
      </c>
      <c r="D3" s="37">
        <v>2</v>
      </c>
      <c r="E3" s="37">
        <f t="shared" si="0"/>
        <v>1</v>
      </c>
      <c r="F3" s="47">
        <f>SUM($E$2:E3)/SUM($C$2:C3)</f>
        <v>0</v>
      </c>
      <c r="G3" s="37">
        <f t="shared" ref="G3:G47" si="1">G2+E3</f>
        <v>0</v>
      </c>
      <c r="H3" s="472" t="s">
        <v>11</v>
      </c>
      <c r="I3" s="2"/>
      <c r="J3" s="2"/>
      <c r="K3" s="2"/>
      <c r="O3" s="58"/>
      <c r="P3" s="58"/>
    </row>
    <row r="4" spans="1:16">
      <c r="A4"/>
      <c r="B4" s="530"/>
      <c r="C4" s="468">
        <v>1</v>
      </c>
      <c r="D4" s="37">
        <v>1.8</v>
      </c>
      <c r="E4" s="37">
        <f t="shared" si="0"/>
        <v>0.8</v>
      </c>
      <c r="F4" s="47">
        <f>SUM($E$2:E4)/SUM($C$2:C4)</f>
        <v>0.26666666666666666</v>
      </c>
      <c r="G4" s="37">
        <f t="shared" si="1"/>
        <v>0.8</v>
      </c>
      <c r="H4" s="472" t="s">
        <v>12</v>
      </c>
      <c r="I4" s="2"/>
      <c r="J4" s="2"/>
      <c r="K4" s="2"/>
      <c r="O4" s="58"/>
      <c r="P4" s="58"/>
    </row>
    <row r="5" spans="1:16">
      <c r="A5"/>
      <c r="B5" s="530"/>
      <c r="C5" s="468">
        <v>1</v>
      </c>
      <c r="D5" s="37">
        <v>1.91</v>
      </c>
      <c r="E5" s="37">
        <f t="shared" si="0"/>
        <v>0.90999999999999992</v>
      </c>
      <c r="F5" s="47">
        <f>SUM($E$2:E5)/SUM($C$2:C5)</f>
        <v>0.42749999999999999</v>
      </c>
      <c r="G5" s="37">
        <f t="shared" si="1"/>
        <v>1.71</v>
      </c>
      <c r="H5" s="472" t="s">
        <v>13</v>
      </c>
      <c r="I5" s="2"/>
      <c r="J5" s="2"/>
      <c r="K5" s="2"/>
      <c r="O5" s="58"/>
      <c r="P5" s="58"/>
    </row>
    <row r="6" spans="1:16">
      <c r="A6"/>
      <c r="B6" s="530"/>
      <c r="C6" s="468">
        <v>1</v>
      </c>
      <c r="D6" s="37">
        <v>1.9</v>
      </c>
      <c r="E6" s="37">
        <f t="shared" si="0"/>
        <v>0.89999999999999991</v>
      </c>
      <c r="F6" s="47">
        <f>SUM($E$2:E6)/SUM($C$2:C6)</f>
        <v>0.52200000000000002</v>
      </c>
      <c r="G6" s="37">
        <f t="shared" si="1"/>
        <v>2.61</v>
      </c>
      <c r="H6" s="472" t="s">
        <v>14</v>
      </c>
      <c r="I6" s="2"/>
      <c r="J6" s="2"/>
      <c r="K6" s="2"/>
      <c r="O6" s="58"/>
      <c r="P6" s="58"/>
    </row>
    <row r="7" spans="1:16">
      <c r="A7"/>
      <c r="B7" s="530"/>
      <c r="C7" s="468">
        <v>1</v>
      </c>
      <c r="D7" s="37">
        <v>1.9</v>
      </c>
      <c r="E7" s="37">
        <f t="shared" si="0"/>
        <v>0.89999999999999991</v>
      </c>
      <c r="F7" s="47">
        <f>SUM($E$2:E7)/SUM($C$2:C7)</f>
        <v>0.58499999999999996</v>
      </c>
      <c r="G7" s="37">
        <f t="shared" si="1"/>
        <v>3.51</v>
      </c>
      <c r="H7" s="472" t="s">
        <v>15</v>
      </c>
      <c r="I7" s="2"/>
      <c r="J7" s="2"/>
      <c r="K7" s="2"/>
      <c r="O7" s="58"/>
      <c r="P7" s="58"/>
    </row>
    <row r="8" spans="1:16">
      <c r="A8"/>
      <c r="B8" s="530"/>
      <c r="C8" s="510">
        <v>1</v>
      </c>
      <c r="D8" s="38">
        <v>1.9</v>
      </c>
      <c r="E8" s="38">
        <f t="shared" si="0"/>
        <v>0.89999999999999991</v>
      </c>
      <c r="F8" s="59">
        <f>SUM($E$2:E8)/SUM($C$2:C8)</f>
        <v>0.63</v>
      </c>
      <c r="G8" s="38">
        <f t="shared" si="1"/>
        <v>4.41</v>
      </c>
      <c r="H8" s="469" t="s">
        <v>16</v>
      </c>
      <c r="I8" s="2"/>
      <c r="J8" s="2"/>
      <c r="K8" s="2"/>
      <c r="O8" s="58"/>
      <c r="P8" s="58"/>
    </row>
    <row r="9" spans="1:16">
      <c r="A9"/>
      <c r="B9" s="530"/>
      <c r="C9" s="471">
        <v>1</v>
      </c>
      <c r="D9" s="465"/>
      <c r="E9" s="465">
        <f t="shared" si="0"/>
        <v>-1</v>
      </c>
      <c r="F9" s="466">
        <f>SUM($E$2:E9)/SUM($C$2:C9)</f>
        <v>0.42625000000000002</v>
      </c>
      <c r="G9" s="465">
        <f t="shared" si="1"/>
        <v>3.41</v>
      </c>
      <c r="H9" s="475" t="s">
        <v>17</v>
      </c>
      <c r="I9" s="2"/>
      <c r="J9" s="2"/>
      <c r="K9" s="2"/>
      <c r="O9" s="58"/>
      <c r="P9" s="58"/>
    </row>
    <row r="10" spans="1:16">
      <c r="A10"/>
      <c r="B10" s="530"/>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30"/>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30"/>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30"/>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30"/>
      <c r="C14" s="510">
        <v>1</v>
      </c>
      <c r="D14" s="38"/>
      <c r="E14" s="38">
        <f t="shared" si="0"/>
        <v>-1</v>
      </c>
      <c r="F14" s="59">
        <f>SUM($E$2:E14)/SUM($C$2:C14)</f>
        <v>0.45184615384615395</v>
      </c>
      <c r="G14" s="38">
        <f t="shared" si="1"/>
        <v>5.8740000000000014</v>
      </c>
      <c r="H14" s="469" t="s">
        <v>22</v>
      </c>
      <c r="I14" s="2"/>
      <c r="J14" s="2"/>
      <c r="K14" s="2"/>
      <c r="O14" s="58"/>
      <c r="P14" s="58"/>
    </row>
    <row r="15" spans="1:16">
      <c r="A15"/>
      <c r="B15" s="530"/>
      <c r="C15" s="471">
        <v>1</v>
      </c>
      <c r="D15" s="465"/>
      <c r="E15" s="465">
        <f t="shared" si="0"/>
        <v>-1</v>
      </c>
      <c r="F15" s="466">
        <f>SUM($E$2:E15)/SUM($C$2:C15)</f>
        <v>0.34814285714285725</v>
      </c>
      <c r="G15" s="465">
        <f t="shared" si="1"/>
        <v>4.8740000000000014</v>
      </c>
      <c r="H15" s="475" t="s">
        <v>23</v>
      </c>
      <c r="I15" s="2"/>
      <c r="J15" s="2"/>
      <c r="K15" s="2"/>
      <c r="O15" s="58"/>
      <c r="P15" s="58"/>
    </row>
    <row r="16" spans="1:16">
      <c r="A16"/>
      <c r="B16" s="530"/>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30"/>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30"/>
      <c r="C18" s="468">
        <v>1</v>
      </c>
      <c r="D18" s="37"/>
      <c r="E18" s="37">
        <f t="shared" si="0"/>
        <v>-1</v>
      </c>
      <c r="F18" s="47">
        <f>SUM($E$2:E18)/SUM($C$2:C18)</f>
        <v>0.31282352941176478</v>
      </c>
      <c r="G18" s="37">
        <f t="shared" si="1"/>
        <v>5.3180000000000014</v>
      </c>
      <c r="H18" s="472" t="s">
        <v>26</v>
      </c>
      <c r="I18" s="2"/>
      <c r="J18" s="2"/>
      <c r="K18" s="2"/>
      <c r="O18" s="58"/>
      <c r="P18" s="58"/>
    </row>
    <row r="19" spans="1:16">
      <c r="A19"/>
      <c r="B19" s="530"/>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30"/>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30"/>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9">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30"/>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30"/>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30"/>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30"/>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30"/>
      <c r="C27" s="471">
        <v>1</v>
      </c>
      <c r="D27" s="465"/>
      <c r="E27" s="465">
        <f t="shared" si="0"/>
        <v>-1</v>
      </c>
      <c r="F27" s="466">
        <f>SUM($E$2:E27)/SUM($C$2:C27)</f>
        <v>0.341423076923077</v>
      </c>
      <c r="G27" s="465">
        <f t="shared" si="1"/>
        <v>8.8770000000000024</v>
      </c>
      <c r="H27" s="475" t="s">
        <v>34</v>
      </c>
      <c r="I27" s="2"/>
      <c r="J27" s="2"/>
      <c r="K27" s="2"/>
      <c r="O27" s="58"/>
      <c r="P27" s="58"/>
    </row>
    <row r="28" spans="1:16">
      <c r="A28"/>
      <c r="B28" s="530"/>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30"/>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30"/>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30"/>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30"/>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30"/>
      <c r="C33" s="471">
        <v>1</v>
      </c>
      <c r="D33" s="465"/>
      <c r="E33" s="465">
        <f t="shared" si="0"/>
        <v>-1</v>
      </c>
      <c r="F33" s="466">
        <f>SUM($E$2:E33)/SUM($C$2:C33)</f>
        <v>0.3860312500000001</v>
      </c>
      <c r="G33" s="465">
        <f t="shared" si="1"/>
        <v>12.353000000000003</v>
      </c>
      <c r="H33" s="475" t="s">
        <v>40</v>
      </c>
      <c r="I33" s="2"/>
      <c r="J33" s="2"/>
      <c r="K33" s="2"/>
      <c r="O33" s="58"/>
      <c r="P33" s="58"/>
    </row>
    <row r="34" spans="1:16">
      <c r="A34"/>
      <c r="B34" s="530"/>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30"/>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30"/>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30"/>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30"/>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9">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30"/>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30"/>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30"/>
      <c r="C42" s="468">
        <v>1</v>
      </c>
      <c r="D42" s="37"/>
      <c r="E42" s="37">
        <f t="shared" si="0"/>
        <v>-1</v>
      </c>
      <c r="F42" s="47">
        <f>SUM($E$2:E42)/SUM($C$2:C42)</f>
        <v>0.42753658536585376</v>
      </c>
      <c r="G42" s="37">
        <f t="shared" si="1"/>
        <v>17.529000000000003</v>
      </c>
      <c r="H42" s="472" t="s">
        <v>46</v>
      </c>
      <c r="I42" s="2"/>
      <c r="J42" s="2"/>
      <c r="K42" s="2"/>
      <c r="O42" s="58"/>
      <c r="P42" s="58"/>
    </row>
    <row r="43" spans="1:16">
      <c r="A43"/>
      <c r="B43" s="530"/>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30"/>
      <c r="C44" s="468">
        <v>1</v>
      </c>
      <c r="D44" s="37"/>
      <c r="E44" s="37">
        <f t="shared" si="0"/>
        <v>-1</v>
      </c>
      <c r="F44" s="47">
        <f>SUM($E$2:E44)/SUM($C$2:C44)</f>
        <v>0.40444186046511638</v>
      </c>
      <c r="G44" s="37">
        <f t="shared" si="1"/>
        <v>17.391000000000005</v>
      </c>
      <c r="H44" s="472" t="s">
        <v>47</v>
      </c>
      <c r="I44" s="2"/>
      <c r="J44" s="2"/>
      <c r="K44" s="2"/>
      <c r="O44" s="58"/>
      <c r="P44" s="58"/>
    </row>
    <row r="45" spans="1:16">
      <c r="A45"/>
      <c r="B45" s="530"/>
      <c r="C45" s="512">
        <v>1</v>
      </c>
      <c r="D45" s="40"/>
      <c r="E45" s="40">
        <f t="shared" si="0"/>
        <v>-1</v>
      </c>
      <c r="F45" s="48">
        <f>SUM($E$2:E45)/SUM($C$2:C45)</f>
        <v>0.37252272727272739</v>
      </c>
      <c r="G45" s="40">
        <f t="shared" si="1"/>
        <v>16.391000000000005</v>
      </c>
      <c r="H45" s="467" t="s">
        <v>48</v>
      </c>
      <c r="I45" s="2"/>
      <c r="J45" s="2"/>
      <c r="K45" s="2"/>
      <c r="O45" s="58"/>
      <c r="P45" s="58"/>
    </row>
    <row r="46" spans="1:16">
      <c r="A46"/>
      <c r="B46" s="532"/>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2"/>
      <c r="C47" s="514">
        <v>1</v>
      </c>
      <c r="D47" s="37"/>
      <c r="E47" s="37">
        <f t="shared" si="0"/>
        <v>-1</v>
      </c>
      <c r="F47" s="47">
        <f>SUM($E$2:E47)/SUM($C$2:C47)</f>
        <v>0.3533260869565219</v>
      </c>
      <c r="G47" s="37">
        <f t="shared" si="1"/>
        <v>16.253000000000007</v>
      </c>
      <c r="H47" s="472" t="s">
        <v>10</v>
      </c>
      <c r="I47" s="2"/>
      <c r="J47" s="2"/>
      <c r="K47" s="2"/>
      <c r="O47" s="58"/>
      <c r="P47" s="58"/>
    </row>
    <row r="48" spans="1:16">
      <c r="A48"/>
      <c r="B48" s="532"/>
      <c r="C48" s="514">
        <v>1</v>
      </c>
      <c r="D48" s="37"/>
      <c r="E48" s="37">
        <f t="shared" si="0"/>
        <v>-1</v>
      </c>
      <c r="F48" s="47">
        <f>SUM($E$2:E48)/SUM($C$2:C48)</f>
        <v>0.32453191489361716</v>
      </c>
      <c r="G48" s="37">
        <f>G47+E48</f>
        <v>15.253000000000007</v>
      </c>
      <c r="H48" s="472" t="s">
        <v>49</v>
      </c>
      <c r="I48" s="2"/>
      <c r="J48" s="2"/>
      <c r="K48" s="2"/>
      <c r="O48" s="58"/>
      <c r="P48" s="58"/>
    </row>
    <row r="49" spans="1:16">
      <c r="A49"/>
      <c r="B49" s="532"/>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30"/>
      <c r="C50" s="471">
        <v>1</v>
      </c>
      <c r="D50" s="465"/>
      <c r="E50" s="465">
        <f t="shared" si="0"/>
        <v>-1</v>
      </c>
      <c r="F50" s="466">
        <f>SUM($E$2:E50)/SUM($C$2:C50)</f>
        <v>0.27046938775510221</v>
      </c>
      <c r="G50" s="465">
        <f t="shared" si="2"/>
        <v>13.253000000000007</v>
      </c>
      <c r="H50" s="475" t="s">
        <v>51</v>
      </c>
      <c r="I50" s="2"/>
      <c r="J50" s="2"/>
      <c r="K50" s="2"/>
      <c r="O50" s="58"/>
      <c r="P50" s="58"/>
    </row>
    <row r="51" spans="1:16">
      <c r="A51"/>
      <c r="B51" s="530"/>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30"/>
      <c r="C52" s="468">
        <v>1</v>
      </c>
      <c r="D52" s="37"/>
      <c r="E52" s="37">
        <f t="shared" si="0"/>
        <v>-1</v>
      </c>
      <c r="F52" s="47">
        <f>SUM($E$2:E52)/SUM($C$2:C52)</f>
        <v>0.25421568627450997</v>
      </c>
      <c r="G52" s="37">
        <f t="shared" si="2"/>
        <v>12.965000000000007</v>
      </c>
      <c r="H52" s="472" t="s">
        <v>53</v>
      </c>
      <c r="I52" s="2"/>
      <c r="J52" s="2"/>
      <c r="K52" s="2"/>
      <c r="O52" s="58"/>
      <c r="P52" s="58"/>
    </row>
    <row r="53" spans="1:16">
      <c r="A53"/>
      <c r="B53" s="530"/>
      <c r="C53" s="468">
        <v>1</v>
      </c>
      <c r="D53" s="37"/>
      <c r="E53" s="37">
        <f t="shared" si="0"/>
        <v>-1</v>
      </c>
      <c r="F53" s="47">
        <f>SUM($E$2:E53)/SUM($C$2:C53)</f>
        <v>0.23009615384615398</v>
      </c>
      <c r="G53" s="37">
        <f t="shared" si="2"/>
        <v>11.965000000000007</v>
      </c>
      <c r="H53" s="472" t="s">
        <v>54</v>
      </c>
      <c r="I53" s="2"/>
      <c r="J53" s="2"/>
      <c r="K53" s="2"/>
      <c r="O53" s="58"/>
      <c r="P53" s="58"/>
    </row>
    <row r="54" spans="1:16">
      <c r="A54"/>
      <c r="B54" s="530"/>
      <c r="C54" s="468">
        <v>1</v>
      </c>
      <c r="D54" s="37"/>
      <c r="E54" s="37">
        <f t="shared" si="0"/>
        <v>-1</v>
      </c>
      <c r="F54" s="47">
        <f>SUM($E$2:E54)/SUM($C$2:C54)</f>
        <v>0.20688679245283031</v>
      </c>
      <c r="G54" s="37">
        <f t="shared" si="2"/>
        <v>10.965000000000007</v>
      </c>
      <c r="H54" s="472" t="s">
        <v>55</v>
      </c>
      <c r="I54" s="2"/>
      <c r="J54" s="2"/>
      <c r="K54" s="2"/>
      <c r="O54" s="58"/>
      <c r="P54" s="58"/>
    </row>
    <row r="55" spans="1:16">
      <c r="A55"/>
      <c r="B55" s="530"/>
      <c r="C55" s="468">
        <v>1</v>
      </c>
      <c r="D55" s="37"/>
      <c r="E55" s="37">
        <f t="shared" si="0"/>
        <v>-1</v>
      </c>
      <c r="F55" s="47">
        <f>SUM($E$2:E55)/SUM($C$2:C55)</f>
        <v>0.18453703703703717</v>
      </c>
      <c r="G55" s="37">
        <f t="shared" si="2"/>
        <v>9.965000000000007</v>
      </c>
      <c r="H55" s="472" t="s">
        <v>56</v>
      </c>
      <c r="I55" s="2"/>
      <c r="J55" s="2"/>
      <c r="K55" s="2"/>
      <c r="O55" s="58"/>
      <c r="P55" s="58"/>
    </row>
    <row r="56" spans="1:16">
      <c r="A56"/>
      <c r="B56" s="530"/>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9">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30"/>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30"/>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30"/>
      <c r="C60" s="471">
        <v>1</v>
      </c>
      <c r="D60" s="465"/>
      <c r="E60" s="465">
        <f t="shared" si="0"/>
        <v>-1</v>
      </c>
      <c r="F60" s="466">
        <f>SUM($E$2:E60)/SUM($C$2:C60)</f>
        <v>0.14632203389830523</v>
      </c>
      <c r="G60" s="465">
        <f t="shared" si="2"/>
        <v>8.633000000000008</v>
      </c>
      <c r="H60" s="475" t="s">
        <v>34</v>
      </c>
      <c r="I60" s="2"/>
      <c r="J60" s="2"/>
      <c r="K60" s="2"/>
      <c r="O60" s="58"/>
      <c r="P60" s="58"/>
    </row>
    <row r="61" spans="1:16">
      <c r="A61"/>
      <c r="B61" s="530"/>
      <c r="C61" s="468">
        <v>1</v>
      </c>
      <c r="D61" s="37"/>
      <c r="E61" s="37">
        <f t="shared" si="0"/>
        <v>-1</v>
      </c>
      <c r="F61" s="47">
        <f>SUM($E$2:E61)/SUM($C$2:C61)</f>
        <v>0.12721666666666681</v>
      </c>
      <c r="G61" s="37">
        <f t="shared" si="2"/>
        <v>7.633000000000008</v>
      </c>
      <c r="H61" s="472" t="s">
        <v>19</v>
      </c>
      <c r="I61" s="2"/>
      <c r="J61" s="2"/>
      <c r="K61" s="2"/>
      <c r="O61" s="58"/>
      <c r="P61" s="58"/>
    </row>
    <row r="62" spans="1:16">
      <c r="A62"/>
      <c r="B62" s="530"/>
      <c r="C62" s="468">
        <v>1</v>
      </c>
      <c r="D62" s="37"/>
      <c r="E62" s="37">
        <f t="shared" si="0"/>
        <v>-1</v>
      </c>
      <c r="F62" s="47">
        <f>SUM($E$2:E62)/SUM($C$2:C62)</f>
        <v>0.10873770491803292</v>
      </c>
      <c r="G62" s="37">
        <f t="shared" si="2"/>
        <v>6.633000000000008</v>
      </c>
      <c r="H62" s="472" t="s">
        <v>20</v>
      </c>
      <c r="I62" s="2"/>
      <c r="J62" s="2"/>
      <c r="K62" s="2"/>
      <c r="O62" s="58"/>
      <c r="P62" s="58"/>
    </row>
    <row r="63" spans="1:16">
      <c r="A63"/>
      <c r="B63" s="530"/>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30"/>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30"/>
      <c r="C65" s="471">
        <v>1</v>
      </c>
      <c r="D65" s="465"/>
      <c r="E65" s="465">
        <f t="shared" si="0"/>
        <v>-1</v>
      </c>
      <c r="F65" s="466">
        <f>SUM($E$2:E65)/SUM($C$2:C65)</f>
        <v>0.11614062500000014</v>
      </c>
      <c r="G65" s="465">
        <f t="shared" si="2"/>
        <v>7.4330000000000087</v>
      </c>
      <c r="H65" s="475" t="s">
        <v>58</v>
      </c>
      <c r="I65" s="2"/>
      <c r="J65" s="2"/>
      <c r="K65" s="2"/>
      <c r="O65" s="58"/>
      <c r="P65" s="58"/>
    </row>
    <row r="66" spans="1:16">
      <c r="A66"/>
      <c r="B66" s="530"/>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30"/>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30"/>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30"/>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9">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30"/>
      <c r="C71" s="468">
        <v>1</v>
      </c>
      <c r="D71" s="37"/>
      <c r="E71" s="37">
        <f t="shared" si="3"/>
        <v>-1</v>
      </c>
      <c r="F71" s="47">
        <f>SUM($E$2:E71)/SUM($C$2:C71)</f>
        <v>0.12018571428571441</v>
      </c>
      <c r="G71" s="37">
        <f t="shared" si="2"/>
        <v>8.4130000000000091</v>
      </c>
      <c r="H71" s="472" t="s">
        <v>38</v>
      </c>
      <c r="I71" s="2"/>
      <c r="J71" s="2"/>
      <c r="K71" s="2"/>
      <c r="O71" s="58"/>
      <c r="P71" s="58"/>
    </row>
    <row r="72" spans="1:16">
      <c r="A72"/>
      <c r="B72" s="530"/>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30"/>
      <c r="C73" s="468">
        <v>1</v>
      </c>
      <c r="D73" s="37">
        <v>1.8</v>
      </c>
      <c r="E73" s="37">
        <f t="shared" si="3"/>
        <v>0.8</v>
      </c>
      <c r="F73" s="47">
        <f>SUM($E$2:E73)/SUM($C$2:C73)</f>
        <v>0.1399305555555557</v>
      </c>
      <c r="G73" s="37">
        <f t="shared" si="2"/>
        <v>10.07500000000001</v>
      </c>
      <c r="H73" s="472" t="s">
        <v>21</v>
      </c>
      <c r="I73" s="2"/>
      <c r="J73" s="2"/>
      <c r="K73" s="2"/>
      <c r="O73" s="58"/>
      <c r="P73" s="58"/>
    </row>
    <row r="74" spans="1:16">
      <c r="A74"/>
      <c r="B74" s="530"/>
      <c r="C74" s="468">
        <v>1</v>
      </c>
      <c r="D74" s="37"/>
      <c r="E74" s="37">
        <f t="shared" si="3"/>
        <v>-1</v>
      </c>
      <c r="F74" s="47">
        <f>SUM($E$2:E74)/SUM($C$2:C74)</f>
        <v>0.12431506849315083</v>
      </c>
      <c r="G74" s="37">
        <f t="shared" si="2"/>
        <v>9.0750000000000099</v>
      </c>
      <c r="H74" s="472" t="s">
        <v>46</v>
      </c>
      <c r="I74" s="2"/>
      <c r="J74" s="2"/>
      <c r="K74" s="2"/>
      <c r="O74" s="58"/>
      <c r="P74" s="58"/>
    </row>
    <row r="75" spans="1:16">
      <c r="A75"/>
      <c r="B75" s="530"/>
      <c r="C75" s="468">
        <v>1</v>
      </c>
      <c r="D75" s="37"/>
      <c r="E75" s="37">
        <f t="shared" si="3"/>
        <v>-1</v>
      </c>
      <c r="F75" s="47">
        <f>SUM($E$2:E75)/SUM($C$2:C75)</f>
        <v>0.10912162162162176</v>
      </c>
      <c r="G75" s="37">
        <f t="shared" si="2"/>
        <v>8.0750000000000099</v>
      </c>
      <c r="H75" s="472" t="s">
        <v>16</v>
      </c>
      <c r="I75" s="2"/>
      <c r="J75" s="2"/>
      <c r="K75" s="2"/>
      <c r="O75" s="58"/>
      <c r="P75" s="58"/>
    </row>
    <row r="76" spans="1:16">
      <c r="A76"/>
      <c r="B76" s="530"/>
      <c r="C76" s="468">
        <v>1</v>
      </c>
      <c r="D76" s="37"/>
      <c r="E76" s="37">
        <f t="shared" si="3"/>
        <v>-1</v>
      </c>
      <c r="F76" s="47">
        <f>SUM($E$2:E76)/SUM($C$2:C76)</f>
        <v>9.4333333333333463E-2</v>
      </c>
      <c r="G76" s="37">
        <f t="shared" si="2"/>
        <v>7.0750000000000099</v>
      </c>
      <c r="H76" s="472" t="s">
        <v>12</v>
      </c>
      <c r="I76" s="2"/>
      <c r="J76" s="2"/>
      <c r="K76" s="2"/>
      <c r="O76" s="58"/>
      <c r="P76" s="58"/>
    </row>
    <row r="77" spans="1:16">
      <c r="A77"/>
      <c r="B77" s="530"/>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30"/>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30"/>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30"/>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30"/>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30"/>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30"/>
      <c r="C83" s="468">
        <v>1</v>
      </c>
      <c r="D83" s="37"/>
      <c r="E83" s="37">
        <f t="shared" si="3"/>
        <v>-1</v>
      </c>
      <c r="F83" s="47">
        <f>SUM($E$2:E83)/SUM($C$2:C83)</f>
        <v>0.13869512195121966</v>
      </c>
      <c r="G83" s="37">
        <f t="shared" si="2"/>
        <v>11.373000000000012</v>
      </c>
      <c r="H83" s="472" t="s">
        <v>32</v>
      </c>
      <c r="I83" s="2"/>
      <c r="J83" s="2"/>
      <c r="K83" s="2"/>
      <c r="O83" s="58"/>
      <c r="P83" s="58"/>
    </row>
    <row r="84" spans="1:16">
      <c r="A84"/>
      <c r="B84" s="530"/>
      <c r="C84" s="510">
        <v>1</v>
      </c>
      <c r="D84" s="38"/>
      <c r="E84" s="38">
        <f t="shared" si="3"/>
        <v>-1</v>
      </c>
      <c r="F84" s="59">
        <f>SUM($E$2:E84)/SUM($C$2:C84)</f>
        <v>0.12497590361445797</v>
      </c>
      <c r="G84" s="38">
        <f t="shared" si="2"/>
        <v>10.373000000000012</v>
      </c>
      <c r="H84" s="469" t="s">
        <v>50</v>
      </c>
      <c r="I84" s="2"/>
      <c r="J84" s="2"/>
      <c r="K84" s="2"/>
      <c r="O84" s="58"/>
      <c r="P84" s="58"/>
    </row>
    <row r="85" spans="1:16">
      <c r="A85"/>
      <c r="B85" s="530"/>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30"/>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30"/>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30"/>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30"/>
      <c r="C89" s="468">
        <v>1</v>
      </c>
      <c r="D89" s="37"/>
      <c r="E89" s="37">
        <f t="shared" si="3"/>
        <v>-1</v>
      </c>
      <c r="F89" s="47">
        <f>SUM($E$2:E89)/SUM($C$2:C89)</f>
        <v>0.14060227272727285</v>
      </c>
      <c r="G89" s="37">
        <f t="shared" si="2"/>
        <v>12.373000000000012</v>
      </c>
      <c r="H89" s="472" t="s">
        <v>66</v>
      </c>
      <c r="I89" s="2"/>
      <c r="J89" s="2"/>
      <c r="K89" s="2"/>
      <c r="O89" s="58"/>
      <c r="P89" s="58"/>
    </row>
    <row r="90" spans="1:16">
      <c r="A90"/>
      <c r="B90" s="530"/>
      <c r="C90" s="468">
        <v>1</v>
      </c>
      <c r="D90" s="37"/>
      <c r="E90" s="37">
        <f t="shared" si="3"/>
        <v>-1</v>
      </c>
      <c r="F90" s="47">
        <f>SUM($E$2:E90)/SUM($C$2:C90)</f>
        <v>0.12778651685393272</v>
      </c>
      <c r="G90" s="37">
        <f t="shared" si="2"/>
        <v>11.373000000000012</v>
      </c>
      <c r="H90" s="472" t="s">
        <v>67</v>
      </c>
      <c r="I90" s="2"/>
      <c r="J90" s="2"/>
      <c r="K90" s="2"/>
      <c r="O90" s="58"/>
      <c r="P90" s="58"/>
    </row>
    <row r="91" spans="1:16">
      <c r="A91"/>
      <c r="B91" s="530"/>
      <c r="C91" s="468">
        <v>1</v>
      </c>
      <c r="D91" s="37"/>
      <c r="E91" s="37">
        <f t="shared" si="3"/>
        <v>-1</v>
      </c>
      <c r="F91" s="47">
        <f>SUM($E$2:E91)/SUM($C$2:C91)</f>
        <v>0.11525555555555568</v>
      </c>
      <c r="G91" s="37">
        <f t="shared" si="2"/>
        <v>10.373000000000012</v>
      </c>
      <c r="H91" s="472" t="s">
        <v>68</v>
      </c>
      <c r="I91" s="2"/>
      <c r="J91" s="2"/>
      <c r="K91" s="2"/>
      <c r="O91" s="58"/>
      <c r="P91" s="58"/>
    </row>
    <row r="92" spans="1:16">
      <c r="A92"/>
      <c r="B92" s="530"/>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9">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30"/>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30"/>
      <c r="C95" s="468">
        <v>1</v>
      </c>
      <c r="D95" s="37"/>
      <c r="E95" s="37">
        <f t="shared" si="3"/>
        <v>-1</v>
      </c>
      <c r="F95" s="47">
        <f>SUM($E$2:E95)/SUM($C$2:C95)</f>
        <v>8.8010638297872465E-2</v>
      </c>
      <c r="G95" s="37">
        <f t="shared" si="2"/>
        <v>8.2730000000000121</v>
      </c>
      <c r="H95" s="472" t="s">
        <v>39</v>
      </c>
      <c r="I95" s="2"/>
      <c r="J95" s="2"/>
      <c r="K95" s="2"/>
      <c r="O95" s="58"/>
      <c r="P95" s="58"/>
    </row>
    <row r="96" spans="1:16">
      <c r="A96"/>
      <c r="B96" s="530"/>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30"/>
      <c r="C97" s="510">
        <v>1</v>
      </c>
      <c r="D97" s="38"/>
      <c r="E97" s="38">
        <f t="shared" si="3"/>
        <v>-1</v>
      </c>
      <c r="F97" s="59">
        <f>SUM($E$2:E97)/SUM($C$2:C97)</f>
        <v>8.4739583333333465E-2</v>
      </c>
      <c r="G97" s="38">
        <f t="shared" si="2"/>
        <v>8.1350000000000122</v>
      </c>
      <c r="H97" s="469" t="s">
        <v>12</v>
      </c>
      <c r="I97" s="2"/>
      <c r="J97" s="2"/>
      <c r="K97" s="2"/>
      <c r="O97" s="58"/>
      <c r="P97" s="58"/>
    </row>
    <row r="98" spans="1:16">
      <c r="A98"/>
      <c r="B98" s="530"/>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30"/>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30"/>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30"/>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30"/>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30"/>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30"/>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30"/>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30"/>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30"/>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30"/>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30"/>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30"/>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9">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30"/>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30"/>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30"/>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30"/>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30"/>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30"/>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30"/>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30"/>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30"/>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30"/>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30"/>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30"/>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30"/>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30"/>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9">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30"/>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30"/>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30"/>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30"/>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30"/>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30"/>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30"/>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30"/>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9">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30"/>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30"/>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30"/>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30"/>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9">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30"/>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30"/>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30"/>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30"/>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30"/>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30"/>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30"/>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30"/>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30"/>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9">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30"/>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30"/>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30"/>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30"/>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30"/>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30"/>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30"/>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30"/>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30"/>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30"/>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30"/>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30"/>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30"/>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30"/>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9">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30"/>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30"/>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30"/>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30"/>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30"/>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30"/>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30"/>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30"/>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30"/>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30"/>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30"/>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30"/>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30"/>
      <c r="C178" s="471">
        <v>1</v>
      </c>
      <c r="D178" s="465"/>
      <c r="E178" s="465">
        <f t="shared" si="6"/>
        <v>-1</v>
      </c>
      <c r="F178" s="466">
        <f>SUM($E$2:E178)/SUM($C$2:C178)</f>
        <v>2.8378531073446386E-2</v>
      </c>
      <c r="G178" s="465">
        <f t="shared" si="5"/>
        <v>5.0230000000000103</v>
      </c>
      <c r="H178" s="475" t="s">
        <v>98</v>
      </c>
      <c r="O178" s="58"/>
      <c r="P178" s="58"/>
    </row>
    <row r="179" spans="1:16">
      <c r="A179"/>
      <c r="B179" s="530"/>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30"/>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9">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30"/>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30"/>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30"/>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30"/>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30"/>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30"/>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30"/>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30"/>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30"/>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9">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30"/>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30"/>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30"/>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30"/>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30"/>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9">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30"/>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30"/>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30"/>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30"/>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30"/>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30"/>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30"/>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30"/>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30"/>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30"/>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30"/>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30"/>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30"/>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30"/>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30"/>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30"/>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30"/>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30"/>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30"/>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30"/>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30"/>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30"/>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30"/>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9">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30"/>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30"/>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30"/>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30"/>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30"/>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30"/>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30"/>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30"/>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30"/>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9">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30"/>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30"/>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30"/>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30"/>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30"/>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30"/>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30"/>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30"/>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30"/>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30"/>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30"/>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30"/>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30"/>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30"/>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30"/>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30"/>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30"/>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30"/>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9">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30"/>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30"/>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30"/>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30"/>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30"/>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30"/>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30"/>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30"/>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30"/>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30"/>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30"/>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30"/>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30"/>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9">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30"/>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30"/>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30"/>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30"/>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30"/>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30"/>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30"/>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30"/>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30"/>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30"/>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30"/>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30"/>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9">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30"/>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30"/>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30"/>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30"/>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30"/>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30"/>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30"/>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30"/>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30"/>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30"/>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30"/>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30"/>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30"/>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30"/>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30"/>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30"/>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30"/>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30"/>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30"/>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30"/>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30"/>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30"/>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30"/>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30"/>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30"/>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9">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30"/>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30"/>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30"/>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30"/>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30"/>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30"/>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30"/>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30"/>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30"/>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30"/>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30"/>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9">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30"/>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30"/>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30"/>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30"/>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30"/>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30"/>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30"/>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30"/>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30"/>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30"/>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30"/>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30"/>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30"/>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30"/>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30"/>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30"/>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9">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30"/>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30"/>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30"/>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30"/>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30"/>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30"/>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30"/>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30"/>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30"/>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30"/>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30"/>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9">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30"/>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30"/>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30"/>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30"/>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30"/>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30"/>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30"/>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30"/>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30"/>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30"/>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30"/>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30"/>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30"/>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9">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30"/>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30"/>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30"/>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30"/>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30"/>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30"/>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30"/>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30"/>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30"/>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30"/>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30"/>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30"/>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30"/>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30"/>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30"/>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30"/>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30"/>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30"/>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30"/>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30"/>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9">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30"/>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30"/>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30"/>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30"/>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30"/>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30"/>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30"/>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30"/>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9">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30"/>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30"/>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30"/>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30"/>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30"/>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30"/>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30"/>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30"/>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30"/>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30"/>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30"/>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30"/>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30"/>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30"/>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9">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30"/>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30"/>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30"/>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30"/>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30"/>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9">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30"/>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30"/>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30"/>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30"/>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30"/>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30"/>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30"/>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30"/>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30"/>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30"/>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30"/>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30"/>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30"/>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30"/>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30"/>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30"/>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30"/>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9">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30"/>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30"/>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30"/>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30"/>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30"/>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30"/>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30"/>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30"/>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30"/>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30"/>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30"/>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30"/>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30"/>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9">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30"/>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30"/>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30"/>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30"/>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30"/>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30"/>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30"/>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30"/>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30"/>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30"/>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30"/>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30"/>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30"/>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9">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30"/>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30"/>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30"/>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30"/>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30"/>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30"/>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30"/>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30"/>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30"/>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9">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30"/>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30"/>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30"/>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30"/>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30"/>
      <c r="C470" s="471">
        <v>1</v>
      </c>
      <c r="D470" s="465"/>
      <c r="E470" s="465">
        <f t="shared" si="16"/>
        <v>-1</v>
      </c>
      <c r="F470" s="466">
        <f>SUM($E$2:E470)/SUM($C$2:C470)</f>
        <v>3.0255509545488279E-2</v>
      </c>
      <c r="G470" s="465">
        <f t="shared" si="15"/>
        <v>14.189833976834002</v>
      </c>
      <c r="H470" s="475" t="s">
        <v>24</v>
      </c>
      <c r="O470" s="58"/>
      <c r="P470" s="58"/>
    </row>
    <row r="471" spans="1:16">
      <c r="A471"/>
      <c r="B471" s="530"/>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9">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30"/>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30"/>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30"/>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30"/>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30"/>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30"/>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30"/>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30"/>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30"/>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30"/>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1"/>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9">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30"/>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30"/>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30"/>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9">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30"/>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30"/>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30"/>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30"/>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30"/>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30"/>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30"/>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30"/>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30"/>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30"/>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30"/>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9">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30"/>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30"/>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30"/>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30"/>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30"/>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30"/>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30"/>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9">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30"/>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30"/>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30"/>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30"/>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30"/>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30"/>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30"/>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30"/>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30"/>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30"/>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1"/>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30">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30"/>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30"/>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30"/>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30"/>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30"/>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30"/>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9">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30"/>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9">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30"/>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30"/>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30"/>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30"/>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30"/>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30"/>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30"/>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30"/>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9">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30"/>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30"/>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30"/>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30"/>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30"/>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30"/>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30"/>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30"/>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1"/>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30">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30"/>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30"/>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30"/>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30"/>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9">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30"/>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30"/>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1"/>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30">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30"/>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30"/>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30"/>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30"/>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30"/>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30"/>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30"/>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1"/>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30">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30"/>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30"/>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30"/>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30"/>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9">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30"/>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30"/>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30"/>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1"/>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30">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30"/>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30"/>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30"/>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30"/>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30"/>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30"/>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30"/>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1"/>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30">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30"/>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30"/>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30"/>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30"/>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30"/>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30"/>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9">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30"/>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30"/>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30"/>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30"/>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30"/>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30"/>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30"/>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30"/>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30"/>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30"/>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30"/>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30"/>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30"/>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9">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30"/>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30"/>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30"/>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30"/>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30"/>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30"/>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30"/>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9">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30"/>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30"/>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30"/>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30"/>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30"/>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30"/>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30"/>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30"/>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30"/>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9">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30"/>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30"/>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30"/>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30"/>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30"/>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30"/>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30"/>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30"/>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30"/>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9">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30"/>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30"/>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30"/>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30"/>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30"/>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30"/>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30"/>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30"/>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30"/>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30"/>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30"/>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30"/>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30"/>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30"/>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9">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30"/>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30"/>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30"/>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30"/>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30"/>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30"/>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30"/>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30"/>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9">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30"/>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30"/>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30"/>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30"/>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30"/>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30"/>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30"/>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30"/>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30"/>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30"/>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1"/>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30">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30"/>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30"/>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30"/>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30"/>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30"/>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9">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30"/>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30"/>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30"/>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30"/>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30"/>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30"/>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30"/>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30"/>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30"/>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30"/>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30"/>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30"/>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30"/>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30"/>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30"/>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30"/>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9">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30"/>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30"/>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9">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30"/>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30"/>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30"/>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30"/>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30"/>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30"/>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30"/>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30"/>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30"/>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30"/>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30"/>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9">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30"/>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30"/>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30"/>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30"/>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30"/>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30"/>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30"/>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30"/>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30"/>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9">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30"/>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30"/>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30"/>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30"/>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30"/>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30"/>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30"/>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30"/>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30"/>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30"/>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30"/>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9">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30"/>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30"/>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30"/>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30"/>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30"/>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30"/>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30"/>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1"/>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30">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30"/>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30"/>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30"/>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30"/>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30"/>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30"/>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30"/>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30"/>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30"/>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30"/>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30"/>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30"/>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30"/>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30"/>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9">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30"/>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1"/>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9">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30"/>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30"/>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30"/>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30"/>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30"/>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30"/>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30"/>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30"/>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30"/>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30"/>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30"/>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30"/>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9">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30"/>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30"/>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30"/>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30"/>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9">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30"/>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30"/>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30"/>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30"/>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30"/>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30"/>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30"/>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30"/>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30"/>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30"/>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30"/>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30"/>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30"/>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30"/>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30"/>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30"/>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30"/>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30"/>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30"/>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30"/>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30"/>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30"/>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1"/>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9">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30"/>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30"/>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30"/>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30"/>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9">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30"/>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30"/>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30"/>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30"/>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30"/>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30"/>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30"/>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30"/>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30"/>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30"/>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30"/>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30"/>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30"/>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30"/>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30"/>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30"/>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30"/>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30"/>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1"/>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9">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30"/>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30"/>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30"/>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30"/>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30"/>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30"/>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30"/>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30"/>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30"/>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30"/>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30"/>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30"/>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30"/>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30"/>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9">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30"/>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30"/>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30"/>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30"/>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30"/>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30"/>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30"/>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30"/>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1"/>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9">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30"/>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30"/>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30"/>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30"/>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30"/>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30"/>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30"/>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30"/>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30"/>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30"/>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30"/>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30"/>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30"/>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30"/>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30"/>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30"/>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30"/>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9">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30"/>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30"/>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30"/>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1"/>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30">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30"/>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30"/>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30"/>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30"/>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30"/>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30"/>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30"/>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30"/>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30"/>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30"/>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30"/>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30"/>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30"/>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9">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30"/>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30"/>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30"/>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30"/>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30"/>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30"/>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30"/>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30"/>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30"/>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30"/>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1"/>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30">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30"/>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30"/>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30"/>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30"/>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30"/>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30"/>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30"/>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30"/>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30"/>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30"/>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30"/>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30"/>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30"/>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9">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30"/>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30"/>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30"/>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30"/>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30"/>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30"/>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30"/>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30"/>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30"/>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1"/>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9">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30"/>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30"/>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30"/>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30"/>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30"/>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30"/>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30"/>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30"/>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9">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30"/>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30"/>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30"/>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30"/>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30"/>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30"/>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30"/>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30"/>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30"/>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30"/>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30"/>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30"/>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30"/>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30"/>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9">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30"/>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30"/>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1"/>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9">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30"/>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30"/>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30"/>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30"/>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30"/>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30"/>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30"/>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30"/>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30"/>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30"/>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30"/>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30"/>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30"/>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30"/>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9">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30"/>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30"/>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30"/>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30"/>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30"/>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30"/>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30"/>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1"/>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9">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30"/>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30"/>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30"/>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30"/>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30"/>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30"/>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30"/>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30"/>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30"/>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30"/>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30"/>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30"/>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30"/>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30"/>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30"/>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9">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30"/>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30"/>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30"/>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30"/>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30"/>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30"/>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30"/>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30"/>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30"/>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30"/>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9">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30"/>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30"/>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30"/>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30"/>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30"/>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30"/>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30"/>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30"/>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9">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30"/>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30"/>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30"/>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30"/>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30"/>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30"/>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30"/>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30"/>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30"/>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30"/>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30"/>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30"/>
      <c r="C1023" s="509">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30"/>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30"/>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30"/>
      <c r="C1026" s="508">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30"/>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30"/>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30"/>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9">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30"/>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30"/>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30"/>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30"/>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SUM(E1030:E1300)</f>
        <v>-41.051000000000002</v>
      </c>
      <c r="K1034" s="2">
        <f>SUM(E932:E1300)</f>
        <v>-26.773999999999994</v>
      </c>
      <c r="L1034" s="2">
        <f>I1034/C1034</f>
        <v>0.9870000000000001</v>
      </c>
      <c r="O1034" s="58"/>
      <c r="P1034" s="58"/>
    </row>
    <row r="1035" spans="1:16">
      <c r="A1035"/>
      <c r="B1035" s="529">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30"/>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30"/>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30"/>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30"/>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30"/>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30"/>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30"/>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30"/>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30"/>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30"/>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30"/>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30"/>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9">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30"/>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30"/>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30"/>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30"/>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30"/>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30"/>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30"/>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30"/>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30"/>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30"/>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9">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30"/>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30"/>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30"/>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30"/>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30"/>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30"/>
      <c r="C1065" s="508">
        <v>1</v>
      </c>
      <c r="D1065" s="518">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30"/>
      <c r="C1066" s="509">
        <v>1</v>
      </c>
      <c r="D1066" s="519"/>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30"/>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30"/>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30"/>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30"/>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30"/>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30"/>
      <c r="C1072" s="509">
        <v>1</v>
      </c>
      <c r="D1072" s="520"/>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30"/>
      <c r="C1073" s="509">
        <v>1</v>
      </c>
      <c r="D1073" s="482"/>
      <c r="E1073" s="482">
        <f t="shared" si="34"/>
        <v>-1</v>
      </c>
      <c r="F1073" s="485">
        <f>SUM($E$2:E1073)/SUM($C$2:C1073)</f>
        <v>5.2525031694807829E-2</v>
      </c>
      <c r="G1073" s="478">
        <f t="shared" si="33"/>
        <v>56.306833976833992</v>
      </c>
      <c r="H1073" s="486" t="s">
        <v>32</v>
      </c>
      <c r="I1073" s="2">
        <f>SUM(E1059:E1073)</f>
        <v>-2.0339999999999998</v>
      </c>
      <c r="J1073" s="2">
        <f>SUM(E1030:E1305)</f>
        <v>-41.051000000000002</v>
      </c>
      <c r="K1073" s="2">
        <f>SUM(E932:E1305)</f>
        <v>-26.773999999999994</v>
      </c>
      <c r="L1073" s="2">
        <f>I1073/C1073</f>
        <v>-2.0339999999999998</v>
      </c>
      <c r="O1073" s="58"/>
      <c r="P1073" s="58"/>
    </row>
    <row r="1074" spans="1:16">
      <c r="A1074"/>
      <c r="B1074" s="529">
        <v>46094</v>
      </c>
      <c r="C1074" s="508">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30"/>
      <c r="C1075" s="508">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30"/>
      <c r="C1076" s="508">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30"/>
      <c r="C1077" s="508">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30"/>
      <c r="C1078" s="508">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30"/>
      <c r="C1079" s="508">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30"/>
      <c r="C1080" s="509">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30"/>
      <c r="C1081" s="508">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30"/>
      <c r="C1082" s="508">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30"/>
      <c r="C1083" s="508">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30"/>
      <c r="C1084" s="508">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30"/>
      <c r="C1085" s="508">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30"/>
      <c r="C1086" s="509">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30"/>
      <c r="C1087" s="508">
        <v>1</v>
      </c>
      <c r="D1087" s="481"/>
      <c r="E1087" s="481">
        <f t="shared" si="34"/>
        <v>-1</v>
      </c>
      <c r="F1087" s="483">
        <f>SUM($E$2:E1087)/SUM($C$2:C1087)</f>
        <v>5.0779773459331476E-2</v>
      </c>
      <c r="G1087" s="479">
        <f t="shared" ref="G1087:G1150" si="35">G1086+E1087</f>
        <v>55.146833976833982</v>
      </c>
      <c r="H1087" s="484" t="s">
        <v>32</v>
      </c>
      <c r="I1087" s="2"/>
      <c r="J1087" s="2"/>
      <c r="K1087" s="2"/>
      <c r="L1087" s="2"/>
      <c r="O1087" s="58"/>
      <c r="P1087" s="58"/>
    </row>
    <row r="1088" spans="1:16">
      <c r="A1088"/>
      <c r="B1088" s="530"/>
      <c r="C1088" s="508">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30"/>
      <c r="C1089" s="508">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30"/>
      <c r="C1090" s="508">
        <v>1</v>
      </c>
      <c r="D1090" s="477"/>
      <c r="E1090" s="481">
        <f t="shared" ref="E1090:E1153"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30"/>
      <c r="C1091" s="509">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29">
        <v>46095</v>
      </c>
      <c r="C1092" s="508">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30"/>
      <c r="C1093" s="508">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30"/>
      <c r="C1094" s="508">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30"/>
      <c r="C1095" s="508">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30"/>
      <c r="C1096" s="508">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30"/>
      <c r="C1097" s="509">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30"/>
      <c r="C1098" s="508">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30"/>
      <c r="C1099" s="508">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30"/>
      <c r="C1100" s="508">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30"/>
      <c r="C1101" s="508">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30"/>
      <c r="C1102" s="509">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SUM(E1030:E1302)</f>
        <v>-41.051000000000002</v>
      </c>
      <c r="K1102" s="2">
        <f>SUM(E932:E1302)</f>
        <v>-26.773999999999994</v>
      </c>
      <c r="L1102" s="2">
        <f>I1102/C1102</f>
        <v>2.0700000000000003</v>
      </c>
      <c r="O1102" s="58"/>
      <c r="P1102" s="58"/>
    </row>
    <row r="1103" spans="1:16">
      <c r="A1103"/>
      <c r="B1103" s="529">
        <v>46096</v>
      </c>
      <c r="C1103" s="508">
        <v>1</v>
      </c>
      <c r="D1103" s="481">
        <v>1.9</v>
      </c>
      <c r="E1103" s="481">
        <f t="shared" si="36"/>
        <v>0.89999999999999991</v>
      </c>
      <c r="F1103" s="483">
        <f>SUM($E$2:E1103)/SUM($C$2:C1103)</f>
        <v>4.9107834824713238E-2</v>
      </c>
      <c r="G1103" s="479">
        <f t="shared" si="35"/>
        <v>54.116833976833988</v>
      </c>
      <c r="H1103" s="484" t="s">
        <v>401</v>
      </c>
      <c r="I1103" s="2"/>
      <c r="J1103" s="2"/>
      <c r="K1103" s="2"/>
      <c r="L1103" s="2"/>
      <c r="O1103" s="58"/>
      <c r="P1103" s="58"/>
    </row>
    <row r="1104" spans="1:16">
      <c r="A1104"/>
      <c r="B1104" s="530"/>
      <c r="C1104" s="508">
        <v>1</v>
      </c>
      <c r="D1104" s="481">
        <v>1.9</v>
      </c>
      <c r="E1104" s="481">
        <f t="shared" si="36"/>
        <v>0.89999999999999991</v>
      </c>
      <c r="F1104" s="483">
        <f>SUM($E$2:E1104)/SUM($C$2:C1104)</f>
        <v>4.9879269244636433E-2</v>
      </c>
      <c r="G1104" s="479">
        <f t="shared" si="35"/>
        <v>55.016833976833986</v>
      </c>
      <c r="H1104" s="484" t="s">
        <v>11</v>
      </c>
      <c r="I1104" s="2"/>
      <c r="J1104" s="2"/>
      <c r="K1104" s="2"/>
      <c r="L1104" s="2"/>
      <c r="O1104" s="58"/>
      <c r="P1104" s="58"/>
    </row>
    <row r="1105" spans="1:16">
      <c r="A1105"/>
      <c r="B1105" s="530"/>
      <c r="C1105" s="508">
        <v>1</v>
      </c>
      <c r="D1105" s="481"/>
      <c r="E1105" s="481">
        <f t="shared" si="36"/>
        <v>-1</v>
      </c>
      <c r="F1105" s="483">
        <f>SUM($E$2:E1105)/SUM($C$2:C1105)</f>
        <v>4.8928291645682957E-2</v>
      </c>
      <c r="G1105" s="479">
        <f t="shared" si="35"/>
        <v>54.016833976833986</v>
      </c>
      <c r="H1105" s="484" t="s">
        <v>50</v>
      </c>
      <c r="I1105" s="2"/>
      <c r="J1105" s="2"/>
      <c r="K1105" s="2"/>
      <c r="L1105" s="2"/>
      <c r="O1105" s="58"/>
      <c r="P1105" s="58"/>
    </row>
    <row r="1106" spans="1:16">
      <c r="A1106"/>
      <c r="B1106" s="530"/>
      <c r="C1106" s="508">
        <v>1</v>
      </c>
      <c r="D1106" s="481">
        <v>1.9</v>
      </c>
      <c r="E1106" s="481">
        <f t="shared" si="36"/>
        <v>0.89999999999999991</v>
      </c>
      <c r="F1106" s="483">
        <f>SUM($E$2:E1106)/SUM($C$2:C1106)</f>
        <v>4.969849228672759E-2</v>
      </c>
      <c r="G1106" s="479">
        <f t="shared" si="35"/>
        <v>54.916833976833985</v>
      </c>
      <c r="H1106" s="484" t="s">
        <v>49</v>
      </c>
      <c r="I1106" s="2"/>
      <c r="J1106" s="2"/>
      <c r="K1106" s="2"/>
      <c r="L1106" s="2"/>
      <c r="O1106" s="58"/>
      <c r="P1106" s="58"/>
    </row>
    <row r="1107" spans="1:16">
      <c r="A1107"/>
      <c r="B1107" s="530"/>
      <c r="C1107" s="509">
        <v>1</v>
      </c>
      <c r="D1107" s="482">
        <v>1.84</v>
      </c>
      <c r="E1107" s="482">
        <f t="shared" si="36"/>
        <v>0.84000000000000008</v>
      </c>
      <c r="F1107" s="485">
        <f>SUM($E$2:E1107)/SUM($C$2:C1107)</f>
        <v>5.0413050611965632E-2</v>
      </c>
      <c r="G1107" s="478">
        <f t="shared" si="35"/>
        <v>55.756833976833988</v>
      </c>
      <c r="H1107" s="486" t="s">
        <v>47</v>
      </c>
      <c r="I1107" s="2"/>
      <c r="J1107" s="2"/>
      <c r="K1107" s="2"/>
      <c r="L1107" s="2"/>
      <c r="O1107" s="58"/>
      <c r="P1107" s="58"/>
    </row>
    <row r="1108" spans="1:16">
      <c r="A1108"/>
      <c r="B1108" s="530"/>
      <c r="C1108" s="508">
        <v>1</v>
      </c>
      <c r="D1108" s="481"/>
      <c r="E1108" s="481">
        <f t="shared" si="36"/>
        <v>-1</v>
      </c>
      <c r="F1108" s="483">
        <f>SUM($E$2:E1108)/SUM($C$2:C1108)</f>
        <v>4.9464168000753379E-2</v>
      </c>
      <c r="G1108" s="479">
        <f t="shared" si="35"/>
        <v>54.756833976833988</v>
      </c>
      <c r="H1108" s="484" t="s">
        <v>402</v>
      </c>
      <c r="I1108" s="2"/>
      <c r="J1108" s="2"/>
      <c r="K1108" s="2"/>
      <c r="L1108" s="2"/>
      <c r="O1108" s="58"/>
      <c r="P1108" s="58"/>
    </row>
    <row r="1109" spans="1:16">
      <c r="A1109"/>
      <c r="B1109" s="530"/>
      <c r="C1109" s="508">
        <v>1</v>
      </c>
      <c r="D1109" s="481"/>
      <c r="E1109" s="481">
        <f t="shared" si="36"/>
        <v>-1</v>
      </c>
      <c r="F1109" s="483">
        <f>SUM($E$2:E1109)/SUM($C$2:C1109)</f>
        <v>4.8516998174037894E-2</v>
      </c>
      <c r="G1109" s="479">
        <f t="shared" si="35"/>
        <v>53.756833976833988</v>
      </c>
      <c r="H1109" s="484" t="s">
        <v>403</v>
      </c>
      <c r="I1109" s="2"/>
      <c r="J1109" s="2"/>
      <c r="K1109" s="2"/>
      <c r="L1109" s="2"/>
      <c r="O1109" s="58"/>
      <c r="P1109" s="58"/>
    </row>
    <row r="1110" spans="1:16">
      <c r="A1110"/>
      <c r="B1110" s="530"/>
      <c r="C1110" s="508">
        <v>1</v>
      </c>
      <c r="D1110" s="481"/>
      <c r="E1110" s="481">
        <f t="shared" si="36"/>
        <v>-1</v>
      </c>
      <c r="F1110" s="483">
        <f>SUM($E$2:E1110)/SUM($C$2:C1110)</f>
        <v>4.7571536498497734E-2</v>
      </c>
      <c r="G1110" s="479">
        <f t="shared" si="35"/>
        <v>52.756833976833988</v>
      </c>
      <c r="H1110" s="484" t="s">
        <v>404</v>
      </c>
      <c r="I1110" s="2"/>
      <c r="J1110" s="2"/>
      <c r="K1110" s="2"/>
      <c r="L1110" s="2"/>
      <c r="O1110" s="58"/>
      <c r="P1110" s="58"/>
    </row>
    <row r="1111" spans="1:16">
      <c r="A1111"/>
      <c r="B1111" s="530"/>
      <c r="C1111" s="508">
        <v>1</v>
      </c>
      <c r="D1111" s="481">
        <v>1.85</v>
      </c>
      <c r="E1111" s="481">
        <f t="shared" si="36"/>
        <v>0.85000000000000009</v>
      </c>
      <c r="F1111" s="483">
        <f>SUM($E$2:E1111)/SUM($C$2:C1111)</f>
        <v>4.8294445024174765E-2</v>
      </c>
      <c r="G1111" s="479">
        <f t="shared" si="35"/>
        <v>53.60683397683399</v>
      </c>
      <c r="H1111" s="484" t="s">
        <v>405</v>
      </c>
      <c r="I1111" s="2"/>
      <c r="J1111" s="2"/>
      <c r="K1111" s="2"/>
      <c r="L1111" s="2"/>
      <c r="O1111" s="58"/>
      <c r="P1111" s="58"/>
    </row>
    <row r="1112" spans="1:16">
      <c r="A1112"/>
      <c r="B1112" s="530"/>
      <c r="C1112" s="508">
        <v>1</v>
      </c>
      <c r="D1112" s="481">
        <v>1</v>
      </c>
      <c r="E1112" s="481">
        <f t="shared" si="36"/>
        <v>0</v>
      </c>
      <c r="F1112" s="483">
        <f>SUM($E$2:E1112)/SUM($C$2:C1112)</f>
        <v>4.8250975676718259E-2</v>
      </c>
      <c r="G1112" s="479">
        <f t="shared" si="35"/>
        <v>53.60683397683399</v>
      </c>
      <c r="H1112" s="484" t="s">
        <v>406</v>
      </c>
      <c r="I1112" s="2"/>
      <c r="J1112" s="2"/>
      <c r="K1112" s="2"/>
      <c r="L1112" s="2"/>
      <c r="O1112" s="58"/>
      <c r="P1112" s="58"/>
    </row>
    <row r="1113" spans="1:16">
      <c r="A1113"/>
      <c r="B1113" s="530"/>
      <c r="C1113" s="509">
        <v>1</v>
      </c>
      <c r="D1113" s="482">
        <v>1.87</v>
      </c>
      <c r="E1113" s="482">
        <f t="shared" si="36"/>
        <v>0.87000000000000011</v>
      </c>
      <c r="F1113" s="485">
        <f>SUM($E$2:E1113)/SUM($C$2:C1113)</f>
        <v>4.8989958612260777E-2</v>
      </c>
      <c r="G1113" s="478">
        <f t="shared" si="35"/>
        <v>54.476833976833987</v>
      </c>
      <c r="H1113" s="486" t="s">
        <v>407</v>
      </c>
      <c r="I1113" s="2"/>
      <c r="J1113" s="2"/>
      <c r="K1113" s="2"/>
      <c r="L1113" s="2"/>
      <c r="O1113" s="58"/>
      <c r="P1113" s="58"/>
    </row>
    <row r="1114" spans="1:16">
      <c r="A1114"/>
      <c r="B1114" s="530"/>
      <c r="C1114" s="508">
        <v>1</v>
      </c>
      <c r="D1114" s="481">
        <v>2.4159999999999999</v>
      </c>
      <c r="E1114" s="481">
        <f t="shared" si="36"/>
        <v>1.4159999999999999</v>
      </c>
      <c r="F1114" s="483">
        <f>SUM($E$2:E1114)/SUM($C$2:C1114)</f>
        <v>5.0218179673705288E-2</v>
      </c>
      <c r="G1114" s="479">
        <f t="shared" si="35"/>
        <v>55.892833976833984</v>
      </c>
      <c r="H1114" s="484" t="s">
        <v>35</v>
      </c>
      <c r="I1114" s="2"/>
      <c r="J1114" s="2"/>
      <c r="K1114" s="2"/>
      <c r="L1114" s="2"/>
      <c r="O1114" s="58"/>
      <c r="P1114" s="58"/>
    </row>
    <row r="1115" spans="1:16">
      <c r="A1115"/>
      <c r="B1115" s="530"/>
      <c r="C1115" s="508">
        <v>1</v>
      </c>
      <c r="D1115" s="481">
        <v>3.6</v>
      </c>
      <c r="E1115" s="481">
        <f t="shared" si="36"/>
        <v>2.6</v>
      </c>
      <c r="F1115" s="483">
        <f>SUM($E$2:E1115)/SUM($C$2:C1115)</f>
        <v>5.2507032295183109E-2</v>
      </c>
      <c r="G1115" s="479">
        <f t="shared" si="35"/>
        <v>58.492833976833985</v>
      </c>
      <c r="H1115" s="484" t="s">
        <v>34</v>
      </c>
      <c r="I1115" s="2"/>
      <c r="J1115" s="2"/>
      <c r="K1115" s="2"/>
      <c r="L1115" s="2"/>
      <c r="O1115" s="58"/>
      <c r="P1115" s="58"/>
    </row>
    <row r="1116" spans="1:16">
      <c r="A1116"/>
      <c r="B1116" s="530"/>
      <c r="C1116" s="508">
        <v>1</v>
      </c>
      <c r="D1116" s="481"/>
      <c r="E1116" s="481">
        <f t="shared" si="36"/>
        <v>-1</v>
      </c>
      <c r="F1116" s="483">
        <f>SUM($E$2:E1116)/SUM($C$2:C1116)</f>
        <v>5.1563079799851107E-2</v>
      </c>
      <c r="G1116" s="479">
        <f t="shared" si="35"/>
        <v>57.492833976833985</v>
      </c>
      <c r="H1116" s="484" t="s">
        <v>39</v>
      </c>
      <c r="I1116" s="2"/>
      <c r="J1116" s="2"/>
      <c r="K1116" s="2"/>
      <c r="L1116" s="2"/>
      <c r="O1116" s="58"/>
      <c r="P1116" s="58"/>
    </row>
    <row r="1117" spans="1:16">
      <c r="A1117"/>
      <c r="B1117" s="531"/>
      <c r="C1117" s="509">
        <v>1</v>
      </c>
      <c r="D1117" s="520"/>
      <c r="E1117" s="482">
        <f t="shared" si="36"/>
        <v>-1</v>
      </c>
      <c r="F1117" s="485">
        <f>SUM($E$2:E1117)/SUM($C$2:C1117)</f>
        <v>5.0620818975657692E-2</v>
      </c>
      <c r="G1117" s="478">
        <f t="shared" si="35"/>
        <v>56.492833976833985</v>
      </c>
      <c r="H1117" s="486" t="s">
        <v>21</v>
      </c>
      <c r="I1117" s="2">
        <f>SUM(E1103:E1117)</f>
        <v>3.2759999999999998</v>
      </c>
      <c r="J1117" s="2">
        <f>SUM(E1030:E1296)</f>
        <v>-41.051000000000002</v>
      </c>
      <c r="L1117" s="2">
        <f>I1117/C1117</f>
        <v>3.2759999999999998</v>
      </c>
      <c r="O1117" s="58"/>
      <c r="P1117" s="58"/>
    </row>
    <row r="1118" spans="1:16">
      <c r="A1118"/>
      <c r="B1118" s="529">
        <v>46097</v>
      </c>
      <c r="C1118" s="508">
        <v>1</v>
      </c>
      <c r="D1118" s="481"/>
      <c r="E1118" s="481">
        <f t="shared" si="36"/>
        <v>-1</v>
      </c>
      <c r="F1118" s="483">
        <f>SUM($E$2:E1118)/SUM($C$2:C1118)</f>
        <v>4.9680245279170983E-2</v>
      </c>
      <c r="G1118" s="479">
        <f t="shared" si="35"/>
        <v>55.492833976833985</v>
      </c>
      <c r="H1118" s="484" t="s">
        <v>10</v>
      </c>
      <c r="I1118" s="2"/>
      <c r="J1118" s="2"/>
      <c r="K1118" s="2"/>
      <c r="L1118" s="2"/>
      <c r="O1118" s="58"/>
      <c r="P1118" s="58"/>
    </row>
    <row r="1119" spans="1:16">
      <c r="A1119"/>
      <c r="B1119" s="530"/>
      <c r="C1119" s="508">
        <v>1</v>
      </c>
      <c r="D1119" s="481"/>
      <c r="E1119" s="481">
        <f t="shared" si="36"/>
        <v>-1</v>
      </c>
      <c r="F1119" s="483">
        <f>SUM($E$2:E1119)/SUM($C$2:C1119)</f>
        <v>4.8741354183214659E-2</v>
      </c>
      <c r="G1119" s="479">
        <f t="shared" si="35"/>
        <v>54.492833976833985</v>
      </c>
      <c r="H1119" s="484" t="s">
        <v>13</v>
      </c>
      <c r="I1119" s="2"/>
      <c r="J1119" s="2"/>
      <c r="K1119" s="2"/>
      <c r="L1119" s="2"/>
      <c r="O1119" s="58"/>
      <c r="P1119" s="58"/>
    </row>
    <row r="1120" spans="1:16">
      <c r="A1120"/>
      <c r="B1120" s="530"/>
      <c r="C1120" s="509">
        <v>1</v>
      </c>
      <c r="D1120" s="482"/>
      <c r="E1120" s="482">
        <f t="shared" si="36"/>
        <v>-1</v>
      </c>
      <c r="F1120" s="485">
        <f>SUM($E$2:E1120)/SUM($C$2:C1120)</f>
        <v>4.7804141176795337E-2</v>
      </c>
      <c r="G1120" s="478">
        <f t="shared" si="35"/>
        <v>53.492833976833985</v>
      </c>
      <c r="H1120" s="486" t="s">
        <v>37</v>
      </c>
      <c r="I1120" s="2"/>
      <c r="J1120" s="2"/>
      <c r="K1120" s="2"/>
      <c r="L1120" s="2"/>
      <c r="O1120" s="58"/>
      <c r="P1120" s="58"/>
    </row>
    <row r="1121" spans="1:16">
      <c r="A1121"/>
      <c r="B1121" s="530"/>
      <c r="C1121" s="508">
        <v>1</v>
      </c>
      <c r="D1121" s="481">
        <v>1.87</v>
      </c>
      <c r="E1121" s="481">
        <f t="shared" si="36"/>
        <v>0.87000000000000011</v>
      </c>
      <c r="F1121" s="483">
        <f>SUM($E$2:E1121)/SUM($C$2:C1121)</f>
        <v>4.8538244622173196E-2</v>
      </c>
      <c r="G1121" s="479">
        <f t="shared" si="35"/>
        <v>54.362833976833983</v>
      </c>
      <c r="H1121" s="484" t="s">
        <v>408</v>
      </c>
      <c r="I1121" s="2"/>
      <c r="J1121" s="2"/>
      <c r="K1121" s="2"/>
      <c r="L1121" s="2"/>
      <c r="O1121" s="58"/>
      <c r="P1121" s="58"/>
    </row>
    <row r="1122" spans="1:16">
      <c r="A1122"/>
      <c r="B1122" s="530"/>
      <c r="C1122" s="508">
        <v>1</v>
      </c>
      <c r="D1122" s="481">
        <v>1.8560000000000001</v>
      </c>
      <c r="E1122" s="481">
        <f t="shared" si="36"/>
        <v>0.85600000000000009</v>
      </c>
      <c r="F1122" s="483">
        <f>SUM($E$2:E1122)/SUM($C$2:C1122)</f>
        <v>4.9258549488701148E-2</v>
      </c>
      <c r="G1122" s="479">
        <f t="shared" si="35"/>
        <v>55.218833976833984</v>
      </c>
      <c r="H1122" s="484" t="s">
        <v>132</v>
      </c>
      <c r="I1122" s="2"/>
      <c r="J1122" s="2"/>
      <c r="K1122" s="2"/>
      <c r="L1122" s="2"/>
      <c r="O1122" s="58"/>
      <c r="P1122" s="58"/>
    </row>
    <row r="1123" spans="1:16">
      <c r="A1123"/>
      <c r="B1123" s="530"/>
      <c r="C1123" s="509">
        <v>1</v>
      </c>
      <c r="D1123" s="482"/>
      <c r="E1123" s="482">
        <f t="shared" si="36"/>
        <v>-1</v>
      </c>
      <c r="F1123" s="485">
        <f>SUM($E$2:E1123)/SUM($C$2:C1123)</f>
        <v>4.8323381441028504E-2</v>
      </c>
      <c r="G1123" s="478">
        <f t="shared" si="35"/>
        <v>54.218833976833984</v>
      </c>
      <c r="H1123" s="486" t="s">
        <v>409</v>
      </c>
      <c r="I1123" s="2"/>
      <c r="J1123" s="2"/>
      <c r="K1123" s="2"/>
      <c r="L1123" s="2"/>
      <c r="O1123" s="58"/>
      <c r="P1123" s="58"/>
    </row>
    <row r="1124" spans="1:16">
      <c r="A1124"/>
      <c r="B1124" s="530"/>
      <c r="C1124" s="508">
        <v>1</v>
      </c>
      <c r="D1124" s="481"/>
      <c r="E1124" s="481">
        <f t="shared" si="36"/>
        <v>-1</v>
      </c>
      <c r="F1124" s="483">
        <f>SUM($E$2:E1124)/SUM($C$2:C1124)</f>
        <v>4.7389878875186094E-2</v>
      </c>
      <c r="G1124" s="479">
        <f t="shared" si="35"/>
        <v>53.218833976833984</v>
      </c>
      <c r="H1124" s="484" t="s">
        <v>20</v>
      </c>
      <c r="I1124" s="2"/>
      <c r="J1124" s="2"/>
      <c r="K1124" s="2"/>
      <c r="L1124" s="2"/>
      <c r="O1124" s="58"/>
      <c r="P1124" s="58"/>
    </row>
    <row r="1125" spans="1:16">
      <c r="A1125"/>
      <c r="B1125" s="530"/>
      <c r="C1125" s="508">
        <v>1</v>
      </c>
      <c r="D1125" s="481"/>
      <c r="E1125" s="481">
        <f t="shared" si="36"/>
        <v>-1</v>
      </c>
      <c r="F1125" s="483">
        <f>SUM($E$2:E1125)/SUM($C$2:C1125)</f>
        <v>4.645803734593771E-2</v>
      </c>
      <c r="G1125" s="479">
        <f t="shared" si="35"/>
        <v>52.218833976833984</v>
      </c>
      <c r="H1125" s="484" t="s">
        <v>12</v>
      </c>
      <c r="I1125" s="2"/>
      <c r="J1125" s="2"/>
      <c r="K1125" s="2"/>
      <c r="L1125" s="2"/>
      <c r="O1125" s="58"/>
      <c r="P1125" s="58"/>
    </row>
    <row r="1126" spans="1:16">
      <c r="A1126"/>
      <c r="B1126" s="530"/>
      <c r="C1126" s="509">
        <v>1</v>
      </c>
      <c r="D1126" s="482">
        <v>1.9</v>
      </c>
      <c r="E1126" s="482">
        <f t="shared" si="36"/>
        <v>0.89999999999999991</v>
      </c>
      <c r="F1126" s="485">
        <f>SUM($E$2:E1126)/SUM($C$2:C1126)</f>
        <v>4.7216741312741319E-2</v>
      </c>
      <c r="G1126" s="478">
        <f t="shared" si="35"/>
        <v>53.118833976833983</v>
      </c>
      <c r="H1126" s="486" t="s">
        <v>12</v>
      </c>
      <c r="I1126" s="2">
        <f>SUM(E1118:E1126)</f>
        <v>-3.3740000000000001</v>
      </c>
      <c r="L1126" s="2">
        <f>I1126/C1126</f>
        <v>-3.3740000000000001</v>
      </c>
      <c r="O1126" s="58"/>
      <c r="P1126" s="58"/>
    </row>
    <row r="1127" spans="1:16">
      <c r="A1127"/>
      <c r="B1127" s="529">
        <v>46098</v>
      </c>
      <c r="C1127" s="508">
        <v>1</v>
      </c>
      <c r="D1127" s="481"/>
      <c r="E1127" s="481">
        <f t="shared" si="36"/>
        <v>-1</v>
      </c>
      <c r="F1127" s="483">
        <f>SUM($E$2:E1127)/SUM($C$2:C1127)</f>
        <v>4.6286708682801048E-2</v>
      </c>
      <c r="G1127" s="479">
        <f t="shared" si="35"/>
        <v>52.118833976833983</v>
      </c>
      <c r="H1127" s="484" t="s">
        <v>46</v>
      </c>
      <c r="I1127" s="2"/>
      <c r="J1127" s="2"/>
      <c r="K1127" s="2"/>
      <c r="L1127" s="2"/>
      <c r="O1127" s="58"/>
      <c r="P1127" s="58"/>
    </row>
    <row r="1128" spans="1:16">
      <c r="A1128"/>
      <c r="B1128" s="530"/>
      <c r="C1128" s="508">
        <v>1</v>
      </c>
      <c r="D1128" s="481"/>
      <c r="E1128" s="481">
        <f t="shared" si="36"/>
        <v>-1</v>
      </c>
      <c r="F1128" s="483">
        <f>SUM($E$2:E1128)/SUM($C$2:C1128)</f>
        <v>4.5358326510056772E-2</v>
      </c>
      <c r="G1128" s="479">
        <f t="shared" si="35"/>
        <v>51.118833976833983</v>
      </c>
      <c r="H1128" s="484" t="s">
        <v>76</v>
      </c>
      <c r="I1128" s="2"/>
      <c r="J1128" s="2"/>
      <c r="K1128" s="2"/>
      <c r="L1128" s="2"/>
      <c r="O1128" s="58"/>
      <c r="P1128" s="58"/>
    </row>
    <row r="1129" spans="1:16">
      <c r="A1129"/>
      <c r="B1129" s="530"/>
      <c r="C1129" s="508">
        <v>1</v>
      </c>
      <c r="D1129" s="481"/>
      <c r="E1129" s="481">
        <f t="shared" si="36"/>
        <v>-1</v>
      </c>
      <c r="F1129" s="483">
        <f>SUM($E$2:E1129)/SUM($C$2:C1129)</f>
        <v>4.4431590404994663E-2</v>
      </c>
      <c r="G1129" s="479">
        <f t="shared" si="35"/>
        <v>50.118833976833983</v>
      </c>
      <c r="H1129" s="484" t="s">
        <v>49</v>
      </c>
      <c r="I1129" s="2"/>
      <c r="J1129" s="2"/>
      <c r="K1129" s="2"/>
      <c r="L1129" s="2"/>
      <c r="O1129" s="58"/>
      <c r="P1129" s="58"/>
    </row>
    <row r="1130" spans="1:16">
      <c r="A1130"/>
      <c r="B1130" s="530"/>
      <c r="C1130" s="509">
        <v>1</v>
      </c>
      <c r="D1130" s="482">
        <v>1.9</v>
      </c>
      <c r="E1130" s="482">
        <f t="shared" si="36"/>
        <v>0.89999999999999991</v>
      </c>
      <c r="F1130" s="485">
        <f>SUM($E$2:E1130)/SUM($C$2:C1130)</f>
        <v>4.5189401219516367E-2</v>
      </c>
      <c r="G1130" s="478">
        <f t="shared" si="35"/>
        <v>51.018833976833982</v>
      </c>
      <c r="H1130" s="486" t="s">
        <v>77</v>
      </c>
      <c r="I1130" s="2"/>
      <c r="J1130" s="2"/>
      <c r="K1130" s="2"/>
      <c r="L1130" s="2"/>
      <c r="O1130" s="58"/>
      <c r="P1130" s="58"/>
    </row>
    <row r="1131" spans="1:16">
      <c r="A1131"/>
      <c r="B1131" s="530"/>
      <c r="C1131" s="508">
        <v>1</v>
      </c>
      <c r="D1131" s="481"/>
      <c r="E1131" s="481">
        <f t="shared" si="36"/>
        <v>-1</v>
      </c>
      <c r="F1131" s="483">
        <f>SUM($E$2:E1131)/SUM($C$2:C1131)</f>
        <v>4.4264454846755737E-2</v>
      </c>
      <c r="G1131" s="479">
        <f t="shared" si="35"/>
        <v>50.018833976833982</v>
      </c>
      <c r="H1131" s="484" t="s">
        <v>366</v>
      </c>
      <c r="I1131" s="2"/>
      <c r="J1131" s="2"/>
      <c r="K1131" s="2"/>
      <c r="L1131" s="2"/>
      <c r="O1131" s="58"/>
      <c r="P1131" s="58"/>
    </row>
    <row r="1132" spans="1:16">
      <c r="A1132"/>
      <c r="B1132" s="530"/>
      <c r="C1132" s="508">
        <v>1</v>
      </c>
      <c r="D1132" s="481"/>
      <c r="E1132" s="481">
        <f t="shared" si="36"/>
        <v>-1</v>
      </c>
      <c r="F1132" s="483">
        <f>SUM($E$2:E1132)/SUM($C$2:C1132)</f>
        <v>4.3341144099764792E-2</v>
      </c>
      <c r="G1132" s="479">
        <f t="shared" si="35"/>
        <v>49.018833976833982</v>
      </c>
      <c r="H1132" s="484" t="s">
        <v>410</v>
      </c>
      <c r="I1132" s="2"/>
      <c r="J1132" s="2"/>
      <c r="K1132" s="2"/>
      <c r="L1132" s="2"/>
      <c r="O1132" s="58"/>
      <c r="P1132" s="58"/>
    </row>
    <row r="1133" spans="1:16">
      <c r="A1133"/>
      <c r="B1133" s="530"/>
      <c r="C1133" s="508">
        <v>1</v>
      </c>
      <c r="D1133" s="481"/>
      <c r="E1133" s="481">
        <f t="shared" si="36"/>
        <v>-1</v>
      </c>
      <c r="F1133" s="483">
        <f>SUM($E$2:E1133)/SUM($C$2:C1133)</f>
        <v>4.2419464643846272E-2</v>
      </c>
      <c r="G1133" s="479">
        <f t="shared" si="35"/>
        <v>48.018833976833982</v>
      </c>
      <c r="H1133" s="484" t="s">
        <v>331</v>
      </c>
      <c r="I1133" s="2"/>
      <c r="J1133" s="2"/>
      <c r="K1133" s="2"/>
      <c r="L1133" s="2"/>
      <c r="O1133" s="58"/>
      <c r="P1133" s="58"/>
    </row>
    <row r="1134" spans="1:16">
      <c r="A1134"/>
      <c r="B1134" s="530"/>
      <c r="C1134" s="509">
        <v>1</v>
      </c>
      <c r="D1134" s="482">
        <v>1.9</v>
      </c>
      <c r="E1134" s="482">
        <f t="shared" si="36"/>
        <v>0.89999999999999991</v>
      </c>
      <c r="F1134" s="485">
        <f>SUM($E$2:E1134)/SUM($C$2:C1134)</f>
        <v>4.3176375972492478E-2</v>
      </c>
      <c r="G1134" s="478">
        <f t="shared" si="35"/>
        <v>48.91883397683398</v>
      </c>
      <c r="H1134" s="486" t="s">
        <v>411</v>
      </c>
      <c r="I1134" s="2"/>
      <c r="J1134" s="2"/>
      <c r="K1134" s="2"/>
      <c r="L1134" s="2"/>
      <c r="O1134" s="58"/>
      <c r="P1134" s="58"/>
    </row>
    <row r="1135" spans="1:16">
      <c r="A1135"/>
      <c r="B1135" s="530"/>
      <c r="C1135" s="508">
        <v>1</v>
      </c>
      <c r="D1135" s="481"/>
      <c r="E1135" s="481">
        <f t="shared" si="36"/>
        <v>-1</v>
      </c>
      <c r="F1135" s="483">
        <f>SUM($E$2:E1135)/SUM($C$2:C1135)</f>
        <v>4.2256467351705448E-2</v>
      </c>
      <c r="G1135" s="479">
        <f t="shared" si="35"/>
        <v>47.91883397683398</v>
      </c>
      <c r="H1135" s="484" t="s">
        <v>48</v>
      </c>
      <c r="I1135" s="2"/>
      <c r="J1135" s="2"/>
      <c r="K1135" s="2"/>
      <c r="L1135" s="2"/>
      <c r="O1135" s="58"/>
      <c r="P1135" s="58"/>
    </row>
    <row r="1136" spans="1:16">
      <c r="A1136"/>
      <c r="B1136" s="531"/>
      <c r="C1136" s="509">
        <v>1</v>
      </c>
      <c r="D1136" s="482"/>
      <c r="E1136" s="482">
        <f t="shared" si="36"/>
        <v>-1</v>
      </c>
      <c r="F1136" s="485">
        <f>SUM($E$2:E1136)/SUM($C$2:C1136)</f>
        <v>4.1338179715272226E-2</v>
      </c>
      <c r="G1136" s="478">
        <f t="shared" si="35"/>
        <v>46.91883397683398</v>
      </c>
      <c r="H1136" s="486" t="s">
        <v>50</v>
      </c>
      <c r="I1136" s="2">
        <f>SUM(E1127:E1136)</f>
        <v>-6.1999999999999993</v>
      </c>
      <c r="L1136" s="2">
        <f>I1136/C1136</f>
        <v>-6.1999999999999993</v>
      </c>
      <c r="O1136" s="58"/>
      <c r="P1136" s="58"/>
    </row>
    <row r="1137" spans="1:16">
      <c r="A1137"/>
      <c r="B1137" s="530">
        <v>46099</v>
      </c>
      <c r="C1137" s="508">
        <v>1</v>
      </c>
      <c r="D1137" s="481"/>
      <c r="E1137" s="481">
        <f t="shared" si="36"/>
        <v>-1</v>
      </c>
      <c r="F1137" s="483">
        <f>SUM($E$2:E1137)/SUM($C$2:C1137)</f>
        <v>4.042150878242428E-2</v>
      </c>
      <c r="G1137" s="479">
        <f t="shared" si="35"/>
        <v>45.91883397683398</v>
      </c>
      <c r="H1137" s="484" t="s">
        <v>20</v>
      </c>
      <c r="I1137" s="2"/>
      <c r="J1137" s="2"/>
      <c r="K1137" s="2"/>
      <c r="L1137" s="2"/>
      <c r="O1137" s="58"/>
      <c r="P1137" s="58"/>
    </row>
    <row r="1138" spans="1:16">
      <c r="A1138"/>
      <c r="B1138" s="530"/>
      <c r="C1138" s="508">
        <v>1</v>
      </c>
      <c r="D1138" s="481">
        <v>2</v>
      </c>
      <c r="E1138" s="481">
        <f t="shared" si="36"/>
        <v>1</v>
      </c>
      <c r="F1138" s="483">
        <f>SUM($E$2:E1138)/SUM($C$2:C1138)</f>
        <v>4.1265465239080021E-2</v>
      </c>
      <c r="G1138" s="479">
        <f t="shared" si="35"/>
        <v>46.91883397683398</v>
      </c>
      <c r="H1138" s="484" t="s">
        <v>13</v>
      </c>
      <c r="I1138" s="2"/>
      <c r="J1138" s="2"/>
      <c r="K1138" s="2"/>
      <c r="L1138" s="2"/>
      <c r="O1138" s="58"/>
      <c r="P1138" s="58"/>
    </row>
    <row r="1139" spans="1:16">
      <c r="A1139"/>
      <c r="B1139" s="530"/>
      <c r="C1139" s="508">
        <v>1</v>
      </c>
      <c r="D1139" s="481"/>
      <c r="E1139" s="481">
        <f t="shared" si="36"/>
        <v>-1</v>
      </c>
      <c r="F1139" s="483">
        <f>SUM($E$2:E1139)/SUM($C$2:C1139)</f>
        <v>4.0350469223931443E-2</v>
      </c>
      <c r="G1139" s="479">
        <f t="shared" si="35"/>
        <v>45.91883397683398</v>
      </c>
      <c r="H1139" s="484" t="s">
        <v>31</v>
      </c>
      <c r="I1139" s="2"/>
      <c r="J1139" s="2"/>
      <c r="K1139" s="2"/>
      <c r="L1139" s="2"/>
      <c r="O1139" s="58"/>
      <c r="P1139" s="58"/>
    </row>
    <row r="1140" spans="1:16">
      <c r="A1140"/>
      <c r="B1140" s="530"/>
      <c r="C1140" s="509">
        <v>1</v>
      </c>
      <c r="D1140" s="482"/>
      <c r="E1140" s="482">
        <f t="shared" si="36"/>
        <v>-1</v>
      </c>
      <c r="F1140" s="485">
        <f>SUM($E$2:E1140)/SUM($C$2:C1140)</f>
        <v>3.9437079874305517E-2</v>
      </c>
      <c r="G1140" s="478">
        <f t="shared" si="35"/>
        <v>44.91883397683398</v>
      </c>
      <c r="H1140" s="486" t="s">
        <v>32</v>
      </c>
      <c r="I1140" s="2"/>
      <c r="J1140" s="2"/>
      <c r="K1140" s="2"/>
      <c r="L1140" s="2"/>
      <c r="O1140" s="58"/>
      <c r="P1140" s="58"/>
    </row>
    <row r="1141" spans="1:16">
      <c r="A1141"/>
      <c r="B1141" s="530"/>
      <c r="C1141" s="508">
        <v>1</v>
      </c>
      <c r="D1141" s="481">
        <v>1.9</v>
      </c>
      <c r="E1141" s="481">
        <f t="shared" si="36"/>
        <v>0.89999999999999991</v>
      </c>
      <c r="F1141" s="483">
        <f>SUM($E$2:E1141)/SUM($C$2:C1141)</f>
        <v>4.0191959628801739E-2</v>
      </c>
      <c r="G1141" s="479">
        <f t="shared" si="35"/>
        <v>45.818833976833979</v>
      </c>
      <c r="H1141" s="484" t="s">
        <v>412</v>
      </c>
      <c r="I1141" s="2"/>
      <c r="J1141" s="2"/>
      <c r="K1141" s="2"/>
      <c r="L1141" s="2"/>
      <c r="O1141" s="58"/>
      <c r="P1141" s="58"/>
    </row>
    <row r="1142" spans="1:16">
      <c r="A1142"/>
      <c r="B1142" s="530"/>
      <c r="C1142" s="508">
        <v>1</v>
      </c>
      <c r="D1142" s="481"/>
      <c r="E1142" s="481">
        <f t="shared" si="36"/>
        <v>-1</v>
      </c>
      <c r="F1142" s="483">
        <f>SUM($E$2:E1142)/SUM($C$2:C1142)</f>
        <v>3.9280310233859757E-2</v>
      </c>
      <c r="G1142" s="479">
        <f t="shared" si="35"/>
        <v>44.818833976833979</v>
      </c>
      <c r="H1142" s="484" t="s">
        <v>413</v>
      </c>
      <c r="I1142" s="2"/>
      <c r="J1142" s="2"/>
      <c r="K1142" s="2"/>
      <c r="L1142" s="2"/>
      <c r="O1142" s="58"/>
      <c r="P1142" s="58"/>
    </row>
    <row r="1143" spans="1:16">
      <c r="A1143"/>
      <c r="B1143" s="530"/>
      <c r="C1143" s="508">
        <v>1</v>
      </c>
      <c r="D1143" s="481"/>
      <c r="E1143" s="481">
        <f t="shared" si="36"/>
        <v>-1</v>
      </c>
      <c r="F1143" s="483">
        <f>SUM($E$2:E1143)/SUM($C$2:C1143)</f>
        <v>3.837025742279683E-2</v>
      </c>
      <c r="G1143" s="479">
        <f t="shared" si="35"/>
        <v>43.818833976833979</v>
      </c>
      <c r="H1143" s="484" t="s">
        <v>414</v>
      </c>
      <c r="I1143" s="2"/>
      <c r="J1143" s="2"/>
      <c r="K1143" s="2"/>
      <c r="L1143" s="2"/>
      <c r="O1143" s="58"/>
      <c r="P1143" s="58"/>
    </row>
    <row r="1144" spans="1:16">
      <c r="A1144"/>
      <c r="B1144" s="530"/>
      <c r="C1144" s="508">
        <v>1</v>
      </c>
      <c r="D1144" s="481"/>
      <c r="E1144" s="481">
        <f t="shared" si="36"/>
        <v>-1</v>
      </c>
      <c r="F1144" s="483">
        <f>SUM($E$2:E1144)/SUM($C$2:C1144)</f>
        <v>3.7461797005104096E-2</v>
      </c>
      <c r="G1144" s="479">
        <f t="shared" si="35"/>
        <v>42.818833976833979</v>
      </c>
      <c r="H1144" s="484" t="s">
        <v>302</v>
      </c>
      <c r="I1144" s="2"/>
      <c r="J1144" s="2"/>
      <c r="K1144" s="2"/>
      <c r="L1144" s="2"/>
      <c r="O1144" s="58"/>
      <c r="P1144" s="58"/>
    </row>
    <row r="1145" spans="1:16">
      <c r="A1145"/>
      <c r="B1145" s="530"/>
      <c r="C1145" s="508">
        <v>1</v>
      </c>
      <c r="D1145" s="481"/>
      <c r="E1145" s="481">
        <f t="shared" si="36"/>
        <v>-1</v>
      </c>
      <c r="F1145" s="483">
        <f>SUM($E$2:E1145)/SUM($C$2:C1145)</f>
        <v>3.655492480492481E-2</v>
      </c>
      <c r="G1145" s="479">
        <f t="shared" si="35"/>
        <v>41.818833976833979</v>
      </c>
      <c r="H1145" s="484" t="s">
        <v>415</v>
      </c>
      <c r="I1145" s="2"/>
      <c r="J1145" s="2"/>
      <c r="K1145" s="2"/>
      <c r="L1145" s="2"/>
      <c r="O1145" s="58"/>
      <c r="P1145" s="58"/>
    </row>
    <row r="1146" spans="1:16">
      <c r="A1146"/>
      <c r="B1146" s="530"/>
      <c r="C1146" s="509">
        <v>1</v>
      </c>
      <c r="D1146" s="482">
        <v>1.86</v>
      </c>
      <c r="E1146" s="482">
        <f t="shared" si="36"/>
        <v>0.8600000000000001</v>
      </c>
      <c r="F1146" s="485">
        <f>SUM($E$2:E1146)/SUM($C$2:C1146)</f>
        <v>3.7274090809461986E-2</v>
      </c>
      <c r="G1146" s="478">
        <f t="shared" si="35"/>
        <v>42.678833976833978</v>
      </c>
      <c r="H1146" s="486" t="s">
        <v>416</v>
      </c>
      <c r="I1146" s="2"/>
      <c r="J1146" s="2"/>
      <c r="K1146" s="2"/>
      <c r="L1146" s="2"/>
      <c r="O1146" s="58"/>
      <c r="P1146" s="58"/>
    </row>
    <row r="1147" spans="1:16">
      <c r="A1147"/>
      <c r="B1147" s="530"/>
      <c r="C1147" s="508">
        <v>1</v>
      </c>
      <c r="D1147" s="481">
        <v>1.85</v>
      </c>
      <c r="E1147" s="481">
        <f t="shared" si="36"/>
        <v>0.85000000000000009</v>
      </c>
      <c r="F1147" s="483">
        <f>SUM($E$2:E1147)/SUM($C$2:C1147)</f>
        <v>3.7983275721495617E-2</v>
      </c>
      <c r="G1147" s="479">
        <f t="shared" si="35"/>
        <v>43.52883397683398</v>
      </c>
      <c r="H1147" s="484" t="s">
        <v>18</v>
      </c>
      <c r="I1147" s="2"/>
      <c r="J1147" s="2"/>
      <c r="K1147" s="2"/>
      <c r="L1147" s="2"/>
      <c r="O1147" s="58"/>
      <c r="P1147" s="58"/>
    </row>
    <row r="1148" spans="1:16">
      <c r="A1148"/>
      <c r="B1148" s="530"/>
      <c r="C1148" s="508">
        <v>1</v>
      </c>
      <c r="D1148" s="481"/>
      <c r="E1148" s="481">
        <f t="shared" si="36"/>
        <v>-1</v>
      </c>
      <c r="F1148" s="483">
        <f>SUM($E$2:E1148)/SUM($C$2:C1148)</f>
        <v>3.7078320816768942E-2</v>
      </c>
      <c r="G1148" s="479">
        <f t="shared" si="35"/>
        <v>42.52883397683398</v>
      </c>
      <c r="H1148" s="484" t="s">
        <v>13</v>
      </c>
      <c r="I1148" s="2"/>
      <c r="J1148" s="2"/>
      <c r="K1148" s="2"/>
      <c r="L1148" s="2"/>
      <c r="O1148" s="58"/>
      <c r="P1148" s="58"/>
    </row>
    <row r="1149" spans="1:16">
      <c r="A1149"/>
      <c r="B1149" s="530"/>
      <c r="C1149" s="508">
        <v>1</v>
      </c>
      <c r="D1149" s="481"/>
      <c r="E1149" s="481">
        <f t="shared" si="36"/>
        <v>-1</v>
      </c>
      <c r="F1149" s="483">
        <f>SUM($E$2:E1149)/SUM($C$2:C1149)</f>
        <v>3.6174942488531342E-2</v>
      </c>
      <c r="G1149" s="479">
        <f t="shared" si="35"/>
        <v>41.52883397683398</v>
      </c>
      <c r="H1149" s="484" t="s">
        <v>12</v>
      </c>
      <c r="I1149" s="2"/>
      <c r="J1149" s="2"/>
      <c r="K1149" s="2"/>
      <c r="L1149" s="2"/>
      <c r="O1149" s="58"/>
      <c r="P1149" s="58"/>
    </row>
    <row r="1150" spans="1:16">
      <c r="A1150"/>
      <c r="B1150" s="530"/>
      <c r="C1150" s="509">
        <v>1</v>
      </c>
      <c r="D1150" s="482"/>
      <c r="E1150" s="482">
        <f t="shared" si="36"/>
        <v>-1</v>
      </c>
      <c r="F1150" s="485">
        <f>SUM($E$2:E1150)/SUM($C$2:C1150)</f>
        <v>3.5273136620395107E-2</v>
      </c>
      <c r="G1150" s="478">
        <f t="shared" si="35"/>
        <v>40.52883397683398</v>
      </c>
      <c r="H1150" s="486" t="s">
        <v>14</v>
      </c>
      <c r="I1150" s="2">
        <f>SUM(E1137:E1150)</f>
        <v>-6.3899999999999988</v>
      </c>
      <c r="L1150" s="2">
        <f>I1150/C1150</f>
        <v>-6.3899999999999988</v>
      </c>
      <c r="O1150" s="58"/>
      <c r="P1150" s="58"/>
    </row>
    <row r="1151" spans="1:16">
      <c r="A1151"/>
      <c r="B1151" s="529">
        <v>46100</v>
      </c>
      <c r="C1151" s="508">
        <v>1</v>
      </c>
      <c r="D1151" s="481"/>
      <c r="E1151" s="481">
        <f t="shared" si="36"/>
        <v>-1</v>
      </c>
      <c r="F1151" s="483">
        <f>SUM($E$2:E1151)/SUM($C$2:C1151)</f>
        <v>3.4372899110290414E-2</v>
      </c>
      <c r="G1151" s="479">
        <f t="shared" ref="G1151:G1214" si="37">G1150+E1151</f>
        <v>39.52883397683398</v>
      </c>
      <c r="H1151" s="484" t="s">
        <v>46</v>
      </c>
      <c r="I1151" s="2"/>
      <c r="J1151" s="2"/>
      <c r="K1151" s="2"/>
      <c r="L1151" s="2"/>
      <c r="O1151" s="58"/>
      <c r="P1151" s="58"/>
    </row>
    <row r="1152" spans="1:16">
      <c r="A1152"/>
      <c r="B1152" s="530"/>
      <c r="C1152" s="508">
        <v>1</v>
      </c>
      <c r="D1152" s="481"/>
      <c r="E1152" s="481">
        <f t="shared" si="36"/>
        <v>-1</v>
      </c>
      <c r="F1152" s="483">
        <f>SUM($E$2:E1152)/SUM($C$2:C1152)</f>
        <v>3.3474225870403107E-2</v>
      </c>
      <c r="G1152" s="479">
        <f t="shared" si="37"/>
        <v>38.52883397683398</v>
      </c>
      <c r="H1152" s="484" t="s">
        <v>48</v>
      </c>
      <c r="I1152" s="2"/>
      <c r="J1152" s="2"/>
      <c r="K1152" s="2"/>
      <c r="L1152" s="2"/>
      <c r="O1152" s="58"/>
      <c r="P1152" s="58"/>
    </row>
    <row r="1153" spans="1:16">
      <c r="A1153"/>
      <c r="B1153" s="530"/>
      <c r="C1153" s="508">
        <v>1</v>
      </c>
      <c r="D1153" s="481">
        <v>1.83</v>
      </c>
      <c r="E1153" s="481">
        <f t="shared" si="36"/>
        <v>0.83000000000000007</v>
      </c>
      <c r="F1153" s="483">
        <f>SUM($E$2:E1153)/SUM($C$2:C1153)</f>
        <v>3.4165654493779493E-2</v>
      </c>
      <c r="G1153" s="479">
        <f t="shared" si="37"/>
        <v>39.358833976833978</v>
      </c>
      <c r="H1153" s="484" t="s">
        <v>13</v>
      </c>
      <c r="I1153" s="2"/>
      <c r="J1153" s="2"/>
      <c r="K1153" s="2"/>
      <c r="L1153" s="2"/>
      <c r="O1153" s="58"/>
      <c r="P1153" s="58"/>
    </row>
    <row r="1154" spans="1:16">
      <c r="A1154"/>
      <c r="B1154" s="530"/>
      <c r="C1154" s="508">
        <v>1</v>
      </c>
      <c r="D1154" s="481">
        <v>1.83</v>
      </c>
      <c r="E1154" s="481">
        <f t="shared" ref="E1154:E1217" si="38">(C1154*D1154)-C1154</f>
        <v>0.83000000000000007</v>
      </c>
      <c r="F1154" s="483">
        <f>SUM($E$2:E1154)/SUM($C$2:C1154)</f>
        <v>3.4855883761347767E-2</v>
      </c>
      <c r="G1154" s="479">
        <f t="shared" si="37"/>
        <v>40.188833976833976</v>
      </c>
      <c r="H1154" s="484" t="s">
        <v>37</v>
      </c>
      <c r="I1154" s="2"/>
      <c r="J1154" s="2"/>
      <c r="K1154" s="2"/>
      <c r="L1154" s="2"/>
      <c r="O1154" s="58"/>
      <c r="P1154" s="58"/>
    </row>
    <row r="1155" spans="1:16">
      <c r="A1155"/>
      <c r="B1155" s="530"/>
      <c r="C1155" s="509">
        <v>1</v>
      </c>
      <c r="D1155" s="482"/>
      <c r="E1155" s="482">
        <f t="shared" si="38"/>
        <v>-1</v>
      </c>
      <c r="F1155" s="485">
        <f>SUM($E$2:E1155)/SUM($C$2:C1155)</f>
        <v>3.395912822949218E-2</v>
      </c>
      <c r="G1155" s="478">
        <f t="shared" si="37"/>
        <v>39.188833976833976</v>
      </c>
      <c r="H1155" s="486" t="s">
        <v>47</v>
      </c>
      <c r="I1155" s="2"/>
      <c r="J1155" s="2"/>
      <c r="K1155" s="2"/>
      <c r="L1155" s="2"/>
      <c r="O1155" s="58"/>
      <c r="P1155" s="58"/>
    </row>
    <row r="1156" spans="1:16">
      <c r="A1156"/>
      <c r="B1156" s="530"/>
      <c r="C1156" s="508">
        <v>1</v>
      </c>
      <c r="D1156" s="481"/>
      <c r="E1156" s="481">
        <f t="shared" si="38"/>
        <v>-1</v>
      </c>
      <c r="F1156" s="483">
        <f>SUM($E$2:E1156)/SUM($C$2:C1156)</f>
        <v>3.3063925521068377E-2</v>
      </c>
      <c r="G1156" s="479">
        <f t="shared" si="37"/>
        <v>38.188833976833976</v>
      </c>
      <c r="H1156" s="484" t="s">
        <v>417</v>
      </c>
      <c r="I1156" s="2"/>
      <c r="J1156" s="2"/>
      <c r="K1156" s="2"/>
      <c r="L1156" s="2"/>
      <c r="O1156" s="58"/>
      <c r="P1156" s="58"/>
    </row>
    <row r="1157" spans="1:16">
      <c r="A1157"/>
      <c r="B1157" s="530"/>
      <c r="C1157" s="508">
        <v>1</v>
      </c>
      <c r="D1157" s="481">
        <v>1.87</v>
      </c>
      <c r="E1157" s="481">
        <f t="shared" si="38"/>
        <v>0.87000000000000011</v>
      </c>
      <c r="F1157" s="483">
        <f>SUM($E$2:E1157)/SUM($C$2:C1157)</f>
        <v>3.3787918665081289E-2</v>
      </c>
      <c r="G1157" s="479">
        <f t="shared" si="37"/>
        <v>39.058833976833974</v>
      </c>
      <c r="H1157" s="484" t="s">
        <v>410</v>
      </c>
      <c r="I1157" s="2"/>
      <c r="J1157" s="2"/>
      <c r="K1157" s="2"/>
      <c r="L1157" s="2"/>
      <c r="O1157" s="58"/>
      <c r="P1157" s="58"/>
    </row>
    <row r="1158" spans="1:16">
      <c r="A1158"/>
      <c r="B1158" s="530"/>
      <c r="C1158" s="508">
        <v>1</v>
      </c>
      <c r="D1158" s="481"/>
      <c r="E1158" s="481">
        <f t="shared" si="38"/>
        <v>-1</v>
      </c>
      <c r="F1158" s="483">
        <f>SUM($E$2:E1158)/SUM($C$2:C1158)</f>
        <v>3.2894411388793406E-2</v>
      </c>
      <c r="G1158" s="479">
        <f t="shared" si="37"/>
        <v>38.058833976833974</v>
      </c>
      <c r="H1158" s="484" t="s">
        <v>418</v>
      </c>
      <c r="I1158" s="2"/>
      <c r="J1158" s="2"/>
      <c r="K1158" s="2"/>
      <c r="L1158" s="2"/>
      <c r="O1158" s="58"/>
      <c r="P1158" s="58"/>
    </row>
    <row r="1159" spans="1:16">
      <c r="A1159"/>
      <c r="B1159" s="530"/>
      <c r="C1159" s="508">
        <v>1</v>
      </c>
      <c r="D1159" s="481">
        <v>1.87</v>
      </c>
      <c r="E1159" s="481">
        <f t="shared" si="38"/>
        <v>0.87000000000000011</v>
      </c>
      <c r="F1159" s="483">
        <f>SUM($E$2:E1159)/SUM($C$2:C1159)</f>
        <v>3.3617300498129506E-2</v>
      </c>
      <c r="G1159" s="479">
        <f t="shared" si="37"/>
        <v>38.928833976833971</v>
      </c>
      <c r="H1159" s="484" t="s">
        <v>105</v>
      </c>
      <c r="I1159" s="2"/>
      <c r="J1159" s="2"/>
      <c r="K1159" s="2"/>
      <c r="L1159" s="2"/>
      <c r="O1159" s="58"/>
      <c r="P1159" s="58"/>
    </row>
    <row r="1160" spans="1:16">
      <c r="A1160"/>
      <c r="B1160" s="530"/>
      <c r="C1160" s="508">
        <v>1</v>
      </c>
      <c r="D1160" s="481">
        <v>1.87</v>
      </c>
      <c r="E1160" s="481">
        <f t="shared" si="38"/>
        <v>0.87000000000000011</v>
      </c>
      <c r="F1160" s="483">
        <f>SUM($E$2:E1160)/SUM($C$2:C1160)</f>
        <v>3.4338942171556489E-2</v>
      </c>
      <c r="G1160" s="479">
        <f t="shared" si="37"/>
        <v>39.798833976833969</v>
      </c>
      <c r="H1160" s="484" t="s">
        <v>419</v>
      </c>
      <c r="I1160" s="2"/>
      <c r="J1160" s="2"/>
      <c r="K1160" s="2"/>
      <c r="L1160" s="2"/>
      <c r="O1160" s="58"/>
      <c r="P1160" s="58"/>
    </row>
    <row r="1161" spans="1:16">
      <c r="A1161"/>
      <c r="B1161" s="530"/>
      <c r="C1161" s="509">
        <v>1</v>
      </c>
      <c r="D1161" s="482"/>
      <c r="E1161" s="482">
        <f t="shared" si="38"/>
        <v>-1</v>
      </c>
      <c r="F1161" s="485">
        <f>SUM($E$2:E1161)/SUM($C$2:C1161)</f>
        <v>3.3447270669684455E-2</v>
      </c>
      <c r="G1161" s="478">
        <f t="shared" si="37"/>
        <v>38.798833976833969</v>
      </c>
      <c r="H1161" s="486" t="s">
        <v>420</v>
      </c>
      <c r="I1161" s="2"/>
      <c r="J1161" s="2"/>
      <c r="K1161" s="2"/>
      <c r="L1161" s="2"/>
      <c r="O1161" s="58"/>
      <c r="P1161" s="58"/>
    </row>
    <row r="1162" spans="1:16">
      <c r="A1162"/>
      <c r="B1162" s="530"/>
      <c r="C1162" s="508">
        <v>1</v>
      </c>
      <c r="D1162" s="481">
        <v>1.82</v>
      </c>
      <c r="E1162" s="481">
        <f t="shared" si="38"/>
        <v>0.82000000000000006</v>
      </c>
      <c r="F1162" s="483">
        <f>SUM($E$2:E1162)/SUM($C$2:C1162)</f>
        <v>3.412474933405165E-2</v>
      </c>
      <c r="G1162" s="479">
        <f t="shared" si="37"/>
        <v>39.618833976833969</v>
      </c>
      <c r="H1162" s="484" t="s">
        <v>13</v>
      </c>
      <c r="I1162" s="2"/>
      <c r="J1162" s="2"/>
      <c r="K1162" s="2"/>
      <c r="L1162" s="2"/>
      <c r="O1162" s="58"/>
      <c r="P1162" s="58"/>
    </row>
    <row r="1163" spans="1:16">
      <c r="A1163"/>
      <c r="B1163" s="530"/>
      <c r="C1163" s="508">
        <v>1</v>
      </c>
      <c r="D1163" s="481"/>
      <c r="E1163" s="481">
        <f t="shared" si="38"/>
        <v>-1</v>
      </c>
      <c r="F1163" s="483">
        <f>SUM($E$2:E1163)/SUM($C$2:C1163)</f>
        <v>3.3234796881956942E-2</v>
      </c>
      <c r="G1163" s="479">
        <f t="shared" si="37"/>
        <v>38.618833976833969</v>
      </c>
      <c r="H1163" s="484" t="s">
        <v>12</v>
      </c>
      <c r="I1163" s="2"/>
      <c r="J1163" s="2"/>
      <c r="K1163" s="2"/>
      <c r="L1163" s="2"/>
      <c r="O1163" s="58"/>
      <c r="P1163" s="58"/>
    </row>
    <row r="1164" spans="1:16">
      <c r="A1164"/>
      <c r="B1164" s="530"/>
      <c r="C1164" s="509">
        <v>1</v>
      </c>
      <c r="D1164" s="482">
        <v>2.9119999999999999</v>
      </c>
      <c r="E1164" s="482">
        <f t="shared" si="38"/>
        <v>1.9119999999999999</v>
      </c>
      <c r="F1164" s="485">
        <f>SUM($E$2:E1164)/SUM($C$2:C1164)</f>
        <v>3.4850244176125512E-2</v>
      </c>
      <c r="G1164" s="478">
        <f t="shared" si="37"/>
        <v>40.530833976833968</v>
      </c>
      <c r="H1164" s="486" t="s">
        <v>21</v>
      </c>
      <c r="I1164" s="2">
        <f>SUM(E1151:E1164)</f>
        <v>2.0000000000004459E-3</v>
      </c>
      <c r="L1164" s="2">
        <f>I1164/C1164</f>
        <v>2.0000000000004459E-3</v>
      </c>
      <c r="O1164" s="58"/>
      <c r="P1164" s="58"/>
    </row>
    <row r="1165" spans="1:16">
      <c r="A1165"/>
      <c r="B1165" s="529">
        <v>46101</v>
      </c>
      <c r="C1165" s="508">
        <v>1</v>
      </c>
      <c r="D1165" s="481"/>
      <c r="E1165" s="481">
        <f t="shared" si="38"/>
        <v>-1</v>
      </c>
      <c r="F1165" s="483">
        <f>SUM($E$2:E1165)/SUM($C$2:C1165)</f>
        <v>3.396119757459963E-2</v>
      </c>
      <c r="G1165" s="479">
        <f t="shared" si="37"/>
        <v>39.530833976833968</v>
      </c>
      <c r="H1165" s="484" t="s">
        <v>32</v>
      </c>
      <c r="I1165" s="2"/>
      <c r="J1165" s="2"/>
      <c r="K1165" s="2"/>
      <c r="L1165" s="2"/>
      <c r="O1165" s="58"/>
      <c r="P1165" s="58"/>
    </row>
    <row r="1166" spans="1:16">
      <c r="A1166"/>
      <c r="B1166" s="530"/>
      <c r="C1166" s="509">
        <v>1</v>
      </c>
      <c r="D1166" s="482">
        <v>1.86</v>
      </c>
      <c r="E1166" s="482">
        <f t="shared" si="38"/>
        <v>0.8600000000000001</v>
      </c>
      <c r="F1166" s="485">
        <f>SUM($E$2:E1166)/SUM($C$2:C1166)</f>
        <v>3.4670243756939029E-2</v>
      </c>
      <c r="G1166" s="478">
        <f t="shared" si="37"/>
        <v>40.390833976833967</v>
      </c>
      <c r="H1166" s="486" t="s">
        <v>77</v>
      </c>
      <c r="I1166" s="2"/>
      <c r="J1166" s="2"/>
      <c r="K1166" s="2"/>
      <c r="L1166" s="2"/>
      <c r="O1166" s="58"/>
      <c r="P1166" s="58"/>
    </row>
    <row r="1167" spans="1:16">
      <c r="A1167"/>
      <c r="B1167" s="530"/>
      <c r="C1167" s="508">
        <v>1</v>
      </c>
      <c r="D1167" s="481"/>
      <c r="E1167" s="481">
        <f t="shared" si="38"/>
        <v>-1</v>
      </c>
      <c r="F1167" s="483">
        <f>SUM($E$2:E1167)/SUM($C$2:C1167)</f>
        <v>3.3782876480989682E-2</v>
      </c>
      <c r="G1167" s="479">
        <f t="shared" si="37"/>
        <v>39.390833976833967</v>
      </c>
      <c r="H1167" s="484" t="s">
        <v>421</v>
      </c>
      <c r="I1167" s="2"/>
      <c r="J1167" s="2"/>
      <c r="K1167" s="2"/>
      <c r="L1167" s="2"/>
      <c r="O1167" s="58"/>
      <c r="P1167" s="58"/>
    </row>
    <row r="1168" spans="1:16">
      <c r="A1168"/>
      <c r="B1168" s="530"/>
      <c r="C1168" s="508">
        <v>1</v>
      </c>
      <c r="D1168" s="481"/>
      <c r="E1168" s="481">
        <f t="shared" si="38"/>
        <v>-1</v>
      </c>
      <c r="F1168" s="483">
        <f>SUM($E$2:E1168)/SUM($C$2:C1168)</f>
        <v>3.2897029971580088E-2</v>
      </c>
      <c r="G1168" s="479">
        <f t="shared" si="37"/>
        <v>38.390833976833967</v>
      </c>
      <c r="H1168" s="484" t="s">
        <v>422</v>
      </c>
      <c r="I1168" s="2"/>
      <c r="J1168" s="2"/>
      <c r="K1168" s="2"/>
      <c r="L1168" s="2"/>
      <c r="O1168" s="58"/>
      <c r="P1168" s="58"/>
    </row>
    <row r="1169" spans="1:16">
      <c r="A1169"/>
      <c r="B1169" s="530"/>
      <c r="C1169" s="508">
        <v>1</v>
      </c>
      <c r="D1169" s="481">
        <v>1.87</v>
      </c>
      <c r="E1169" s="481">
        <f t="shared" si="38"/>
        <v>0.87000000000000011</v>
      </c>
      <c r="F1169" s="483">
        <f>SUM($E$2:E1169)/SUM($C$2:C1169)</f>
        <v>3.3613727719892093E-2</v>
      </c>
      <c r="G1169" s="479">
        <f t="shared" si="37"/>
        <v>39.260833976833965</v>
      </c>
      <c r="H1169" s="484" t="s">
        <v>423</v>
      </c>
      <c r="I1169" s="2"/>
      <c r="J1169" s="2"/>
      <c r="K1169" s="2"/>
      <c r="L1169" s="2"/>
      <c r="O1169" s="58"/>
      <c r="P1169" s="58"/>
    </row>
    <row r="1170" spans="1:16">
      <c r="A1170"/>
      <c r="B1170" s="531"/>
      <c r="C1170" s="509">
        <v>1</v>
      </c>
      <c r="D1170" s="482">
        <v>1.86</v>
      </c>
      <c r="E1170" s="482">
        <f t="shared" si="38"/>
        <v>0.8600000000000001</v>
      </c>
      <c r="F1170" s="485">
        <f>SUM($E$2:E1170)/SUM($C$2:C1170)</f>
        <v>3.4320644975905874E-2</v>
      </c>
      <c r="G1170" s="478">
        <f t="shared" si="37"/>
        <v>40.120833976833964</v>
      </c>
      <c r="H1170" s="486" t="s">
        <v>424</v>
      </c>
      <c r="I1170" s="2">
        <f>SUM(E1165:E1170)</f>
        <v>-0.40999999999999948</v>
      </c>
      <c r="L1170" s="2">
        <f>I1170/C1170</f>
        <v>-0.40999999999999948</v>
      </c>
      <c r="O1170" s="58"/>
      <c r="P1170" s="58"/>
    </row>
    <row r="1171" spans="1:16">
      <c r="A1171"/>
      <c r="B1171" s="529">
        <v>46103</v>
      </c>
      <c r="C1171" s="508">
        <v>1</v>
      </c>
      <c r="D1171" s="481"/>
      <c r="E1171" s="481">
        <f t="shared" si="38"/>
        <v>-1</v>
      </c>
      <c r="F1171" s="483">
        <f>SUM($E$2:E1171)/SUM($C$2:C1171)</f>
        <v>3.3436610236610223E-2</v>
      </c>
      <c r="G1171" s="479">
        <f t="shared" si="37"/>
        <v>39.120833976833964</v>
      </c>
      <c r="H1171" s="484" t="s">
        <v>77</v>
      </c>
      <c r="I1171" s="2"/>
      <c r="J1171" s="2"/>
      <c r="K1171" s="2"/>
      <c r="L1171" s="2"/>
      <c r="O1171" s="58"/>
      <c r="P1171" s="58"/>
    </row>
    <row r="1172" spans="1:16">
      <c r="A1172"/>
      <c r="B1172" s="530"/>
      <c r="C1172" s="508">
        <v>1</v>
      </c>
      <c r="D1172" s="481"/>
      <c r="E1172" s="481">
        <f t="shared" si="38"/>
        <v>-1</v>
      </c>
      <c r="F1172" s="483">
        <f>SUM($E$2:E1172)/SUM($C$2:C1172)</f>
        <v>3.2554085377313378E-2</v>
      </c>
      <c r="G1172" s="479">
        <f t="shared" si="37"/>
        <v>38.120833976833964</v>
      </c>
      <c r="H1172" s="484" t="s">
        <v>47</v>
      </c>
      <c r="I1172" s="2"/>
      <c r="J1172" s="2"/>
      <c r="K1172" s="2"/>
      <c r="L1172" s="2"/>
      <c r="O1172" s="58"/>
      <c r="P1172" s="58"/>
    </row>
    <row r="1173" spans="1:16">
      <c r="A1173"/>
      <c r="B1173" s="530"/>
      <c r="C1173" s="508">
        <v>1</v>
      </c>
      <c r="D1173" s="481"/>
      <c r="E1173" s="481">
        <f t="shared" si="38"/>
        <v>-1</v>
      </c>
      <c r="F1173" s="483">
        <f>SUM($E$2:E1173)/SUM($C$2:C1173)</f>
        <v>3.1673066533134779E-2</v>
      </c>
      <c r="G1173" s="479">
        <f t="shared" si="37"/>
        <v>37.120833976833964</v>
      </c>
      <c r="H1173" s="484" t="s">
        <v>49</v>
      </c>
      <c r="I1173" s="2"/>
      <c r="J1173" s="2"/>
      <c r="K1173" s="2"/>
      <c r="L1173" s="2"/>
      <c r="O1173" s="58"/>
      <c r="P1173" s="58"/>
    </row>
    <row r="1174" spans="1:16">
      <c r="A1174"/>
      <c r="B1174" s="530"/>
      <c r="C1174" s="509">
        <v>1</v>
      </c>
      <c r="D1174" s="482">
        <v>1.91</v>
      </c>
      <c r="E1174" s="482">
        <f t="shared" si="38"/>
        <v>0.90999999999999992</v>
      </c>
      <c r="F1174" s="485">
        <f>SUM($E$2:E1174)/SUM($C$2:C1174)</f>
        <v>3.2421853347684534E-2</v>
      </c>
      <c r="G1174" s="478">
        <f t="shared" si="37"/>
        <v>38.030833976833961</v>
      </c>
      <c r="H1174" s="486" t="s">
        <v>36</v>
      </c>
      <c r="I1174" s="2"/>
      <c r="J1174" s="2"/>
      <c r="K1174" s="2"/>
      <c r="L1174" s="2"/>
      <c r="O1174" s="58"/>
      <c r="P1174" s="58"/>
    </row>
    <row r="1175" spans="1:16">
      <c r="A1175"/>
      <c r="B1175" s="530"/>
      <c r="C1175" s="508">
        <v>1</v>
      </c>
      <c r="D1175" s="481"/>
      <c r="E1175" s="481">
        <f t="shared" si="38"/>
        <v>-1</v>
      </c>
      <c r="F1175" s="483">
        <f>SUM($E$2:E1175)/SUM($C$2:C1175)</f>
        <v>3.1542448021153288E-2</v>
      </c>
      <c r="G1175" s="479">
        <f t="shared" si="37"/>
        <v>37.030833976833961</v>
      </c>
      <c r="H1175" s="484" t="s">
        <v>425</v>
      </c>
      <c r="I1175" s="2"/>
      <c r="J1175" s="2"/>
      <c r="K1175" s="2"/>
      <c r="L1175" s="2"/>
      <c r="O1175" s="58"/>
      <c r="P1175" s="58"/>
    </row>
    <row r="1176" spans="1:16">
      <c r="A1176"/>
      <c r="B1176" s="531"/>
      <c r="C1176" s="509">
        <v>1</v>
      </c>
      <c r="D1176" s="482"/>
      <c r="E1176" s="482">
        <f t="shared" si="38"/>
        <v>-1</v>
      </c>
      <c r="F1176" s="485">
        <f>SUM($E$2:E1176)/SUM($C$2:C1176)</f>
        <v>3.0664539554752308E-2</v>
      </c>
      <c r="G1176" s="478">
        <f t="shared" si="37"/>
        <v>36.030833976833961</v>
      </c>
      <c r="H1176" s="486" t="s">
        <v>426</v>
      </c>
      <c r="I1176" s="440">
        <f>SUM(E1171:E1176)</f>
        <v>-4.09</v>
      </c>
      <c r="J1176" s="440">
        <f>SUM(E1118:E1176)</f>
        <v>-20.462</v>
      </c>
      <c r="L1176" s="2">
        <f>I1176/C1176</f>
        <v>-4.09</v>
      </c>
      <c r="O1176" s="58"/>
      <c r="P1176" s="58"/>
    </row>
    <row r="1177" spans="1:16">
      <c r="A1177"/>
      <c r="B1177" s="530">
        <v>46104</v>
      </c>
      <c r="C1177" s="508">
        <v>1</v>
      </c>
      <c r="D1177" s="481"/>
      <c r="E1177" s="481">
        <f t="shared" si="38"/>
        <v>-1</v>
      </c>
      <c r="F1177" s="483">
        <f>SUM($E$2:E1177)/SUM($C$2:C1177)</f>
        <v>2.978812412996085E-2</v>
      </c>
      <c r="G1177" s="479">
        <f t="shared" si="37"/>
        <v>35.030833976833961</v>
      </c>
      <c r="H1177" s="484" t="s">
        <v>76</v>
      </c>
      <c r="I1177" s="2"/>
      <c r="J1177" s="2"/>
      <c r="K1177" s="2"/>
      <c r="L1177" s="2"/>
      <c r="O1177" s="58"/>
      <c r="P1177" s="58"/>
    </row>
    <row r="1178" spans="1:16">
      <c r="A1178"/>
      <c r="B1178" s="530"/>
      <c r="C1178" s="508">
        <v>1</v>
      </c>
      <c r="D1178" s="481">
        <v>1.83</v>
      </c>
      <c r="E1178" s="481">
        <f t="shared" si="38"/>
        <v>0.83000000000000007</v>
      </c>
      <c r="F1178" s="483">
        <f>SUM($E$2:E1178)/SUM($C$2:C1178)</f>
        <v>3.0467998281082379E-2</v>
      </c>
      <c r="G1178" s="479">
        <f t="shared" si="37"/>
        <v>35.860833976833959</v>
      </c>
      <c r="H1178" s="484" t="s">
        <v>48</v>
      </c>
      <c r="I1178" s="2"/>
      <c r="J1178" s="2"/>
      <c r="K1178" s="2"/>
      <c r="L1178" s="2"/>
      <c r="O1178" s="58"/>
      <c r="P1178" s="58"/>
    </row>
    <row r="1179" spans="1:16">
      <c r="A1179"/>
      <c r="B1179" s="530"/>
      <c r="C1179" s="508">
        <v>1</v>
      </c>
      <c r="D1179" s="481"/>
      <c r="E1179" s="481">
        <f t="shared" si="38"/>
        <v>-1</v>
      </c>
      <c r="F1179" s="483">
        <f>SUM($E$2:E1179)/SUM($C$2:C1179)</f>
        <v>2.9593237671336127E-2</v>
      </c>
      <c r="G1179" s="479">
        <f t="shared" si="37"/>
        <v>34.860833976833959</v>
      </c>
      <c r="H1179" s="484" t="s">
        <v>10</v>
      </c>
      <c r="I1179" s="2"/>
      <c r="J1179" s="2"/>
      <c r="K1179" s="2"/>
      <c r="L1179" s="2"/>
      <c r="O1179" s="58"/>
      <c r="P1179" s="58"/>
    </row>
    <row r="1180" spans="1:16">
      <c r="A1180"/>
      <c r="B1180" s="530"/>
      <c r="C1180" s="508">
        <v>1</v>
      </c>
      <c r="D1180" s="481"/>
      <c r="E1180" s="481">
        <f t="shared" si="38"/>
        <v>-1</v>
      </c>
      <c r="F1180" s="483">
        <f>SUM($E$2:E1180)/SUM($C$2:C1180)</f>
        <v>2.871996096423576E-2</v>
      </c>
      <c r="G1180" s="479">
        <f t="shared" si="37"/>
        <v>33.860833976833959</v>
      </c>
      <c r="H1180" s="484" t="s">
        <v>14</v>
      </c>
      <c r="I1180" s="2"/>
      <c r="J1180" s="2"/>
      <c r="K1180" s="2"/>
      <c r="L1180" s="2"/>
      <c r="O1180" s="58"/>
      <c r="P1180" s="58"/>
    </row>
    <row r="1181" spans="1:16">
      <c r="A1181"/>
      <c r="B1181" s="530"/>
      <c r="C1181" s="508">
        <v>1</v>
      </c>
      <c r="D1181" s="481"/>
      <c r="E1181" s="481">
        <f t="shared" si="38"/>
        <v>-1</v>
      </c>
      <c r="F1181" s="483">
        <f>SUM($E$2:E1181)/SUM($C$2:C1181)</f>
        <v>2.7848164387147423E-2</v>
      </c>
      <c r="G1181" s="479">
        <f t="shared" si="37"/>
        <v>32.860833976833959</v>
      </c>
      <c r="H1181" s="484" t="s">
        <v>30</v>
      </c>
      <c r="I1181" s="2"/>
      <c r="J1181" s="2"/>
      <c r="K1181" s="2"/>
      <c r="L1181" s="2"/>
      <c r="O1181" s="58"/>
      <c r="P1181" s="58"/>
    </row>
    <row r="1182" spans="1:16">
      <c r="A1182"/>
      <c r="B1182" s="530"/>
      <c r="C1182" s="509">
        <v>1</v>
      </c>
      <c r="D1182" s="482"/>
      <c r="E1182" s="482">
        <f t="shared" si="38"/>
        <v>-1</v>
      </c>
      <c r="F1182" s="485">
        <f>SUM($E$2:E1182)/SUM($C$2:C1182)</f>
        <v>2.6977844180215038E-2</v>
      </c>
      <c r="G1182" s="478">
        <f t="shared" si="37"/>
        <v>31.860833976833959</v>
      </c>
      <c r="H1182" s="486" t="s">
        <v>12</v>
      </c>
      <c r="I1182" s="2"/>
      <c r="J1182" s="2"/>
      <c r="K1182" s="2"/>
      <c r="L1182" s="2"/>
      <c r="O1182" s="58"/>
      <c r="P1182" s="58"/>
    </row>
    <row r="1183" spans="1:16">
      <c r="A1183"/>
      <c r="B1183" s="530"/>
      <c r="C1183" s="508">
        <v>1</v>
      </c>
      <c r="D1183" s="481"/>
      <c r="E1183" s="481">
        <f t="shared" si="38"/>
        <v>-1</v>
      </c>
      <c r="F1183" s="483">
        <f>SUM($E$2:E1183)/SUM($C$2:C1183)</f>
        <v>2.6108996596306226E-2</v>
      </c>
      <c r="G1183" s="479">
        <f t="shared" si="37"/>
        <v>30.860833976833959</v>
      </c>
      <c r="H1183" s="484" t="s">
        <v>189</v>
      </c>
      <c r="I1183" s="2"/>
      <c r="J1183" s="2"/>
      <c r="K1183" s="2"/>
      <c r="L1183" s="2"/>
      <c r="O1183" s="58"/>
      <c r="P1183" s="58"/>
    </row>
    <row r="1184" spans="1:16">
      <c r="A1184"/>
      <c r="B1184" s="530"/>
      <c r="C1184" s="508">
        <v>1</v>
      </c>
      <c r="D1184" s="481"/>
      <c r="E1184" s="481">
        <f t="shared" si="38"/>
        <v>-1</v>
      </c>
      <c r="F1184" s="483">
        <f>SUM($E$2:E1184)/SUM($C$2:C1184)</f>
        <v>2.5241617900958545E-2</v>
      </c>
      <c r="G1184" s="479">
        <f t="shared" si="37"/>
        <v>29.860833976833959</v>
      </c>
      <c r="H1184" s="484" t="s">
        <v>427</v>
      </c>
      <c r="I1184" s="2"/>
      <c r="J1184" s="2"/>
      <c r="K1184" s="2"/>
      <c r="L1184" s="2"/>
      <c r="O1184" s="58"/>
      <c r="P1184" s="58"/>
    </row>
    <row r="1185" spans="1:16">
      <c r="A1185"/>
      <c r="B1185" s="530"/>
      <c r="C1185" s="508">
        <v>1</v>
      </c>
      <c r="D1185" s="481"/>
      <c r="E1185" s="481">
        <f t="shared" si="38"/>
        <v>-1</v>
      </c>
      <c r="F1185" s="483">
        <f>SUM($E$2:E1185)/SUM($C$2:C1185)</f>
        <v>2.4375704372325981E-2</v>
      </c>
      <c r="G1185" s="479">
        <f t="shared" si="37"/>
        <v>28.860833976833959</v>
      </c>
      <c r="H1185" s="484" t="s">
        <v>428</v>
      </c>
      <c r="I1185" s="2"/>
      <c r="J1185" s="2"/>
      <c r="K1185" s="2"/>
      <c r="L1185" s="2"/>
      <c r="O1185" s="58"/>
      <c r="P1185" s="58"/>
    </row>
    <row r="1186" spans="1:16">
      <c r="A1186"/>
      <c r="B1186" s="530"/>
      <c r="C1186" s="508">
        <v>1</v>
      </c>
      <c r="D1186" s="481"/>
      <c r="E1186" s="481">
        <f t="shared" si="38"/>
        <v>-1</v>
      </c>
      <c r="F1186" s="483">
        <f>SUM($E$2:E1186)/SUM($C$2:C1186)</f>
        <v>2.3511252301125704E-2</v>
      </c>
      <c r="G1186" s="479">
        <f t="shared" si="37"/>
        <v>27.860833976833959</v>
      </c>
      <c r="H1186" s="484" t="s">
        <v>429</v>
      </c>
      <c r="I1186" s="2"/>
      <c r="J1186" s="2"/>
      <c r="K1186" s="2"/>
      <c r="L1186" s="2"/>
      <c r="O1186" s="58"/>
      <c r="P1186" s="58"/>
    </row>
    <row r="1187" spans="1:16">
      <c r="A1187"/>
      <c r="B1187" s="530"/>
      <c r="C1187" s="508">
        <v>1</v>
      </c>
      <c r="D1187" s="481"/>
      <c r="E1187" s="481">
        <f t="shared" si="38"/>
        <v>-1</v>
      </c>
      <c r="F1187" s="483">
        <f>SUM($E$2:E1187)/SUM($C$2:C1187)</f>
        <v>2.2648257990585126E-2</v>
      </c>
      <c r="G1187" s="479">
        <f t="shared" si="37"/>
        <v>26.860833976833959</v>
      </c>
      <c r="H1187" s="484" t="s">
        <v>430</v>
      </c>
      <c r="I1187" s="2"/>
      <c r="J1187" s="2"/>
      <c r="K1187" s="2"/>
      <c r="L1187" s="2"/>
      <c r="O1187" s="58"/>
      <c r="P1187" s="58"/>
    </row>
    <row r="1188" spans="1:16">
      <c r="A1188"/>
      <c r="B1188" s="530"/>
      <c r="C1188" s="508">
        <v>1</v>
      </c>
      <c r="D1188" s="481"/>
      <c r="E1188" s="481">
        <f t="shared" si="38"/>
        <v>-1</v>
      </c>
      <c r="F1188" s="483">
        <f>SUM($E$2:E1188)/SUM($C$2:C1188)</f>
        <v>2.1786717756389181E-2</v>
      </c>
      <c r="G1188" s="479">
        <f t="shared" si="37"/>
        <v>25.860833976833959</v>
      </c>
      <c r="H1188" s="484" t="s">
        <v>431</v>
      </c>
      <c r="I1188" s="2"/>
      <c r="J1188" s="2"/>
      <c r="K1188" s="2"/>
      <c r="L1188" s="2"/>
      <c r="O1188" s="58"/>
      <c r="P1188" s="58"/>
    </row>
    <row r="1189" spans="1:16">
      <c r="A1189"/>
      <c r="B1189" s="530"/>
      <c r="C1189" s="509">
        <v>1</v>
      </c>
      <c r="D1189" s="482"/>
      <c r="E1189" s="482">
        <f t="shared" si="38"/>
        <v>-1</v>
      </c>
      <c r="F1189" s="485">
        <f>SUM($E$2:E1189)/SUM($C$2:C1189)</f>
        <v>2.0926627926627913E-2</v>
      </c>
      <c r="G1189" s="478">
        <f t="shared" si="37"/>
        <v>24.860833976833959</v>
      </c>
      <c r="H1189" s="486" t="s">
        <v>432</v>
      </c>
      <c r="I1189" s="2"/>
      <c r="J1189" s="2"/>
      <c r="K1189" s="2"/>
      <c r="L1189" s="2"/>
      <c r="O1189" s="58"/>
      <c r="P1189" s="58"/>
    </row>
    <row r="1190" spans="1:16">
      <c r="A1190"/>
      <c r="B1190" s="530"/>
      <c r="C1190" s="508">
        <v>1</v>
      </c>
      <c r="D1190" s="481">
        <v>2.1429999999999998</v>
      </c>
      <c r="E1190" s="481">
        <f t="shared" si="38"/>
        <v>1.1429999999999998</v>
      </c>
      <c r="F1190" s="483">
        <f>SUM($E$2:E1190)/SUM($C$2:C1190)</f>
        <v>2.1870339761845214E-2</v>
      </c>
      <c r="G1190" s="479">
        <f t="shared" si="37"/>
        <v>26.00383397683396</v>
      </c>
      <c r="H1190" s="484" t="s">
        <v>17</v>
      </c>
      <c r="I1190" s="2"/>
      <c r="J1190" s="2"/>
      <c r="K1190" s="2"/>
      <c r="L1190" s="2"/>
      <c r="O1190" s="58"/>
      <c r="P1190" s="58"/>
    </row>
    <row r="1191" spans="1:16">
      <c r="A1191"/>
      <c r="B1191" s="530"/>
      <c r="C1191" s="508">
        <v>1</v>
      </c>
      <c r="D1191" s="481"/>
      <c r="E1191" s="481">
        <f t="shared" si="38"/>
        <v>-1</v>
      </c>
      <c r="F1191" s="483">
        <f>SUM($E$2:E1191)/SUM($C$2:C1191)</f>
        <v>2.1011625190616771E-2</v>
      </c>
      <c r="G1191" s="479">
        <f t="shared" si="37"/>
        <v>25.00383397683396</v>
      </c>
      <c r="H1191" s="484" t="s">
        <v>48</v>
      </c>
      <c r="I1191" s="2"/>
      <c r="J1191" s="2"/>
      <c r="K1191" s="2"/>
      <c r="L1191" s="2"/>
      <c r="O1191" s="58"/>
      <c r="P1191" s="58"/>
    </row>
    <row r="1192" spans="1:16">
      <c r="A1192"/>
      <c r="B1192" s="530"/>
      <c r="C1192" s="508">
        <v>1</v>
      </c>
      <c r="D1192" s="481">
        <v>3.6</v>
      </c>
      <c r="E1192" s="481">
        <f t="shared" si="38"/>
        <v>2.6</v>
      </c>
      <c r="F1192" s="483">
        <f>SUM($E$2:E1192)/SUM($C$2:C1192)</f>
        <v>2.3177022650574274E-2</v>
      </c>
      <c r="G1192" s="479">
        <f t="shared" si="37"/>
        <v>27.603833976833961</v>
      </c>
      <c r="H1192" s="484" t="s">
        <v>13</v>
      </c>
      <c r="I1192" s="2"/>
      <c r="J1192" s="2"/>
      <c r="K1192" s="2"/>
      <c r="L1192" s="2"/>
      <c r="O1192" s="58"/>
      <c r="P1192" s="58"/>
    </row>
    <row r="1193" spans="1:16">
      <c r="A1193"/>
      <c r="B1193" s="530"/>
      <c r="C1193" s="508">
        <v>1</v>
      </c>
      <c r="D1193" s="481"/>
      <c r="E1193" s="481">
        <f t="shared" si="38"/>
        <v>-1</v>
      </c>
      <c r="F1193" s="483">
        <f>SUM($E$2:E1193)/SUM($C$2:C1193)</f>
        <v>2.2318652665129161E-2</v>
      </c>
      <c r="G1193" s="479">
        <f t="shared" si="37"/>
        <v>26.603833976833961</v>
      </c>
      <c r="H1193" s="484" t="s">
        <v>21</v>
      </c>
      <c r="I1193" s="2"/>
      <c r="J1193" s="2"/>
      <c r="K1193" s="2"/>
      <c r="L1193" s="2"/>
      <c r="O1193" s="58"/>
      <c r="P1193" s="58"/>
    </row>
    <row r="1194" spans="1:16">
      <c r="A1194"/>
      <c r="B1194" s="530"/>
      <c r="C1194" s="508">
        <v>1</v>
      </c>
      <c r="D1194" s="481"/>
      <c r="E1194" s="481">
        <f t="shared" si="38"/>
        <v>-1</v>
      </c>
      <c r="F1194" s="483">
        <f>SUM($E$2:E1194)/SUM($C$2:C1194)</f>
        <v>2.1461721690556549E-2</v>
      </c>
      <c r="G1194" s="479">
        <f t="shared" si="37"/>
        <v>25.603833976833961</v>
      </c>
      <c r="H1194" s="484" t="s">
        <v>14</v>
      </c>
      <c r="I1194" s="2"/>
      <c r="J1194" s="2"/>
      <c r="K1194" s="2"/>
      <c r="L1194" s="2"/>
      <c r="O1194" s="58"/>
      <c r="P1194" s="58"/>
    </row>
    <row r="1195" spans="1:16">
      <c r="A1195"/>
      <c r="B1195" s="530"/>
      <c r="C1195" s="508">
        <v>1</v>
      </c>
      <c r="D1195" s="481"/>
      <c r="E1195" s="481">
        <f t="shared" si="38"/>
        <v>-1</v>
      </c>
      <c r="F1195" s="483">
        <f>SUM($E$2:E1195)/SUM($C$2:C1195)</f>
        <v>2.0606226111251225E-2</v>
      </c>
      <c r="G1195" s="479">
        <f t="shared" si="37"/>
        <v>24.603833976833961</v>
      </c>
      <c r="H1195" s="484" t="s">
        <v>20</v>
      </c>
      <c r="I1195" s="2"/>
      <c r="J1195" s="2"/>
      <c r="K1195" s="2"/>
      <c r="L1195" s="2"/>
      <c r="O1195" s="58"/>
      <c r="P1195" s="58"/>
    </row>
    <row r="1196" spans="1:16">
      <c r="A1196"/>
      <c r="B1196" s="530"/>
      <c r="C1196" s="509">
        <v>1</v>
      </c>
      <c r="D1196" s="482"/>
      <c r="E1196" s="482">
        <f t="shared" si="38"/>
        <v>-1</v>
      </c>
      <c r="F1196" s="485">
        <f>SUM($E$2:E1196)/SUM($C$2:C1196)</f>
        <v>1.9752162323710427E-2</v>
      </c>
      <c r="G1196" s="478">
        <f t="shared" si="37"/>
        <v>23.603833976833961</v>
      </c>
      <c r="H1196" s="486" t="s">
        <v>50</v>
      </c>
      <c r="I1196" s="2">
        <f>SUM(E1177:E1196)</f>
        <v>-12.427000000000001</v>
      </c>
      <c r="L1196" s="2">
        <f>I1196/C1196</f>
        <v>-12.427000000000001</v>
      </c>
      <c r="O1196" s="58"/>
      <c r="P1196" s="58"/>
    </row>
    <row r="1197" spans="1:16">
      <c r="A1197"/>
      <c r="B1197" s="529">
        <v>46105</v>
      </c>
      <c r="C1197" s="508">
        <v>1</v>
      </c>
      <c r="D1197" s="481"/>
      <c r="E1197" s="481">
        <f t="shared" si="38"/>
        <v>-1</v>
      </c>
      <c r="F1197" s="483">
        <f>SUM($E$2:E1197)/SUM($C$2:C1197)</f>
        <v>1.8899526736483246E-2</v>
      </c>
      <c r="G1197" s="479">
        <f t="shared" si="37"/>
        <v>22.603833976833961</v>
      </c>
      <c r="H1197" s="484" t="s">
        <v>46</v>
      </c>
      <c r="I1197" s="2"/>
      <c r="J1197" s="2"/>
      <c r="K1197" s="2"/>
      <c r="L1197" s="2"/>
      <c r="O1197" s="58"/>
      <c r="P1197" s="58"/>
    </row>
    <row r="1198" spans="1:16">
      <c r="A1198"/>
      <c r="B1198" s="530"/>
      <c r="C1198" s="508">
        <v>1</v>
      </c>
      <c r="D1198" s="481"/>
      <c r="E1198" s="481">
        <f t="shared" si="38"/>
        <v>-1</v>
      </c>
      <c r="F1198" s="483">
        <f>SUM($E$2:E1198)/SUM($C$2:C1198)</f>
        <v>1.8048315770120268E-2</v>
      </c>
      <c r="G1198" s="479">
        <f t="shared" si="37"/>
        <v>21.603833976833961</v>
      </c>
      <c r="H1198" s="484" t="s">
        <v>49</v>
      </c>
      <c r="I1198" s="2"/>
      <c r="J1198" s="2"/>
      <c r="K1198" s="2"/>
      <c r="L1198" s="2"/>
      <c r="O1198" s="58"/>
      <c r="P1198" s="58"/>
    </row>
    <row r="1199" spans="1:16">
      <c r="A1199"/>
      <c r="B1199" s="530"/>
      <c r="C1199" s="508">
        <v>1</v>
      </c>
      <c r="D1199" s="481"/>
      <c r="E1199" s="481">
        <f t="shared" si="38"/>
        <v>-1</v>
      </c>
      <c r="F1199" s="483">
        <f>SUM($E$2:E1199)/SUM($C$2:C1199)</f>
        <v>1.7198525857123507E-2</v>
      </c>
      <c r="G1199" s="479">
        <f t="shared" si="37"/>
        <v>20.603833976833961</v>
      </c>
      <c r="H1199" s="484" t="s">
        <v>11</v>
      </c>
      <c r="I1199" s="2"/>
      <c r="J1199" s="2"/>
      <c r="K1199" s="2"/>
      <c r="L1199" s="2"/>
      <c r="O1199" s="58"/>
      <c r="P1199" s="58"/>
    </row>
    <row r="1200" spans="1:16">
      <c r="A1200"/>
      <c r="B1200" s="530"/>
      <c r="C1200" s="509">
        <v>1</v>
      </c>
      <c r="D1200" s="482"/>
      <c r="E1200" s="482">
        <f t="shared" si="38"/>
        <v>-1</v>
      </c>
      <c r="F1200" s="485">
        <f>SUM($E$2:E1200)/SUM($C$2:C1200)</f>
        <v>1.6350153441896546E-2</v>
      </c>
      <c r="G1200" s="478">
        <f t="shared" si="37"/>
        <v>19.603833976833961</v>
      </c>
      <c r="H1200" s="486" t="s">
        <v>16</v>
      </c>
      <c r="I1200" s="2"/>
      <c r="J1200" s="2"/>
      <c r="K1200" s="2"/>
      <c r="L1200" s="2"/>
      <c r="O1200" s="58"/>
      <c r="P1200" s="58"/>
    </row>
    <row r="1201" spans="1:16">
      <c r="A1201"/>
      <c r="B1201" s="530"/>
      <c r="C1201" s="508">
        <v>1</v>
      </c>
      <c r="D1201" s="481">
        <v>1.9</v>
      </c>
      <c r="E1201" s="481">
        <f t="shared" si="38"/>
        <v>0.89999999999999991</v>
      </c>
      <c r="F1201" s="483">
        <f>SUM($E$2:E1201)/SUM($C$2:C1201)</f>
        <v>1.70865283140283E-2</v>
      </c>
      <c r="G1201" s="479">
        <f t="shared" si="37"/>
        <v>20.50383397683396</v>
      </c>
      <c r="H1201" s="484" t="s">
        <v>433</v>
      </c>
      <c r="I1201" s="2"/>
      <c r="J1201" s="2"/>
      <c r="K1201" s="2"/>
      <c r="L1201" s="2"/>
      <c r="O1201" s="58"/>
      <c r="P1201" s="58"/>
    </row>
    <row r="1202" spans="1:16">
      <c r="A1202"/>
      <c r="B1202" s="530"/>
      <c r="C1202" s="508">
        <v>1</v>
      </c>
      <c r="D1202" s="481"/>
      <c r="E1202" s="481">
        <f t="shared" si="38"/>
        <v>-1</v>
      </c>
      <c r="F1202" s="483">
        <f>SUM($E$2:E1202)/SUM($C$2:C1202)</f>
        <v>1.6239661929087393E-2</v>
      </c>
      <c r="G1202" s="479">
        <f t="shared" si="37"/>
        <v>19.50383397683396</v>
      </c>
      <c r="H1202" s="484" t="s">
        <v>434</v>
      </c>
      <c r="I1202" s="2"/>
      <c r="J1202" s="2"/>
      <c r="K1202" s="2"/>
      <c r="L1202" s="2"/>
      <c r="O1202" s="58"/>
      <c r="P1202" s="58"/>
    </row>
    <row r="1203" spans="1:16">
      <c r="A1203"/>
      <c r="B1203" s="530"/>
      <c r="C1203" s="508">
        <v>1</v>
      </c>
      <c r="D1203" s="481"/>
      <c r="E1203" s="481">
        <f t="shared" si="38"/>
        <v>-1</v>
      </c>
      <c r="F1203" s="483">
        <f>SUM($E$2:E1203)/SUM($C$2:C1203)</f>
        <v>1.5394204639628917E-2</v>
      </c>
      <c r="G1203" s="479">
        <f t="shared" si="37"/>
        <v>18.50383397683396</v>
      </c>
      <c r="H1203" s="484" t="s">
        <v>224</v>
      </c>
      <c r="I1203" s="2"/>
      <c r="J1203" s="2"/>
      <c r="K1203" s="2"/>
      <c r="L1203" s="2"/>
      <c r="O1203" s="58"/>
      <c r="P1203" s="58"/>
    </row>
    <row r="1204" spans="1:16">
      <c r="A1204"/>
      <c r="B1204" s="530"/>
      <c r="C1204" s="509">
        <v>1</v>
      </c>
      <c r="D1204" s="482"/>
      <c r="E1204" s="482">
        <f t="shared" si="38"/>
        <v>-1</v>
      </c>
      <c r="F1204" s="485">
        <f>SUM($E$2:E1204)/SUM($C$2:C1204)</f>
        <v>1.4550152931699051E-2</v>
      </c>
      <c r="G1204" s="478">
        <f t="shared" si="37"/>
        <v>17.50383397683396</v>
      </c>
      <c r="H1204" s="486" t="s">
        <v>435</v>
      </c>
      <c r="I1204" s="2">
        <f>SUM(E1197:E1204)</f>
        <v>-6.1</v>
      </c>
      <c r="L1204" s="2">
        <f>I1204/C1204</f>
        <v>-6.1</v>
      </c>
      <c r="O1204" s="58"/>
      <c r="P1204" s="58"/>
    </row>
    <row r="1205" spans="1:16">
      <c r="A1205"/>
      <c r="B1205" s="529">
        <v>46106</v>
      </c>
      <c r="C1205" s="508">
        <v>1</v>
      </c>
      <c r="D1205" s="481"/>
      <c r="E1205" s="481">
        <f t="shared" si="38"/>
        <v>-1</v>
      </c>
      <c r="F1205" s="483">
        <f>SUM($E$2:E1205)/SUM($C$2:C1205)</f>
        <v>1.3707503303018238E-2</v>
      </c>
      <c r="G1205" s="479">
        <f t="shared" si="37"/>
        <v>16.50383397683396</v>
      </c>
      <c r="H1205" s="484" t="s">
        <v>18</v>
      </c>
      <c r="I1205" s="2"/>
      <c r="J1205" s="2"/>
      <c r="K1205" s="2"/>
      <c r="L1205" s="2"/>
      <c r="O1205" s="58"/>
      <c r="P1205" s="58"/>
    </row>
    <row r="1206" spans="1:16">
      <c r="A1206"/>
      <c r="B1206" s="530"/>
      <c r="C1206" s="508">
        <v>1</v>
      </c>
      <c r="D1206" s="481"/>
      <c r="E1206" s="481">
        <f t="shared" si="38"/>
        <v>-1</v>
      </c>
      <c r="F1206" s="483">
        <f>SUM($E$2:E1206)/SUM($C$2:C1206)</f>
        <v>1.2866252262932747E-2</v>
      </c>
      <c r="G1206" s="479">
        <f t="shared" si="37"/>
        <v>15.50383397683396</v>
      </c>
      <c r="H1206" s="484" t="s">
        <v>34</v>
      </c>
      <c r="I1206" s="2"/>
      <c r="J1206" s="2"/>
      <c r="K1206" s="2"/>
      <c r="L1206" s="2"/>
      <c r="O1206" s="58"/>
      <c r="P1206" s="58"/>
    </row>
    <row r="1207" spans="1:16">
      <c r="A1207"/>
      <c r="B1207" s="530"/>
      <c r="C1207" s="508">
        <v>1</v>
      </c>
      <c r="D1207" s="481">
        <v>1.91</v>
      </c>
      <c r="E1207" s="481">
        <f t="shared" si="38"/>
        <v>0.90999999999999992</v>
      </c>
      <c r="F1207" s="483">
        <f>SUM($E$2:E1207)/SUM($C$2:C1207)</f>
        <v>1.3610144259397976E-2</v>
      </c>
      <c r="G1207" s="479">
        <f t="shared" si="37"/>
        <v>16.41383397683396</v>
      </c>
      <c r="H1207" s="484" t="s">
        <v>11</v>
      </c>
      <c r="I1207" s="2"/>
      <c r="J1207" s="2"/>
      <c r="K1207" s="2"/>
      <c r="L1207" s="2"/>
      <c r="O1207" s="58"/>
      <c r="P1207" s="58"/>
    </row>
    <row r="1208" spans="1:16">
      <c r="A1208"/>
      <c r="B1208" s="530"/>
      <c r="C1208" s="508">
        <v>1</v>
      </c>
      <c r="D1208" s="481"/>
      <c r="E1208" s="481">
        <f t="shared" si="38"/>
        <v>-1</v>
      </c>
      <c r="F1208" s="483">
        <f>SUM($E$2:E1208)/SUM($C$2:C1208)</f>
        <v>1.2770367834990854E-2</v>
      </c>
      <c r="G1208" s="479">
        <f t="shared" si="37"/>
        <v>15.41383397683396</v>
      </c>
      <c r="H1208" s="484" t="s">
        <v>77</v>
      </c>
      <c r="I1208" s="2"/>
      <c r="J1208" s="2"/>
      <c r="K1208" s="2"/>
      <c r="L1208" s="2"/>
      <c r="O1208" s="58"/>
      <c r="P1208" s="58"/>
    </row>
    <row r="1209" spans="1:16">
      <c r="A1209"/>
      <c r="B1209" s="530"/>
      <c r="C1209" s="508">
        <v>1</v>
      </c>
      <c r="D1209" s="481">
        <v>2</v>
      </c>
      <c r="E1209" s="481">
        <f t="shared" si="38"/>
        <v>1</v>
      </c>
      <c r="F1209" s="483">
        <f>SUM($E$2:E1209)/SUM($C$2:C1209)</f>
        <v>1.3587610907975133E-2</v>
      </c>
      <c r="G1209" s="479">
        <f t="shared" si="37"/>
        <v>16.41383397683396</v>
      </c>
      <c r="H1209" s="484" t="s">
        <v>39</v>
      </c>
      <c r="I1209" s="2"/>
      <c r="J1209" s="2"/>
      <c r="K1209" s="2"/>
      <c r="L1209" s="2"/>
      <c r="O1209" s="58"/>
      <c r="P1209" s="58"/>
    </row>
    <row r="1210" spans="1:16">
      <c r="A1210"/>
      <c r="B1210" s="530"/>
      <c r="C1210" s="508">
        <v>1</v>
      </c>
      <c r="D1210" s="481"/>
      <c r="E1210" s="481">
        <f t="shared" si="38"/>
        <v>-1</v>
      </c>
      <c r="F1210" s="483">
        <f>SUM($E$2:E1210)/SUM($C$2:C1210)</f>
        <v>1.2749242329887478E-2</v>
      </c>
      <c r="G1210" s="479">
        <f t="shared" si="37"/>
        <v>15.41383397683396</v>
      </c>
      <c r="H1210" s="484" t="s">
        <v>30</v>
      </c>
      <c r="I1210" s="2"/>
      <c r="J1210" s="2"/>
      <c r="K1210" s="2"/>
      <c r="L1210" s="2"/>
      <c r="O1210" s="58"/>
      <c r="P1210" s="58"/>
    </row>
    <row r="1211" spans="1:16">
      <c r="A1211"/>
      <c r="B1211" s="530"/>
      <c r="C1211" s="509">
        <v>1</v>
      </c>
      <c r="D1211" s="482"/>
      <c r="E1211" s="482">
        <f t="shared" si="38"/>
        <v>-1</v>
      </c>
      <c r="F1211" s="485">
        <f>SUM($E$2:E1211)/SUM($C$2:C1211)</f>
        <v>1.1912259484986743E-2</v>
      </c>
      <c r="G1211" s="478">
        <f t="shared" si="37"/>
        <v>14.41383397683396</v>
      </c>
      <c r="H1211" s="486" t="s">
        <v>12</v>
      </c>
      <c r="I1211" s="2"/>
      <c r="J1211" s="2"/>
      <c r="K1211" s="2"/>
      <c r="L1211" s="2"/>
      <c r="O1211" s="58"/>
      <c r="P1211" s="58"/>
    </row>
    <row r="1212" spans="1:16">
      <c r="A1212"/>
      <c r="B1212" s="530"/>
      <c r="C1212" s="508">
        <v>1</v>
      </c>
      <c r="D1212" s="481"/>
      <c r="E1212" s="481">
        <f t="shared" si="38"/>
        <v>-1</v>
      </c>
      <c r="F1212" s="483">
        <f>SUM($E$2:E1212)/SUM($C$2:C1212)</f>
        <v>1.1076658940407894E-2</v>
      </c>
      <c r="G1212" s="479">
        <f t="shared" si="37"/>
        <v>13.41383397683396</v>
      </c>
      <c r="H1212" s="484" t="s">
        <v>436</v>
      </c>
      <c r="I1212" s="2"/>
      <c r="J1212" s="2"/>
      <c r="K1212" s="2"/>
      <c r="L1212" s="2"/>
      <c r="O1212" s="58"/>
      <c r="P1212" s="58"/>
    </row>
    <row r="1213" spans="1:16">
      <c r="A1213"/>
      <c r="B1213" s="530"/>
      <c r="C1213" s="508">
        <v>1</v>
      </c>
      <c r="D1213" s="481"/>
      <c r="E1213" s="481">
        <f t="shared" si="38"/>
        <v>-1</v>
      </c>
      <c r="F1213" s="483">
        <f>SUM($E$2:E1213)/SUM($C$2:C1213)</f>
        <v>1.0242437274615478E-2</v>
      </c>
      <c r="G1213" s="479">
        <f t="shared" si="37"/>
        <v>12.41383397683396</v>
      </c>
      <c r="H1213" s="484" t="s">
        <v>437</v>
      </c>
      <c r="I1213" s="2"/>
      <c r="J1213" s="2"/>
      <c r="K1213" s="2"/>
      <c r="L1213" s="2"/>
      <c r="O1213" s="58"/>
      <c r="P1213" s="58"/>
    </row>
    <row r="1214" spans="1:16">
      <c r="A1214"/>
      <c r="B1214" s="530"/>
      <c r="C1214" s="508">
        <v>1</v>
      </c>
      <c r="D1214" s="481"/>
      <c r="E1214" s="481">
        <f t="shared" si="38"/>
        <v>-1</v>
      </c>
      <c r="F1214" s="483">
        <f>SUM($E$2:E1214)/SUM($C$2:C1214)</f>
        <v>9.4095910773569335E-3</v>
      </c>
      <c r="G1214" s="479">
        <f t="shared" si="37"/>
        <v>11.41383397683396</v>
      </c>
      <c r="H1214" s="484" t="s">
        <v>438</v>
      </c>
      <c r="I1214" s="2"/>
      <c r="J1214" s="2"/>
      <c r="K1214" s="2"/>
      <c r="L1214" s="2"/>
      <c r="O1214" s="58"/>
      <c r="P1214" s="58"/>
    </row>
    <row r="1215" spans="1:16">
      <c r="A1215"/>
      <c r="B1215" s="530"/>
      <c r="C1215" s="508">
        <v>1</v>
      </c>
      <c r="D1215" s="481">
        <v>1.89</v>
      </c>
      <c r="E1215" s="481">
        <f t="shared" si="38"/>
        <v>0.8899999999999999</v>
      </c>
      <c r="F1215" s="483">
        <f>SUM($E$2:E1215)/SUM($C$2:C1215)</f>
        <v>1.0134953852416771E-2</v>
      </c>
      <c r="G1215" s="479">
        <f t="shared" ref="G1215:G1278" si="39">G1214+E1215</f>
        <v>12.30383397683396</v>
      </c>
      <c r="H1215" s="484" t="s">
        <v>439</v>
      </c>
      <c r="I1215" s="2"/>
      <c r="J1215" s="2"/>
      <c r="K1215" s="2"/>
      <c r="L1215" s="2"/>
      <c r="O1215" s="58"/>
      <c r="P1215" s="58"/>
    </row>
    <row r="1216" spans="1:16">
      <c r="A1216"/>
      <c r="B1216" s="530"/>
      <c r="C1216" s="508">
        <v>1</v>
      </c>
      <c r="D1216" s="481">
        <v>1.89</v>
      </c>
      <c r="E1216" s="481">
        <f t="shared" si="38"/>
        <v>0.8899999999999999</v>
      </c>
      <c r="F1216" s="483">
        <f>SUM($E$2:E1216)/SUM($C$2:C1216)</f>
        <v>1.0859122614678158E-2</v>
      </c>
      <c r="G1216" s="479">
        <f t="shared" si="39"/>
        <v>13.193833976833961</v>
      </c>
      <c r="H1216" s="484" t="s">
        <v>440</v>
      </c>
      <c r="I1216" s="2"/>
      <c r="J1216" s="2"/>
      <c r="K1216" s="2"/>
      <c r="L1216" s="2"/>
      <c r="O1216" s="58"/>
      <c r="P1216" s="58"/>
    </row>
    <row r="1217" spans="1:16">
      <c r="A1217"/>
      <c r="B1217" s="530"/>
      <c r="C1217" s="508">
        <v>1</v>
      </c>
      <c r="D1217" s="481"/>
      <c r="E1217" s="481">
        <f t="shared" si="38"/>
        <v>-1</v>
      </c>
      <c r="F1217" s="483">
        <f>SUM($E$2:E1217)/SUM($C$2:C1217)</f>
        <v>1.0027823994106877E-2</v>
      </c>
      <c r="G1217" s="479">
        <f t="shared" si="39"/>
        <v>12.193833976833961</v>
      </c>
      <c r="H1217" s="484" t="s">
        <v>441</v>
      </c>
      <c r="I1217" s="2"/>
      <c r="J1217" s="2"/>
      <c r="K1217" s="2"/>
      <c r="L1217" s="2"/>
      <c r="O1217" s="58"/>
      <c r="P1217" s="58"/>
    </row>
    <row r="1218" spans="1:16">
      <c r="A1218"/>
      <c r="B1218" s="530"/>
      <c r="C1218" s="509">
        <v>1</v>
      </c>
      <c r="D1218" s="482">
        <v>1.9</v>
      </c>
      <c r="E1218" s="482">
        <f t="shared" ref="E1218:E1281" si="40">(C1218*D1218)-C1218</f>
        <v>0.89999999999999991</v>
      </c>
      <c r="F1218" s="485">
        <f>SUM($E$2:E1218)/SUM($C$2:C1218)</f>
        <v>1.0759107622706625E-2</v>
      </c>
      <c r="G1218" s="478">
        <f t="shared" si="39"/>
        <v>13.093833976833961</v>
      </c>
      <c r="H1218" s="486" t="s">
        <v>442</v>
      </c>
      <c r="I1218" s="2"/>
      <c r="J1218" s="2"/>
      <c r="K1218" s="2"/>
      <c r="L1218" s="2"/>
      <c r="O1218" s="58"/>
      <c r="P1218" s="58"/>
    </row>
    <row r="1219" spans="1:16">
      <c r="A1219"/>
      <c r="B1219" s="530"/>
      <c r="C1219" s="508">
        <v>1</v>
      </c>
      <c r="D1219" s="481">
        <v>2.23</v>
      </c>
      <c r="E1219" s="481">
        <f t="shared" si="40"/>
        <v>1.23</v>
      </c>
      <c r="F1219" s="483">
        <f>SUM($E$2:E1219)/SUM($C$2:C1219)</f>
        <v>1.1760126417761873E-2</v>
      </c>
      <c r="G1219" s="479">
        <f t="shared" si="39"/>
        <v>14.323833976833962</v>
      </c>
      <c r="H1219" s="484" t="s">
        <v>10</v>
      </c>
      <c r="I1219" s="2"/>
      <c r="J1219" s="2"/>
      <c r="K1219" s="2"/>
      <c r="L1219" s="2"/>
      <c r="O1219" s="58"/>
      <c r="P1219" s="58"/>
    </row>
    <row r="1220" spans="1:16">
      <c r="A1220"/>
      <c r="B1220" s="530"/>
      <c r="C1220" s="508">
        <v>1</v>
      </c>
      <c r="D1220" s="481">
        <v>2.16</v>
      </c>
      <c r="E1220" s="481">
        <f t="shared" si="40"/>
        <v>1.1600000000000001</v>
      </c>
      <c r="F1220" s="483">
        <f>SUM($E$2:E1220)/SUM($C$2:C1220)</f>
        <v>1.2702078734072159E-2</v>
      </c>
      <c r="G1220" s="479">
        <f t="shared" si="39"/>
        <v>15.483833976833962</v>
      </c>
      <c r="H1220" s="484" t="s">
        <v>36</v>
      </c>
      <c r="I1220" s="2"/>
      <c r="J1220" s="2"/>
      <c r="K1220" s="2"/>
      <c r="L1220" s="2"/>
      <c r="O1220" s="58"/>
      <c r="P1220" s="58"/>
    </row>
    <row r="1221" spans="1:16">
      <c r="A1221"/>
      <c r="B1221" s="530"/>
      <c r="C1221" s="508">
        <v>1</v>
      </c>
      <c r="D1221" s="481">
        <v>2.16</v>
      </c>
      <c r="E1221" s="481">
        <f t="shared" si="40"/>
        <v>1.1600000000000001</v>
      </c>
      <c r="F1221" s="483">
        <f>SUM($E$2:E1221)/SUM($C$2:C1221)</f>
        <v>1.3642486866257344E-2</v>
      </c>
      <c r="G1221" s="479">
        <f t="shared" si="39"/>
        <v>16.64383397683396</v>
      </c>
      <c r="H1221" s="484" t="s">
        <v>48</v>
      </c>
      <c r="I1221" s="2"/>
      <c r="J1221" s="2"/>
      <c r="K1221" s="2"/>
      <c r="L1221" s="2"/>
      <c r="O1221" s="58"/>
      <c r="P1221" s="58"/>
    </row>
    <row r="1222" spans="1:16">
      <c r="A1222"/>
      <c r="B1222" s="531"/>
      <c r="C1222" s="509">
        <v>1</v>
      </c>
      <c r="D1222" s="482">
        <v>1.8320000000000001</v>
      </c>
      <c r="E1222" s="482">
        <f t="shared" si="40"/>
        <v>0.83200000000000007</v>
      </c>
      <c r="F1222" s="485">
        <f>SUM($E$2:E1222)/SUM($C$2:C1222)</f>
        <v>1.4312722339749354E-2</v>
      </c>
      <c r="G1222" s="478">
        <f t="shared" si="39"/>
        <v>17.475833976833961</v>
      </c>
      <c r="H1222" s="486" t="s">
        <v>31</v>
      </c>
      <c r="I1222" s="2">
        <f>SUM(E1205:E1222)</f>
        <v>-2.7999999999999803E-2</v>
      </c>
      <c r="L1222" s="2">
        <f>I1222/C1222</f>
        <v>-2.7999999999999803E-2</v>
      </c>
      <c r="O1222" s="58"/>
      <c r="P1222" s="58"/>
    </row>
    <row r="1223" spans="1:16">
      <c r="A1223"/>
      <c r="B1223" s="529">
        <v>46107</v>
      </c>
      <c r="C1223" s="508">
        <v>1</v>
      </c>
      <c r="D1223" s="481"/>
      <c r="E1223" s="481">
        <f t="shared" si="40"/>
        <v>-1</v>
      </c>
      <c r="F1223" s="483">
        <f>SUM($E$2:E1223)/SUM($C$2:C1223)</f>
        <v>1.348267919544514E-2</v>
      </c>
      <c r="G1223" s="479">
        <f t="shared" si="39"/>
        <v>16.475833976833961</v>
      </c>
      <c r="H1223" s="484" t="s">
        <v>46</v>
      </c>
      <c r="I1223" s="2"/>
      <c r="J1223" s="2"/>
      <c r="K1223" s="2"/>
      <c r="L1223" s="2"/>
      <c r="O1223" s="58"/>
      <c r="P1223" s="58"/>
    </row>
    <row r="1224" spans="1:16">
      <c r="A1224"/>
      <c r="B1224" s="530"/>
      <c r="C1224" s="509">
        <v>1</v>
      </c>
      <c r="D1224" s="482">
        <v>1.86</v>
      </c>
      <c r="E1224" s="482">
        <f t="shared" si="40"/>
        <v>0.8600000000000001</v>
      </c>
      <c r="F1224" s="485">
        <f>SUM($E$2:E1224)/SUM($C$2:C1224)</f>
        <v>1.4174843807713786E-2</v>
      </c>
      <c r="G1224" s="478">
        <f t="shared" si="39"/>
        <v>17.33583397683396</v>
      </c>
      <c r="H1224" s="486" t="s">
        <v>76</v>
      </c>
      <c r="I1224" s="2"/>
      <c r="J1224" s="2"/>
      <c r="K1224" s="2"/>
      <c r="L1224" s="2"/>
      <c r="O1224" s="58"/>
      <c r="P1224" s="58"/>
    </row>
    <row r="1225" spans="1:16">
      <c r="A1225"/>
      <c r="B1225" s="530"/>
      <c r="C1225" s="508">
        <v>1</v>
      </c>
      <c r="D1225" s="481">
        <v>1.87</v>
      </c>
      <c r="E1225" s="481">
        <f t="shared" si="40"/>
        <v>0.87000000000000011</v>
      </c>
      <c r="F1225" s="483">
        <f>SUM($E$2:E1225)/SUM($C$2:C1225)</f>
        <v>1.4874047366694412E-2</v>
      </c>
      <c r="G1225" s="479">
        <f t="shared" si="39"/>
        <v>18.205833976833961</v>
      </c>
      <c r="H1225" s="484" t="s">
        <v>443</v>
      </c>
      <c r="I1225" s="2"/>
      <c r="J1225" s="2"/>
      <c r="K1225" s="2"/>
      <c r="L1225" s="2"/>
      <c r="O1225" s="58"/>
      <c r="P1225" s="58"/>
    </row>
    <row r="1226" spans="1:16">
      <c r="A1226"/>
      <c r="B1226" s="530"/>
      <c r="C1226" s="508">
        <v>1</v>
      </c>
      <c r="D1226" s="481">
        <v>1.9</v>
      </c>
      <c r="E1226" s="481">
        <f t="shared" si="40"/>
        <v>0.89999999999999991</v>
      </c>
      <c r="F1226" s="483">
        <f>SUM($E$2:E1226)/SUM($C$2:C1226)</f>
        <v>1.5596599164762416E-2</v>
      </c>
      <c r="G1226" s="479">
        <f t="shared" si="39"/>
        <v>19.10583397683396</v>
      </c>
      <c r="H1226" s="484" t="s">
        <v>444</v>
      </c>
      <c r="I1226" s="2"/>
      <c r="J1226" s="2"/>
      <c r="K1226" s="2"/>
      <c r="L1226" s="2"/>
      <c r="O1226" s="58"/>
      <c r="P1226" s="58"/>
    </row>
    <row r="1227" spans="1:16">
      <c r="A1227"/>
      <c r="B1227" s="530"/>
      <c r="C1227" s="509">
        <v>1</v>
      </c>
      <c r="D1227" s="482"/>
      <c r="E1227" s="482">
        <f t="shared" si="40"/>
        <v>-1</v>
      </c>
      <c r="F1227" s="485">
        <f>SUM($E$2:E1227)/SUM($C$2:C1227)</f>
        <v>1.4768216946846623E-2</v>
      </c>
      <c r="G1227" s="478">
        <f t="shared" si="39"/>
        <v>18.10583397683396</v>
      </c>
      <c r="H1227" s="486" t="s">
        <v>445</v>
      </c>
      <c r="I1227" s="2"/>
      <c r="J1227" s="2"/>
      <c r="K1227" s="2"/>
      <c r="L1227" s="2"/>
      <c r="O1227" s="58"/>
      <c r="P1227" s="58"/>
    </row>
    <row r="1228" spans="1:16">
      <c r="A1228"/>
      <c r="B1228" s="530"/>
      <c r="C1228" s="508">
        <v>1</v>
      </c>
      <c r="D1228" s="481"/>
      <c r="E1228" s="481">
        <f t="shared" si="40"/>
        <v>-1</v>
      </c>
      <c r="F1228" s="483">
        <f>SUM($E$2:E1228)/SUM($C$2:C1228)</f>
        <v>1.3941184985194751E-2</v>
      </c>
      <c r="G1228" s="479">
        <f t="shared" si="39"/>
        <v>17.10583397683396</v>
      </c>
      <c r="H1228" s="484" t="s">
        <v>49</v>
      </c>
      <c r="I1228" s="2"/>
      <c r="J1228" s="2"/>
      <c r="K1228" s="2"/>
      <c r="L1228" s="2"/>
      <c r="O1228" s="58"/>
      <c r="P1228" s="58"/>
    </row>
    <row r="1229" spans="1:16">
      <c r="A1229"/>
      <c r="B1229" s="530"/>
      <c r="C1229" s="509">
        <v>1</v>
      </c>
      <c r="D1229" s="482"/>
      <c r="E1229" s="482">
        <f t="shared" si="40"/>
        <v>-1</v>
      </c>
      <c r="F1229" s="485">
        <f>SUM($E$2:E1229)/SUM($C$2:C1229)</f>
        <v>1.3115499981135146E-2</v>
      </c>
      <c r="G1229" s="478">
        <f t="shared" si="39"/>
        <v>16.10583397683396</v>
      </c>
      <c r="H1229" s="486" t="s">
        <v>446</v>
      </c>
      <c r="I1229" s="2">
        <f>SUM(E1223:E1229)</f>
        <v>-1.3699999999999999</v>
      </c>
      <c r="L1229" s="2">
        <f>I1229/C1229</f>
        <v>-1.3699999999999999</v>
      </c>
      <c r="O1229" s="58"/>
      <c r="P1229" s="58"/>
    </row>
    <row r="1230" spans="1:16">
      <c r="A1230"/>
      <c r="B1230" s="529">
        <v>46108</v>
      </c>
      <c r="C1230" s="508">
        <v>1</v>
      </c>
      <c r="D1230" s="481">
        <v>1.84</v>
      </c>
      <c r="E1230" s="481">
        <f t="shared" si="40"/>
        <v>0.84000000000000008</v>
      </c>
      <c r="F1230" s="483">
        <f>SUM($E$2:E1230)/SUM($C$2:C1230)</f>
        <v>1.3788310802956843E-2</v>
      </c>
      <c r="G1230" s="479">
        <f t="shared" si="39"/>
        <v>16.94583397683396</v>
      </c>
      <c r="H1230" s="484" t="s">
        <v>18</v>
      </c>
      <c r="I1230" s="2"/>
      <c r="J1230" s="2"/>
      <c r="K1230" s="2"/>
      <c r="L1230" s="2"/>
      <c r="O1230" s="58"/>
      <c r="P1230" s="58"/>
    </row>
    <row r="1231" spans="1:16">
      <c r="A1231"/>
      <c r="B1231" s="530"/>
      <c r="C1231" s="508">
        <v>1</v>
      </c>
      <c r="D1231" s="481"/>
      <c r="E1231" s="481">
        <f t="shared" si="40"/>
        <v>-1</v>
      </c>
      <c r="F1231" s="483">
        <f>SUM($E$2:E1231)/SUM($C$2:C1231)</f>
        <v>1.2964092664092651E-2</v>
      </c>
      <c r="G1231" s="479">
        <f t="shared" si="39"/>
        <v>15.94583397683396</v>
      </c>
      <c r="H1231" s="528" t="s">
        <v>11</v>
      </c>
      <c r="I1231" s="2"/>
      <c r="J1231" s="2"/>
      <c r="K1231" s="2"/>
      <c r="L1231" s="2"/>
      <c r="O1231" s="58"/>
      <c r="P1231" s="58"/>
    </row>
    <row r="1232" spans="1:16">
      <c r="A1232"/>
      <c r="B1232" s="530"/>
      <c r="C1232" s="508">
        <v>1</v>
      </c>
      <c r="D1232" s="481"/>
      <c r="E1232" s="481">
        <f t="shared" si="40"/>
        <v>-1</v>
      </c>
      <c r="F1232" s="483">
        <f>SUM($E$2:E1232)/SUM($C$2:C1232)</f>
        <v>1.2141213628622225E-2</v>
      </c>
      <c r="G1232" s="479">
        <f t="shared" si="39"/>
        <v>14.94583397683396</v>
      </c>
      <c r="H1232" s="484" t="s">
        <v>33</v>
      </c>
      <c r="I1232" s="2"/>
      <c r="J1232" s="2"/>
      <c r="K1232" s="2"/>
      <c r="L1232" s="2"/>
      <c r="O1232" s="58"/>
      <c r="P1232" s="58"/>
    </row>
    <row r="1233" spans="1:16">
      <c r="A1233"/>
      <c r="B1233" s="530"/>
      <c r="C1233" s="508">
        <v>1</v>
      </c>
      <c r="D1233" s="481"/>
      <c r="E1233" s="481">
        <f t="shared" si="40"/>
        <v>-1</v>
      </c>
      <c r="F1233" s="483">
        <f>SUM($E$2:E1233)/SUM($C$2:C1233)</f>
        <v>1.1319670435741851E-2</v>
      </c>
      <c r="G1233" s="479">
        <f t="shared" si="39"/>
        <v>13.94583397683396</v>
      </c>
      <c r="H1233" s="484" t="s">
        <v>35</v>
      </c>
      <c r="I1233" s="2"/>
      <c r="J1233" s="2"/>
      <c r="K1233" s="2"/>
      <c r="L1233" s="2"/>
      <c r="O1233" s="58"/>
      <c r="P1233" s="58"/>
    </row>
    <row r="1234" spans="1:16">
      <c r="A1234"/>
      <c r="B1234" s="530"/>
      <c r="C1234" s="508">
        <v>1</v>
      </c>
      <c r="D1234" s="481"/>
      <c r="E1234" s="481">
        <f t="shared" si="40"/>
        <v>-1</v>
      </c>
      <c r="F1234" s="483">
        <f>SUM($E$2:E1234)/SUM($C$2:C1234)</f>
        <v>1.0499459835226245E-2</v>
      </c>
      <c r="G1234" s="479">
        <f t="shared" si="39"/>
        <v>12.94583397683396</v>
      </c>
      <c r="H1234" s="528" t="s">
        <v>77</v>
      </c>
      <c r="I1234" s="2"/>
      <c r="J1234" s="2"/>
      <c r="K1234" s="2"/>
      <c r="L1234" s="2"/>
      <c r="O1234" s="58"/>
      <c r="P1234" s="58"/>
    </row>
    <row r="1235" spans="1:16">
      <c r="A1235"/>
      <c r="B1235" s="530"/>
      <c r="C1235" s="508">
        <v>1</v>
      </c>
      <c r="D1235" s="481"/>
      <c r="E1235" s="481">
        <f t="shared" si="40"/>
        <v>-1</v>
      </c>
      <c r="F1235" s="483">
        <f>SUM($E$2:E1235)/SUM($C$2:C1235)</f>
        <v>9.6805785873857048E-3</v>
      </c>
      <c r="G1235" s="479">
        <f t="shared" si="39"/>
        <v>11.94583397683396</v>
      </c>
      <c r="H1235" s="484" t="s">
        <v>39</v>
      </c>
      <c r="I1235" s="2"/>
      <c r="J1235" s="2"/>
      <c r="K1235" s="2"/>
      <c r="L1235" s="2"/>
      <c r="O1235" s="58"/>
      <c r="P1235" s="58"/>
    </row>
    <row r="1236" spans="1:16">
      <c r="A1236"/>
      <c r="B1236" s="530"/>
      <c r="C1236" s="508">
        <v>1</v>
      </c>
      <c r="D1236" s="481">
        <v>1.89</v>
      </c>
      <c r="E1236" s="481">
        <f t="shared" si="40"/>
        <v>0.8899999999999999</v>
      </c>
      <c r="F1236" s="483">
        <f>SUM($E$2:E1236)/SUM($C$2:C1236)</f>
        <v>1.0393387835493085E-2</v>
      </c>
      <c r="G1236" s="479">
        <f t="shared" si="39"/>
        <v>12.83583397683396</v>
      </c>
      <c r="H1236" s="484" t="s">
        <v>30</v>
      </c>
      <c r="I1236" s="2"/>
      <c r="J1236" s="2"/>
      <c r="K1236" s="2"/>
      <c r="L1236" s="2"/>
      <c r="O1236" s="58"/>
      <c r="P1236" s="58"/>
    </row>
    <row r="1237" spans="1:16">
      <c r="A1237"/>
      <c r="B1237" s="530"/>
      <c r="C1237" s="509">
        <v>1</v>
      </c>
      <c r="D1237" s="482">
        <v>1.92</v>
      </c>
      <c r="E1237" s="482">
        <f t="shared" si="40"/>
        <v>0.91999999999999993</v>
      </c>
      <c r="F1237" s="485">
        <f>SUM($E$2:E1237)/SUM($C$2:C1237)</f>
        <v>1.1129315515237832E-2</v>
      </c>
      <c r="G1237" s="478">
        <f t="shared" si="39"/>
        <v>13.75583397683396</v>
      </c>
      <c r="H1237" s="486" t="s">
        <v>22</v>
      </c>
      <c r="I1237" s="2"/>
      <c r="J1237" s="2"/>
      <c r="K1237" s="2"/>
      <c r="L1237" s="2"/>
      <c r="O1237" s="58"/>
      <c r="P1237" s="58"/>
    </row>
    <row r="1238" spans="1:16">
      <c r="A1238"/>
      <c r="B1238" s="530"/>
      <c r="C1238" s="508">
        <v>1</v>
      </c>
      <c r="D1238" s="481">
        <v>1.9</v>
      </c>
      <c r="E1238" s="481">
        <f t="shared" si="40"/>
        <v>0.89999999999999991</v>
      </c>
      <c r="F1238" s="483">
        <f>SUM($E$2:E1238)/SUM($C$2:C1238)</f>
        <v>1.1847885187416298E-2</v>
      </c>
      <c r="G1238" s="479">
        <f t="shared" si="39"/>
        <v>14.655833976833961</v>
      </c>
      <c r="H1238" s="484" t="s">
        <v>447</v>
      </c>
      <c r="I1238" s="2"/>
      <c r="J1238" s="2"/>
      <c r="K1238" s="2"/>
      <c r="L1238" s="2"/>
      <c r="O1238" s="58"/>
      <c r="P1238" s="58"/>
    </row>
    <row r="1239" spans="1:16">
      <c r="A1239"/>
      <c r="B1239" s="530"/>
      <c r="C1239" s="508">
        <v>1</v>
      </c>
      <c r="D1239" s="481"/>
      <c r="E1239" s="481">
        <f t="shared" si="40"/>
        <v>-1</v>
      </c>
      <c r="F1239" s="483">
        <f>SUM($E$2:E1239)/SUM($C$2:C1239)</f>
        <v>1.1030560562870727E-2</v>
      </c>
      <c r="G1239" s="479">
        <f t="shared" si="39"/>
        <v>13.655833976833961</v>
      </c>
      <c r="H1239" s="484" t="s">
        <v>439</v>
      </c>
      <c r="I1239" s="2"/>
      <c r="J1239" s="2"/>
      <c r="K1239" s="2"/>
      <c r="L1239" s="2"/>
      <c r="O1239" s="58"/>
      <c r="P1239" s="58"/>
    </row>
    <row r="1240" spans="1:16">
      <c r="A1240"/>
      <c r="B1240" s="530"/>
      <c r="C1240" s="508">
        <v>1</v>
      </c>
      <c r="D1240" s="481"/>
      <c r="E1240" s="481">
        <f t="shared" si="40"/>
        <v>-1</v>
      </c>
      <c r="F1240" s="483">
        <f>SUM($E$2:E1240)/SUM($C$2:C1240)</f>
        <v>1.021455526782402E-2</v>
      </c>
      <c r="G1240" s="479">
        <f t="shared" si="39"/>
        <v>12.655833976833961</v>
      </c>
      <c r="H1240" s="484" t="s">
        <v>448</v>
      </c>
      <c r="I1240" s="2"/>
      <c r="J1240" s="2"/>
      <c r="K1240" s="2"/>
      <c r="L1240" s="2"/>
      <c r="O1240" s="58"/>
      <c r="P1240" s="58"/>
    </row>
    <row r="1241" spans="1:16">
      <c r="A1241"/>
      <c r="B1241" s="530"/>
      <c r="C1241" s="508">
        <v>1</v>
      </c>
      <c r="D1241" s="481"/>
      <c r="E1241" s="481">
        <f t="shared" si="40"/>
        <v>-1</v>
      </c>
      <c r="F1241" s="483">
        <f>SUM($E$2:E1241)/SUM($C$2:C1241)</f>
        <v>9.3998661103499685E-3</v>
      </c>
      <c r="G1241" s="479">
        <f t="shared" si="39"/>
        <v>11.655833976833961</v>
      </c>
      <c r="H1241" s="484" t="s">
        <v>449</v>
      </c>
      <c r="I1241" s="2"/>
      <c r="J1241" s="2"/>
      <c r="K1241" s="2"/>
      <c r="L1241" s="2"/>
      <c r="O1241" s="58"/>
      <c r="P1241" s="58"/>
    </row>
    <row r="1242" spans="1:16">
      <c r="A1242"/>
      <c r="B1242" s="530"/>
      <c r="C1242" s="508">
        <v>1</v>
      </c>
      <c r="D1242" s="481"/>
      <c r="E1242" s="481">
        <f t="shared" si="40"/>
        <v>-1</v>
      </c>
      <c r="F1242" s="483">
        <f>SUM($E$2:E1242)/SUM($C$2:C1242)</f>
        <v>8.5864899088106041E-3</v>
      </c>
      <c r="G1242" s="479">
        <f t="shared" si="39"/>
        <v>10.655833976833961</v>
      </c>
      <c r="H1242" s="484" t="s">
        <v>450</v>
      </c>
      <c r="I1242" s="2"/>
      <c r="J1242" s="2"/>
      <c r="K1242" s="2"/>
      <c r="L1242" s="2"/>
      <c r="O1242" s="58"/>
      <c r="P1242" s="58"/>
    </row>
    <row r="1243" spans="1:16">
      <c r="A1243"/>
      <c r="B1243" s="530"/>
      <c r="C1243" s="508">
        <v>1</v>
      </c>
      <c r="D1243" s="481"/>
      <c r="E1243" s="481">
        <f t="shared" si="40"/>
        <v>-1</v>
      </c>
      <c r="F1243" s="483">
        <f>SUM($E$2:E1243)/SUM($C$2:C1243)</f>
        <v>7.7744234918147833E-3</v>
      </c>
      <c r="G1243" s="479">
        <f t="shared" si="39"/>
        <v>9.6558339768339607</v>
      </c>
      <c r="H1243" s="484" t="s">
        <v>451</v>
      </c>
      <c r="I1243" s="2"/>
      <c r="J1243" s="2"/>
      <c r="K1243" s="2"/>
      <c r="L1243" s="2"/>
      <c r="O1243" s="58"/>
      <c r="P1243" s="58"/>
    </row>
    <row r="1244" spans="1:16">
      <c r="A1244"/>
      <c r="B1244" s="530"/>
      <c r="C1244" s="509">
        <v>1</v>
      </c>
      <c r="D1244" s="482">
        <v>1.8879999999999999</v>
      </c>
      <c r="E1244" s="482">
        <f t="shared" si="40"/>
        <v>0.8879999999999999</v>
      </c>
      <c r="F1244" s="485">
        <f>SUM($E$2:E1244)/SUM($C$2:C1244)</f>
        <v>8.4825695710651332E-3</v>
      </c>
      <c r="G1244" s="478">
        <f t="shared" si="39"/>
        <v>10.543833976833961</v>
      </c>
      <c r="H1244" s="486" t="s">
        <v>172</v>
      </c>
      <c r="I1244" s="2"/>
      <c r="J1244" s="2"/>
      <c r="K1244" s="2"/>
      <c r="L1244" s="2"/>
      <c r="O1244" s="58"/>
      <c r="P1244" s="58"/>
    </row>
    <row r="1245" spans="1:16">
      <c r="A1245"/>
      <c r="B1245" s="530"/>
      <c r="C1245" s="508">
        <v>1</v>
      </c>
      <c r="D1245" s="481"/>
      <c r="E1245" s="481">
        <f t="shared" si="40"/>
        <v>-1</v>
      </c>
      <c r="F1245" s="483">
        <f>SUM($E$2:E1245)/SUM($C$2:C1245)</f>
        <v>7.6718922643359815E-3</v>
      </c>
      <c r="G1245" s="479">
        <f t="shared" si="39"/>
        <v>9.5438339768339606</v>
      </c>
      <c r="H1245" s="484" t="s">
        <v>48</v>
      </c>
      <c r="I1245" s="2"/>
      <c r="J1245" s="2"/>
      <c r="K1245" s="2"/>
      <c r="L1245" s="2"/>
      <c r="O1245" s="58"/>
      <c r="P1245" s="58"/>
    </row>
    <row r="1246" spans="1:16">
      <c r="A1246"/>
      <c r="B1246" s="530"/>
      <c r="C1246" s="509">
        <v>1</v>
      </c>
      <c r="D1246" s="482"/>
      <c r="E1246" s="482">
        <f t="shared" si="40"/>
        <v>-1</v>
      </c>
      <c r="F1246" s="485">
        <f>SUM($E$2:E1246)/SUM($C$2:C1246)</f>
        <v>6.8625172504690451E-3</v>
      </c>
      <c r="G1246" s="478">
        <f t="shared" si="39"/>
        <v>8.5438339768339606</v>
      </c>
      <c r="H1246" s="486" t="s">
        <v>32</v>
      </c>
      <c r="I1246" s="2">
        <f>SUM(E1230:E1246)</f>
        <v>-7.5620000000000012</v>
      </c>
      <c r="L1246" s="2">
        <f>I1246/C1246</f>
        <v>-7.5620000000000012</v>
      </c>
      <c r="O1246" s="58"/>
      <c r="P1246" s="58"/>
    </row>
    <row r="1247" spans="1:16">
      <c r="A1247"/>
      <c r="B1247" s="529">
        <v>46109</v>
      </c>
      <c r="C1247" s="508">
        <v>1</v>
      </c>
      <c r="D1247" s="481"/>
      <c r="E1247" s="481">
        <f t="shared" si="40"/>
        <v>-1</v>
      </c>
      <c r="F1247" s="483">
        <f>SUM($E$2:E1247)/SUM($C$2:C1247)</f>
        <v>6.0544413939277375E-3</v>
      </c>
      <c r="G1247" s="479">
        <f t="shared" si="39"/>
        <v>7.5438339768339606</v>
      </c>
      <c r="H1247" s="484" t="s">
        <v>50</v>
      </c>
      <c r="I1247" s="2"/>
      <c r="J1247" s="2"/>
      <c r="K1247" s="2"/>
      <c r="L1247" s="2"/>
      <c r="O1247" s="58"/>
      <c r="P1247" s="58"/>
    </row>
    <row r="1248" spans="1:16">
      <c r="A1248"/>
      <c r="B1248" s="530"/>
      <c r="C1248" s="508">
        <v>1</v>
      </c>
      <c r="D1248" s="481">
        <v>1.88</v>
      </c>
      <c r="E1248" s="481">
        <f t="shared" si="40"/>
        <v>0.87999999999999989</v>
      </c>
      <c r="F1248" s="483">
        <f>SUM($E$2:E1248)/SUM($C$2:C1248)</f>
        <v>6.7552798531146444E-3</v>
      </c>
      <c r="G1248" s="479">
        <f t="shared" si="39"/>
        <v>8.4238339768339614</v>
      </c>
      <c r="H1248" s="484" t="s">
        <v>46</v>
      </c>
      <c r="I1248" s="2"/>
      <c r="J1248" s="2"/>
      <c r="K1248" s="2"/>
      <c r="L1248" s="2"/>
      <c r="O1248" s="58"/>
      <c r="P1248" s="58"/>
    </row>
    <row r="1249" spans="1:16">
      <c r="A1249"/>
      <c r="B1249" s="530"/>
      <c r="C1249" s="508">
        <v>1</v>
      </c>
      <c r="D1249" s="481">
        <v>1.9550000000000001</v>
      </c>
      <c r="E1249" s="481">
        <f t="shared" si="40"/>
        <v>0.95500000000000007</v>
      </c>
      <c r="F1249" s="483">
        <f>SUM($E$2:E1249)/SUM($C$2:C1249)</f>
        <v>7.515091327591315E-3</v>
      </c>
      <c r="G1249" s="479">
        <f t="shared" si="39"/>
        <v>9.3788339768339615</v>
      </c>
      <c r="H1249" s="484" t="s">
        <v>10</v>
      </c>
      <c r="I1249" s="2"/>
      <c r="J1249" s="2"/>
      <c r="K1249" s="2"/>
      <c r="L1249" s="2"/>
      <c r="O1249" s="58"/>
      <c r="P1249" s="58"/>
    </row>
    <row r="1250" spans="1:16">
      <c r="A1250"/>
      <c r="B1250" s="530"/>
      <c r="C1250" s="508">
        <v>1</v>
      </c>
      <c r="D1250" s="481"/>
      <c r="E1250" s="481">
        <f t="shared" si="40"/>
        <v>-1</v>
      </c>
      <c r="F1250" s="483">
        <f>SUM($E$2:E1250)/SUM($C$2:C1250)</f>
        <v>6.7084339286100575E-3</v>
      </c>
      <c r="G1250" s="479">
        <f t="shared" si="39"/>
        <v>8.3788339768339615</v>
      </c>
      <c r="H1250" s="484" t="s">
        <v>32</v>
      </c>
      <c r="I1250" s="2"/>
      <c r="J1250" s="2"/>
      <c r="K1250" s="2"/>
      <c r="L1250" s="2"/>
      <c r="O1250" s="58"/>
      <c r="P1250" s="58"/>
    </row>
    <row r="1251" spans="1:16">
      <c r="A1251"/>
      <c r="B1251" s="530"/>
      <c r="C1251" s="509">
        <v>1</v>
      </c>
      <c r="D1251" s="482"/>
      <c r="E1251" s="482">
        <f t="shared" si="40"/>
        <v>-1</v>
      </c>
      <c r="F1251" s="485">
        <f>SUM($E$2:E1251)/SUM($C$2:C1251)</f>
        <v>5.9030671814671691E-3</v>
      </c>
      <c r="G1251" s="478">
        <f t="shared" si="39"/>
        <v>7.3788339768339615</v>
      </c>
      <c r="H1251" s="486" t="s">
        <v>16</v>
      </c>
      <c r="I1251" s="2"/>
      <c r="J1251" s="2"/>
      <c r="K1251" s="2"/>
      <c r="L1251" s="2"/>
      <c r="O1251" s="58"/>
      <c r="P1251" s="58"/>
    </row>
    <row r="1252" spans="1:16">
      <c r="A1252"/>
      <c r="B1252" s="530"/>
      <c r="C1252" s="508">
        <v>1</v>
      </c>
      <c r="D1252" s="481">
        <v>1.9</v>
      </c>
      <c r="E1252" s="481">
        <f t="shared" si="40"/>
        <v>0.89999999999999991</v>
      </c>
      <c r="F1252" s="483">
        <f>SUM($E$2:E1252)/SUM($C$2:C1252)</f>
        <v>6.6177729630966919E-3</v>
      </c>
      <c r="G1252" s="479">
        <f t="shared" si="39"/>
        <v>8.2788339768339618</v>
      </c>
      <c r="H1252" s="484" t="s">
        <v>452</v>
      </c>
      <c r="I1252" s="2"/>
      <c r="J1252" s="2"/>
      <c r="K1252" s="2"/>
      <c r="L1252" s="2"/>
      <c r="O1252" s="58"/>
      <c r="P1252" s="58"/>
    </row>
    <row r="1253" spans="1:16">
      <c r="A1253"/>
      <c r="B1253" s="530"/>
      <c r="C1253" s="508">
        <v>1</v>
      </c>
      <c r="D1253" s="481">
        <v>1.89</v>
      </c>
      <c r="E1253" s="481">
        <f t="shared" si="40"/>
        <v>0.8899999999999999</v>
      </c>
      <c r="F1253" s="483">
        <f>SUM($E$2:E1253)/SUM($C$2:C1253)</f>
        <v>7.3233498217523665E-3</v>
      </c>
      <c r="G1253" s="479">
        <f t="shared" si="39"/>
        <v>9.1688339768339624</v>
      </c>
      <c r="H1253" s="484" t="s">
        <v>453</v>
      </c>
      <c r="I1253" s="2"/>
      <c r="J1253" s="2"/>
      <c r="K1253" s="2"/>
      <c r="L1253" s="2"/>
      <c r="O1253" s="58"/>
      <c r="P1253" s="58"/>
    </row>
    <row r="1254" spans="1:16">
      <c r="A1254"/>
      <c r="B1254" s="530"/>
      <c r="C1254" s="508">
        <v>1</v>
      </c>
      <c r="D1254" s="481"/>
      <c r="E1254" s="481">
        <f t="shared" si="40"/>
        <v>-1</v>
      </c>
      <c r="F1254" s="483">
        <f>SUM($E$2:E1254)/SUM($C$2:C1254)</f>
        <v>6.5194205720941444E-3</v>
      </c>
      <c r="G1254" s="479">
        <f t="shared" si="39"/>
        <v>8.1688339768339624</v>
      </c>
      <c r="H1254" s="484" t="s">
        <v>454</v>
      </c>
      <c r="I1254" s="2"/>
      <c r="J1254" s="2"/>
      <c r="K1254" s="2"/>
      <c r="L1254" s="2"/>
      <c r="O1254" s="58"/>
      <c r="P1254" s="58"/>
    </row>
    <row r="1255" spans="1:16">
      <c r="A1255"/>
      <c r="B1255" s="530"/>
      <c r="C1255" s="509">
        <v>1</v>
      </c>
      <c r="D1255" s="482"/>
      <c r="E1255" s="482">
        <f t="shared" si="40"/>
        <v>-1</v>
      </c>
      <c r="F1255" s="485">
        <f>SUM($E$2:E1255)/SUM($C$2:C1255)</f>
        <v>5.7167735062471792E-3</v>
      </c>
      <c r="G1255" s="478">
        <f t="shared" si="39"/>
        <v>7.1688339768339624</v>
      </c>
      <c r="H1255" s="486" t="s">
        <v>455</v>
      </c>
      <c r="I1255" s="2"/>
      <c r="J1255" s="2"/>
      <c r="K1255" s="2"/>
      <c r="L1255" s="2"/>
      <c r="O1255" s="58"/>
      <c r="P1255" s="58"/>
    </row>
    <row r="1256" spans="1:16">
      <c r="A1256"/>
      <c r="B1256" s="530"/>
      <c r="C1256" s="508">
        <v>1</v>
      </c>
      <c r="D1256" s="481">
        <v>2.7549999999999999</v>
      </c>
      <c r="E1256" s="481">
        <f t="shared" si="40"/>
        <v>1.7549999999999999</v>
      </c>
      <c r="F1256" s="483">
        <f>SUM($E$2:E1256)/SUM($C$2:C1256)</f>
        <v>7.1106246827362246E-3</v>
      </c>
      <c r="G1256" s="479">
        <f t="shared" si="39"/>
        <v>8.9238339768339614</v>
      </c>
      <c r="H1256" s="484" t="s">
        <v>34</v>
      </c>
      <c r="I1256" s="2"/>
      <c r="J1256" s="2"/>
      <c r="K1256" s="2"/>
      <c r="L1256" s="2"/>
      <c r="O1256" s="58"/>
      <c r="P1256" s="58"/>
    </row>
    <row r="1257" spans="1:16">
      <c r="A1257"/>
      <c r="B1257" s="530"/>
      <c r="C1257" s="508">
        <v>1</v>
      </c>
      <c r="D1257" s="481"/>
      <c r="E1257" s="481">
        <f t="shared" si="40"/>
        <v>-1</v>
      </c>
      <c r="F1257" s="483">
        <f>SUM($E$2:E1257)/SUM($C$2:C1257)</f>
        <v>6.3087850134028352E-3</v>
      </c>
      <c r="G1257" s="479">
        <f t="shared" si="39"/>
        <v>7.9238339768339614</v>
      </c>
      <c r="H1257" s="484" t="s">
        <v>47</v>
      </c>
      <c r="I1257" s="2"/>
      <c r="J1257" s="2"/>
      <c r="K1257" s="2"/>
      <c r="L1257" s="2"/>
      <c r="O1257" s="58"/>
      <c r="P1257" s="58"/>
    </row>
    <row r="1258" spans="1:16">
      <c r="A1258"/>
      <c r="B1258" s="530"/>
      <c r="C1258" s="509">
        <v>1</v>
      </c>
      <c r="D1258" s="482">
        <v>2.46</v>
      </c>
      <c r="E1258" s="482">
        <f t="shared" si="40"/>
        <v>1.46</v>
      </c>
      <c r="F1258" s="485">
        <f>SUM($E$2:E1258)/SUM($C$2:C1258)</f>
        <v>7.465261715858363E-3</v>
      </c>
      <c r="G1258" s="478">
        <f t="shared" si="39"/>
        <v>9.3838339768339623</v>
      </c>
      <c r="H1258" s="486" t="s">
        <v>32</v>
      </c>
      <c r="I1258" s="2">
        <f>SUM(E1247:E1258)</f>
        <v>0.83999999999999964</v>
      </c>
      <c r="L1258" s="2">
        <f>I1258/C1258</f>
        <v>0.83999999999999964</v>
      </c>
      <c r="O1258" s="58"/>
      <c r="P1258" s="58"/>
    </row>
    <row r="1259" spans="1:16">
      <c r="A1259"/>
      <c r="B1259" s="529">
        <v>46110</v>
      </c>
      <c r="C1259" s="508">
        <v>1</v>
      </c>
      <c r="D1259" s="481"/>
      <c r="E1259" s="481">
        <f t="shared" si="40"/>
        <v>-1</v>
      </c>
      <c r="F1259" s="483">
        <f>SUM($E$2:E1259)/SUM($C$2:C1259)</f>
        <v>6.6644149259411463E-3</v>
      </c>
      <c r="G1259" s="479">
        <f t="shared" si="39"/>
        <v>8.3838339768339623</v>
      </c>
      <c r="H1259" s="484" t="s">
        <v>18</v>
      </c>
      <c r="I1259" s="2"/>
      <c r="J1259" s="2"/>
      <c r="K1259" s="2"/>
      <c r="L1259" s="2"/>
      <c r="O1259" s="58"/>
      <c r="P1259" s="58"/>
    </row>
    <row r="1260" spans="1:16">
      <c r="A1260"/>
      <c r="B1260" s="530"/>
      <c r="C1260" s="508">
        <v>1</v>
      </c>
      <c r="D1260" s="481">
        <v>1.9</v>
      </c>
      <c r="E1260" s="481">
        <f t="shared" si="40"/>
        <v>0.89999999999999991</v>
      </c>
      <c r="F1260" s="483">
        <f>SUM($E$2:E1260)/SUM($C$2:C1260)</f>
        <v>7.3739745646020354E-3</v>
      </c>
      <c r="G1260" s="479">
        <f t="shared" si="39"/>
        <v>9.2838339768339626</v>
      </c>
      <c r="H1260" s="484" t="s">
        <v>46</v>
      </c>
      <c r="I1260" s="2"/>
      <c r="J1260" s="2"/>
      <c r="K1260" s="2"/>
      <c r="L1260" s="2"/>
      <c r="O1260" s="58"/>
      <c r="P1260" s="58"/>
    </row>
    <row r="1261" spans="1:16">
      <c r="A1261"/>
      <c r="B1261" s="530"/>
      <c r="C1261" s="508">
        <v>1</v>
      </c>
      <c r="D1261" s="481">
        <v>1.85</v>
      </c>
      <c r="E1261" s="481">
        <f t="shared" si="40"/>
        <v>0.85000000000000009</v>
      </c>
      <c r="F1261" s="483">
        <f>SUM($E$2:E1261)/SUM($C$2:C1261)</f>
        <v>8.0427253784396534E-3</v>
      </c>
      <c r="G1261" s="479">
        <f t="shared" si="39"/>
        <v>10.133833976833962</v>
      </c>
      <c r="H1261" s="484" t="s">
        <v>30</v>
      </c>
      <c r="I1261" s="2"/>
      <c r="J1261" s="2"/>
      <c r="K1261" s="2"/>
      <c r="L1261" s="2"/>
      <c r="O1261" s="58"/>
      <c r="P1261" s="58"/>
    </row>
    <row r="1262" spans="1:16">
      <c r="A1262"/>
      <c r="B1262" s="530"/>
      <c r="C1262" s="509">
        <v>1</v>
      </c>
      <c r="D1262" s="482">
        <v>1.9</v>
      </c>
      <c r="E1262" s="482">
        <f t="shared" si="40"/>
        <v>0.89999999999999991</v>
      </c>
      <c r="F1262" s="485">
        <f>SUM($E$2:E1262)/SUM($C$2:C1262)</f>
        <v>8.7500665954274096E-3</v>
      </c>
      <c r="G1262" s="478">
        <f t="shared" si="39"/>
        <v>11.033833976833963</v>
      </c>
      <c r="H1262" s="486" t="s">
        <v>77</v>
      </c>
      <c r="I1262" s="2"/>
      <c r="J1262" s="2"/>
      <c r="K1262" s="2"/>
      <c r="L1262" s="2"/>
      <c r="O1262" s="58"/>
      <c r="P1262" s="58"/>
    </row>
    <row r="1263" spans="1:16">
      <c r="A1263"/>
      <c r="B1263" s="530"/>
      <c r="C1263" s="508">
        <v>1</v>
      </c>
      <c r="D1263" s="481"/>
      <c r="E1263" s="481">
        <f t="shared" si="40"/>
        <v>-1</v>
      </c>
      <c r="F1263" s="483">
        <f>SUM($E$2:E1263)/SUM($C$2:C1263)</f>
        <v>7.9507400767305572E-3</v>
      </c>
      <c r="G1263" s="479">
        <f t="shared" si="39"/>
        <v>10.033833976833963</v>
      </c>
      <c r="H1263" s="484" t="s">
        <v>456</v>
      </c>
      <c r="I1263" s="2"/>
      <c r="J1263" s="2"/>
      <c r="K1263" s="2"/>
      <c r="L1263" s="2"/>
      <c r="O1263" s="58"/>
      <c r="P1263" s="58"/>
    </row>
    <row r="1264" spans="1:16">
      <c r="A1264"/>
      <c r="B1264" s="530"/>
      <c r="C1264" s="508">
        <v>1</v>
      </c>
      <c r="D1264" s="481"/>
      <c r="E1264" s="481">
        <f t="shared" si="40"/>
        <v>-1</v>
      </c>
      <c r="F1264" s="483">
        <f>SUM($E$2:E1264)/SUM($C$2:C1264)</f>
        <v>7.1526793165747919E-3</v>
      </c>
      <c r="G1264" s="479">
        <f t="shared" si="39"/>
        <v>9.0338339768339626</v>
      </c>
      <c r="H1264" s="484" t="s">
        <v>457</v>
      </c>
      <c r="I1264" s="2"/>
      <c r="J1264" s="2"/>
      <c r="K1264" s="2"/>
      <c r="L1264" s="2"/>
      <c r="O1264" s="58"/>
      <c r="P1264" s="58"/>
    </row>
    <row r="1265" spans="1:16">
      <c r="A1265"/>
      <c r="B1265" s="530"/>
      <c r="C1265" s="508">
        <v>1</v>
      </c>
      <c r="D1265" s="481"/>
      <c r="E1265" s="481">
        <f t="shared" si="40"/>
        <v>-1</v>
      </c>
      <c r="F1265" s="483">
        <f>SUM($E$2:E1265)/SUM($C$2:C1265)</f>
        <v>6.3558813107863626E-3</v>
      </c>
      <c r="G1265" s="479">
        <f t="shared" si="39"/>
        <v>8.0338339768339626</v>
      </c>
      <c r="H1265" s="484" t="s">
        <v>458</v>
      </c>
      <c r="I1265" s="2"/>
      <c r="J1265" s="2"/>
      <c r="K1265" s="2"/>
      <c r="L1265" s="2"/>
      <c r="O1265" s="58"/>
      <c r="P1265" s="58"/>
    </row>
    <row r="1266" spans="1:16">
      <c r="A1266"/>
      <c r="B1266" s="530"/>
      <c r="C1266" s="508">
        <v>1</v>
      </c>
      <c r="D1266" s="481">
        <v>1.88</v>
      </c>
      <c r="E1266" s="481">
        <f t="shared" si="40"/>
        <v>0.87999999999999989</v>
      </c>
      <c r="F1266" s="483">
        <f>SUM($E$2:E1266)/SUM($C$2:C1266)</f>
        <v>7.0465090725960189E-3</v>
      </c>
      <c r="G1266" s="479">
        <f t="shared" si="39"/>
        <v>8.9138339768339634</v>
      </c>
      <c r="H1266" s="484" t="s">
        <v>459</v>
      </c>
      <c r="I1266" s="2"/>
      <c r="J1266" s="2"/>
      <c r="K1266" s="2"/>
      <c r="L1266" s="2"/>
      <c r="O1266" s="58"/>
      <c r="P1266" s="58"/>
    </row>
    <row r="1267" spans="1:16">
      <c r="A1267"/>
      <c r="B1267" s="530"/>
      <c r="C1267" s="509">
        <v>1</v>
      </c>
      <c r="D1267" s="482">
        <v>1.9</v>
      </c>
      <c r="E1267" s="482">
        <f t="shared" si="40"/>
        <v>0.89999999999999991</v>
      </c>
      <c r="F1267" s="485">
        <f>SUM($E$2:E1267)/SUM($C$2:C1267)</f>
        <v>7.7518435835971277E-3</v>
      </c>
      <c r="G1267" s="478">
        <f t="shared" si="39"/>
        <v>9.8138339768339637</v>
      </c>
      <c r="H1267" s="486" t="s">
        <v>460</v>
      </c>
      <c r="I1267" s="2"/>
      <c r="J1267" s="2"/>
      <c r="K1267" s="2"/>
      <c r="L1267" s="2"/>
      <c r="O1267" s="58"/>
      <c r="P1267" s="58"/>
    </row>
    <row r="1268" spans="1:16">
      <c r="A1268"/>
      <c r="B1268" s="530"/>
      <c r="C1268" s="508">
        <v>1</v>
      </c>
      <c r="D1268" s="481">
        <v>1.9</v>
      </c>
      <c r="E1268" s="481">
        <f t="shared" si="40"/>
        <v>0.89999999999999991</v>
      </c>
      <c r="F1268" s="483">
        <f>SUM($E$2:E1268)/SUM($C$2:C1268)</f>
        <v>8.4560647015264126E-3</v>
      </c>
      <c r="G1268" s="479">
        <f t="shared" si="39"/>
        <v>10.713833976833964</v>
      </c>
      <c r="H1268" s="484" t="s">
        <v>20</v>
      </c>
      <c r="I1268" s="2"/>
      <c r="J1268" s="2"/>
      <c r="K1268" s="2"/>
      <c r="L1268" s="2"/>
      <c r="O1268" s="58"/>
      <c r="P1268" s="58"/>
    </row>
    <row r="1269" spans="1:16">
      <c r="A1269"/>
      <c r="B1269" s="531"/>
      <c r="C1269" s="509">
        <v>1</v>
      </c>
      <c r="D1269" s="482">
        <v>1.87</v>
      </c>
      <c r="E1269" s="482">
        <f t="shared" si="40"/>
        <v>0.87000000000000011</v>
      </c>
      <c r="F1269" s="485">
        <f>SUM($E$2:E1269)/SUM($C$2:C1269)</f>
        <v>9.1355157546009185E-3</v>
      </c>
      <c r="G1269" s="478">
        <f t="shared" si="39"/>
        <v>11.583833976833965</v>
      </c>
      <c r="H1269" s="486" t="s">
        <v>36</v>
      </c>
      <c r="I1269" s="2">
        <f>SUM(E1259:E1269)</f>
        <v>2.1999999999999997</v>
      </c>
      <c r="J1269" s="2">
        <f>SUM(E1177:E1269)</f>
        <v>-24.447000000000006</v>
      </c>
      <c r="L1269" s="2">
        <f>I1269/C1269</f>
        <v>2.1999999999999997</v>
      </c>
      <c r="O1269" s="58"/>
      <c r="P1269" s="58"/>
    </row>
    <row r="1270" spans="1:16">
      <c r="A1270"/>
      <c r="B1270" s="529">
        <v>46111</v>
      </c>
      <c r="C1270" s="508">
        <v>1</v>
      </c>
      <c r="D1270" s="481">
        <v>1.85</v>
      </c>
      <c r="E1270" s="481">
        <f t="shared" si="40"/>
        <v>0.85000000000000009</v>
      </c>
      <c r="F1270" s="483">
        <f>SUM($E$2:E1270)/SUM($C$2:C1270)</f>
        <v>9.7981355215397675E-3</v>
      </c>
      <c r="G1270" s="479">
        <f t="shared" si="39"/>
        <v>12.433833976833965</v>
      </c>
      <c r="H1270" s="484" t="s">
        <v>48</v>
      </c>
      <c r="I1270" s="2"/>
      <c r="J1270" s="2"/>
      <c r="K1270" s="2"/>
      <c r="L1270" s="2"/>
      <c r="O1270" s="58"/>
      <c r="P1270" s="58"/>
    </row>
    <row r="1271" spans="1:16">
      <c r="A1271"/>
      <c r="B1271" s="530"/>
      <c r="C1271" s="508">
        <v>1</v>
      </c>
      <c r="D1271" s="481">
        <v>1.85</v>
      </c>
      <c r="E1271" s="481">
        <f t="shared" si="40"/>
        <v>0.85000000000000009</v>
      </c>
      <c r="F1271" s="483">
        <f>SUM($E$2:E1271)/SUM($C$2:C1271)</f>
        <v>1.0459711792782649E-2</v>
      </c>
      <c r="G1271" s="479">
        <f t="shared" si="39"/>
        <v>13.283833976833964</v>
      </c>
      <c r="H1271" s="484" t="s">
        <v>10</v>
      </c>
      <c r="I1271" s="2"/>
      <c r="J1271" s="2"/>
      <c r="K1271" s="2"/>
      <c r="L1271" s="2"/>
      <c r="O1271" s="58"/>
      <c r="P1271" s="58"/>
    </row>
    <row r="1272" spans="1:16">
      <c r="A1272"/>
      <c r="B1272" s="530"/>
      <c r="C1272" s="508">
        <v>1</v>
      </c>
      <c r="D1272" s="481">
        <v>1.88</v>
      </c>
      <c r="E1272" s="481">
        <f t="shared" si="40"/>
        <v>0.87999999999999989</v>
      </c>
      <c r="F1272" s="483">
        <f>SUM($E$2:E1272)/SUM($C$2:C1272)</f>
        <v>1.1143850493181718E-2</v>
      </c>
      <c r="G1272" s="479">
        <f t="shared" si="39"/>
        <v>14.163833976833963</v>
      </c>
      <c r="H1272" s="484" t="s">
        <v>38</v>
      </c>
      <c r="I1272" s="2"/>
      <c r="J1272" s="2"/>
      <c r="K1272" s="2"/>
      <c r="L1272" s="2"/>
      <c r="O1272" s="58"/>
      <c r="P1272" s="58"/>
    </row>
    <row r="1273" spans="1:16">
      <c r="A1273"/>
      <c r="B1273" s="530"/>
      <c r="C1273" s="509">
        <v>1</v>
      </c>
      <c r="D1273" s="482">
        <v>1.89</v>
      </c>
      <c r="E1273" s="482">
        <f t="shared" si="40"/>
        <v>0.8899999999999999</v>
      </c>
      <c r="F1273" s="485">
        <f>SUM($E$2:E1273)/SUM($C$2:C1273)</f>
        <v>1.1834775139020412E-2</v>
      </c>
      <c r="G1273" s="478">
        <f t="shared" si="39"/>
        <v>15.053833976833964</v>
      </c>
      <c r="H1273" s="486" t="s">
        <v>22</v>
      </c>
      <c r="I1273" s="2"/>
      <c r="J1273" s="2"/>
      <c r="K1273" s="2"/>
      <c r="L1273" s="2"/>
      <c r="O1273" s="58"/>
      <c r="P1273" s="58"/>
    </row>
    <row r="1274" spans="1:16">
      <c r="A1274"/>
      <c r="B1274" s="530"/>
      <c r="C1274" s="508">
        <v>1</v>
      </c>
      <c r="D1274" s="481">
        <v>1.89</v>
      </c>
      <c r="E1274" s="481">
        <f t="shared" si="40"/>
        <v>0.8899999999999999</v>
      </c>
      <c r="F1274" s="483">
        <f>SUM($E$2:E1274)/SUM($C$2:C1274)</f>
        <v>1.2524614278738385E-2</v>
      </c>
      <c r="G1274" s="479">
        <f t="shared" si="39"/>
        <v>15.943833976833965</v>
      </c>
      <c r="H1274" s="484" t="s">
        <v>461</v>
      </c>
      <c r="I1274" s="2"/>
      <c r="J1274" s="2"/>
      <c r="K1274" s="2"/>
      <c r="L1274" s="2"/>
      <c r="O1274" s="58"/>
      <c r="P1274" s="58"/>
    </row>
    <row r="1275" spans="1:16">
      <c r="A1275"/>
      <c r="B1275" s="530"/>
      <c r="C1275" s="508">
        <v>1</v>
      </c>
      <c r="D1275" s="481">
        <v>1.89</v>
      </c>
      <c r="E1275" s="481">
        <f t="shared" si="40"/>
        <v>0.8899999999999999</v>
      </c>
      <c r="F1275" s="483">
        <f>SUM($E$2:E1275)/SUM($C$2:C1275)</f>
        <v>1.3213370468472501E-2</v>
      </c>
      <c r="G1275" s="479">
        <f t="shared" si="39"/>
        <v>16.833833976833965</v>
      </c>
      <c r="H1275" s="484" t="s">
        <v>462</v>
      </c>
      <c r="I1275" s="2"/>
      <c r="J1275" s="2"/>
      <c r="K1275" s="2"/>
      <c r="L1275" s="2"/>
      <c r="O1275" s="58"/>
      <c r="P1275" s="58"/>
    </row>
    <row r="1276" spans="1:16">
      <c r="A1276"/>
      <c r="B1276" s="530"/>
      <c r="C1276" s="508">
        <v>1</v>
      </c>
      <c r="D1276" s="481"/>
      <c r="E1276" s="481">
        <f t="shared" si="40"/>
        <v>-1</v>
      </c>
      <c r="F1276" s="483">
        <f>SUM($E$2:E1276)/SUM($C$2:C1276)</f>
        <v>1.2418693315163895E-2</v>
      </c>
      <c r="G1276" s="479">
        <f t="shared" si="39"/>
        <v>15.833833976833965</v>
      </c>
      <c r="H1276" s="484" t="s">
        <v>463</v>
      </c>
      <c r="I1276" s="2"/>
      <c r="J1276" s="2"/>
      <c r="K1276" s="2"/>
      <c r="L1276" s="2"/>
      <c r="O1276" s="58"/>
      <c r="P1276" s="58"/>
    </row>
    <row r="1277" spans="1:16">
      <c r="A1277"/>
      <c r="B1277" s="530"/>
      <c r="C1277" s="508">
        <v>1</v>
      </c>
      <c r="D1277" s="481">
        <v>1.88</v>
      </c>
      <c r="E1277" s="481">
        <f t="shared" si="40"/>
        <v>0.87999999999999989</v>
      </c>
      <c r="F1277" s="483">
        <f>SUM($E$2:E1277)/SUM($C$2:C1277)</f>
        <v>1.3098615969305614E-2</v>
      </c>
      <c r="G1277" s="479">
        <f t="shared" si="39"/>
        <v>16.713833976833964</v>
      </c>
      <c r="H1277" s="484" t="s">
        <v>464</v>
      </c>
      <c r="I1277" s="2"/>
      <c r="J1277" s="2"/>
      <c r="K1277" s="2"/>
      <c r="L1277" s="2"/>
      <c r="O1277" s="58"/>
      <c r="P1277" s="58"/>
    </row>
    <row r="1278" spans="1:16">
      <c r="A1278"/>
      <c r="B1278" s="530"/>
      <c r="C1278" s="508">
        <v>1</v>
      </c>
      <c r="D1278" s="481">
        <v>1.89</v>
      </c>
      <c r="E1278" s="481">
        <f t="shared" si="40"/>
        <v>0.8899999999999999</v>
      </c>
      <c r="F1278" s="483">
        <f>SUM($E$2:E1278)/SUM($C$2:C1278)</f>
        <v>1.3785304602062618E-2</v>
      </c>
      <c r="G1278" s="479">
        <f t="shared" si="39"/>
        <v>17.603833976833965</v>
      </c>
      <c r="H1278" s="484" t="s">
        <v>235</v>
      </c>
      <c r="I1278" s="2"/>
      <c r="J1278" s="2"/>
      <c r="K1278" s="2"/>
      <c r="L1278" s="2"/>
      <c r="O1278" s="58"/>
      <c r="P1278" s="58"/>
    </row>
    <row r="1279" spans="1:16">
      <c r="A1279"/>
      <c r="B1279" s="530"/>
      <c r="C1279" s="508">
        <v>1</v>
      </c>
      <c r="D1279" s="481">
        <v>1.9</v>
      </c>
      <c r="E1279" s="481">
        <f t="shared" si="40"/>
        <v>0.89999999999999991</v>
      </c>
      <c r="F1279" s="483">
        <f>SUM($E$2:E1279)/SUM($C$2:C1279)</f>
        <v>1.4478743330855996E-2</v>
      </c>
      <c r="G1279" s="479">
        <f t="shared" ref="G1279:G1286" si="41">G1278+E1279</f>
        <v>18.503833976833963</v>
      </c>
      <c r="H1279" s="484" t="s">
        <v>465</v>
      </c>
      <c r="I1279" s="2"/>
      <c r="J1279" s="2"/>
      <c r="K1279" s="2"/>
      <c r="L1279" s="2"/>
      <c r="O1279" s="58"/>
      <c r="P1279" s="58"/>
    </row>
    <row r="1280" spans="1:16">
      <c r="A1280"/>
      <c r="B1280" s="530"/>
      <c r="C1280" s="508">
        <v>1</v>
      </c>
      <c r="D1280" s="481">
        <v>1.9</v>
      </c>
      <c r="E1280" s="481">
        <f t="shared" si="40"/>
        <v>0.89999999999999991</v>
      </c>
      <c r="F1280" s="483">
        <f>SUM($E$2:E1280)/SUM($C$2:C1280)</f>
        <v>1.5171097714490978E-2</v>
      </c>
      <c r="G1280" s="479">
        <f t="shared" si="41"/>
        <v>19.403833976833962</v>
      </c>
      <c r="H1280" s="484" t="s">
        <v>466</v>
      </c>
      <c r="I1280" s="2"/>
      <c r="J1280" s="2"/>
      <c r="K1280" s="2"/>
      <c r="L1280" s="2"/>
      <c r="O1280" s="58"/>
      <c r="P1280" s="58"/>
    </row>
    <row r="1281" spans="1:16">
      <c r="A1281"/>
      <c r="B1281" s="530"/>
      <c r="C1281" s="509">
        <v>1</v>
      </c>
      <c r="D1281" s="482">
        <v>1.88</v>
      </c>
      <c r="E1281" s="482">
        <f t="shared" si="40"/>
        <v>0.87999999999999989</v>
      </c>
      <c r="F1281" s="485">
        <f>SUM($E$2:E1281)/SUM($C$2:C1281)</f>
        <v>1.5846745294401533E-2</v>
      </c>
      <c r="G1281" s="478">
        <f t="shared" si="41"/>
        <v>20.283833976833961</v>
      </c>
      <c r="H1281" s="486" t="s">
        <v>467</v>
      </c>
      <c r="I1281" s="2"/>
      <c r="J1281" s="2"/>
      <c r="K1281" s="2"/>
      <c r="L1281" s="2"/>
      <c r="O1281" s="58"/>
      <c r="P1281" s="58"/>
    </row>
    <row r="1282" spans="1:16">
      <c r="A1282"/>
      <c r="B1282" s="530"/>
      <c r="C1282" s="508">
        <v>1</v>
      </c>
      <c r="D1282" s="481">
        <v>2.0699999999999998</v>
      </c>
      <c r="E1282" s="481">
        <f t="shared" ref="E1282:E1286" si="42">(C1282*D1282)-C1282</f>
        <v>1.0699999999999998</v>
      </c>
      <c r="F1282" s="483">
        <f>SUM($E$2:E1282)/SUM($C$2:C1282)</f>
        <v>1.6669659622821204E-2</v>
      </c>
      <c r="G1282" s="479">
        <f t="shared" si="41"/>
        <v>21.353833976833961</v>
      </c>
      <c r="H1282" s="484" t="s">
        <v>48</v>
      </c>
      <c r="I1282" s="2"/>
      <c r="J1282" s="2"/>
      <c r="K1282" s="2"/>
      <c r="L1282" s="2"/>
      <c r="O1282" s="58"/>
      <c r="P1282" s="58"/>
    </row>
    <row r="1283" spans="1:16">
      <c r="A1283"/>
      <c r="B1283" s="530"/>
      <c r="C1283" s="508">
        <v>1</v>
      </c>
      <c r="D1283" s="481"/>
      <c r="E1283" s="481">
        <f t="shared" si="42"/>
        <v>-1</v>
      </c>
      <c r="F1283" s="483">
        <f>SUM($E$2:E1283)/SUM($C$2:C1283)</f>
        <v>1.5876625566953167E-2</v>
      </c>
      <c r="G1283" s="479">
        <f t="shared" si="41"/>
        <v>20.353833976833961</v>
      </c>
      <c r="H1283" s="484" t="s">
        <v>36</v>
      </c>
      <c r="I1283" s="2"/>
      <c r="J1283" s="2"/>
      <c r="K1283" s="2"/>
      <c r="L1283" s="2"/>
      <c r="O1283" s="58"/>
      <c r="P1283" s="58"/>
    </row>
    <row r="1284" spans="1:16">
      <c r="A1284"/>
      <c r="B1284" s="530"/>
      <c r="C1284" s="508">
        <v>1</v>
      </c>
      <c r="D1284" s="481"/>
      <c r="E1284" s="481">
        <f t="shared" si="42"/>
        <v>-1</v>
      </c>
      <c r="F1284" s="483">
        <f>SUM($E$2:E1284)/SUM($C$2:C1284)</f>
        <v>1.5084827729410727E-2</v>
      </c>
      <c r="G1284" s="479">
        <f t="shared" si="41"/>
        <v>19.353833976833961</v>
      </c>
      <c r="H1284" s="484" t="s">
        <v>32</v>
      </c>
      <c r="I1284" s="2"/>
      <c r="J1284" s="2"/>
      <c r="K1284" s="2"/>
      <c r="L1284" s="2"/>
      <c r="O1284" s="58"/>
      <c r="P1284" s="58"/>
    </row>
    <row r="1285" spans="1:16">
      <c r="A1285"/>
      <c r="B1285" s="530"/>
      <c r="C1285" s="508">
        <v>1</v>
      </c>
      <c r="D1285" s="481"/>
      <c r="E1285" s="481">
        <f t="shared" si="42"/>
        <v>-1</v>
      </c>
      <c r="F1285" s="483">
        <f>SUM($E$2:E1285)/SUM($C$2:C1285)</f>
        <v>1.4294263221833303E-2</v>
      </c>
      <c r="G1285" s="479">
        <f t="shared" si="41"/>
        <v>18.353833976833961</v>
      </c>
      <c r="H1285" s="484" t="s">
        <v>14</v>
      </c>
      <c r="I1285" s="2"/>
      <c r="J1285" s="2"/>
      <c r="K1285" s="2"/>
      <c r="L1285" s="2"/>
      <c r="O1285" s="58"/>
      <c r="P1285" s="58"/>
    </row>
    <row r="1286" spans="1:16">
      <c r="A1286"/>
      <c r="B1286" s="531"/>
      <c r="C1286" s="509">
        <v>1</v>
      </c>
      <c r="D1286" s="482">
        <v>1.825</v>
      </c>
      <c r="E1286" s="482">
        <f t="shared" si="42"/>
        <v>0.82499999999999996</v>
      </c>
      <c r="F1286" s="485">
        <f>SUM($E$2:E1286)/SUM($C$2:C1286)</f>
        <v>1.4925162627886351E-2</v>
      </c>
      <c r="G1286" s="478">
        <f t="shared" si="41"/>
        <v>19.17883397683396</v>
      </c>
      <c r="H1286" s="486" t="s">
        <v>21</v>
      </c>
      <c r="I1286" s="2">
        <f>SUM(E1270:E1286)</f>
        <v>7.5949999999999998</v>
      </c>
      <c r="J1286" s="2">
        <f>SUM(E1270:E1287)</f>
        <v>7.5949999999999998</v>
      </c>
      <c r="K1286" s="2">
        <f>SUM(E932:E1287)</f>
        <v>-26.773999999999994</v>
      </c>
      <c r="L1286" s="2">
        <f>I1286/C1286</f>
        <v>7.5949999999999998</v>
      </c>
      <c r="O1286" s="58"/>
      <c r="P1286" s="58"/>
    </row>
    <row r="1287" spans="1:16">
      <c r="A1287"/>
      <c r="D1287"/>
      <c r="E1287"/>
      <c r="F1287"/>
      <c r="G1287"/>
      <c r="L1287" s="2"/>
      <c r="N1287" s="19"/>
      <c r="O1287" s="58"/>
      <c r="P1287" s="58"/>
    </row>
    <row r="1288" spans="1:16">
      <c r="A1288"/>
      <c r="D1288"/>
      <c r="E1288"/>
      <c r="F1288"/>
      <c r="G1288"/>
      <c r="L1288" s="18"/>
      <c r="N1288" s="19"/>
      <c r="O1288" s="58"/>
      <c r="P1288" s="58"/>
    </row>
    <row r="1289" spans="1:16">
      <c r="A1289"/>
      <c r="D1289"/>
      <c r="E1289"/>
      <c r="F1289"/>
      <c r="G1289"/>
      <c r="O1289" s="58"/>
      <c r="P1289" s="58"/>
    </row>
    <row r="1290" spans="1:16">
      <c r="A1290"/>
      <c r="D1290"/>
      <c r="E1290"/>
      <c r="F1290"/>
      <c r="G1290"/>
      <c r="P1290" s="58"/>
    </row>
    <row r="1291" spans="1:16">
      <c r="A1291"/>
      <c r="D1291"/>
      <c r="E1291"/>
      <c r="F1291"/>
      <c r="G1291"/>
      <c r="P1291" s="58"/>
    </row>
    <row r="1292" spans="1:16">
      <c r="A1292"/>
      <c r="D1292"/>
      <c r="E1292"/>
      <c r="F1292"/>
      <c r="G1292"/>
      <c r="P1292" s="58"/>
    </row>
    <row r="1293" spans="1:16">
      <c r="A1293"/>
      <c r="D1293"/>
      <c r="E1293"/>
      <c r="F1293"/>
      <c r="G1293"/>
      <c r="P1293" s="58"/>
    </row>
    <row r="1294" spans="1:16">
      <c r="A1294"/>
      <c r="D1294"/>
      <c r="E1294"/>
      <c r="F1294"/>
      <c r="G1294"/>
    </row>
    <row r="1295" spans="1:16">
      <c r="A1295"/>
      <c r="D1295"/>
      <c r="E1295"/>
      <c r="F1295"/>
      <c r="G1295"/>
    </row>
    <row r="1296" spans="1:16">
      <c r="A1296"/>
      <c r="D1296"/>
      <c r="E1296"/>
      <c r="F1296"/>
      <c r="G1296"/>
    </row>
    <row r="1297" spans="1:9">
      <c r="A1297"/>
      <c r="D1297"/>
      <c r="E1297"/>
      <c r="F1297"/>
      <c r="G1297"/>
    </row>
    <row r="1298" spans="1:9">
      <c r="A1298"/>
      <c r="D1298"/>
      <c r="E1298"/>
      <c r="F1298"/>
      <c r="G1298"/>
    </row>
    <row r="1299" spans="1:9">
      <c r="A1299"/>
      <c r="D1299"/>
      <c r="E1299"/>
      <c r="F1299"/>
      <c r="G1299"/>
    </row>
    <row r="1300" spans="1:9">
      <c r="A1300"/>
      <c r="D1300"/>
      <c r="E1300"/>
      <c r="F1300"/>
      <c r="G1300"/>
    </row>
    <row r="1301" spans="1:9">
      <c r="A1301"/>
      <c r="D1301"/>
      <c r="E1301"/>
      <c r="F1301"/>
      <c r="G1301"/>
    </row>
    <row r="1302" spans="1:9">
      <c r="A1302"/>
      <c r="D1302"/>
      <c r="E1302"/>
      <c r="F1302"/>
      <c r="G1302"/>
    </row>
    <row r="1303" spans="1:9">
      <c r="A1303"/>
      <c r="D1303"/>
      <c r="E1303"/>
      <c r="F1303"/>
      <c r="G1303"/>
    </row>
    <row r="1304" spans="1:9">
      <c r="A1304"/>
      <c r="D1304"/>
      <c r="E1304"/>
      <c r="F1304"/>
      <c r="G1304"/>
    </row>
    <row r="1305" spans="1:9">
      <c r="A1305"/>
      <c r="D1305"/>
      <c r="E1305"/>
      <c r="F1305"/>
      <c r="G1305"/>
    </row>
    <row r="1306" spans="1:9">
      <c r="A1306"/>
      <c r="D1306"/>
      <c r="E1306"/>
      <c r="F1306"/>
      <c r="G1306"/>
    </row>
    <row r="1307" spans="1:9">
      <c r="A1307"/>
      <c r="D1307"/>
      <c r="E1307"/>
      <c r="F1307"/>
      <c r="G1307"/>
    </row>
    <row r="1308" spans="1:9">
      <c r="A1308"/>
      <c r="D1308"/>
      <c r="E1308"/>
      <c r="F1308"/>
      <c r="G1308"/>
    </row>
    <row r="1309" spans="1:9">
      <c r="A1309"/>
      <c r="D1309"/>
      <c r="E1309"/>
      <c r="F1309"/>
      <c r="G1309"/>
    </row>
    <row r="1310" spans="1:9">
      <c r="A1310"/>
      <c r="B1310" s="457" t="s">
        <v>468</v>
      </c>
      <c r="C1310" s="458" t="s">
        <v>1</v>
      </c>
      <c r="D1310" s="488"/>
      <c r="E1310" s="489" t="s">
        <v>3</v>
      </c>
      <c r="F1310" s="490" t="s">
        <v>4</v>
      </c>
      <c r="G1310"/>
      <c r="H1310" s="535" t="s">
        <v>469</v>
      </c>
      <c r="I1310" s="535"/>
    </row>
    <row r="1311" spans="1:9">
      <c r="A1311"/>
      <c r="B1311" s="145" t="s">
        <v>470</v>
      </c>
      <c r="C1311" s="146" t="e">
        <f>SUM(#REF!)</f>
        <v>#REF!</v>
      </c>
      <c r="D1311" s="146"/>
      <c r="E1311" s="146" t="e">
        <f>SUM(#REF!)</f>
        <v>#REF!</v>
      </c>
      <c r="F1311" s="491" t="e">
        <f>E1311/C1311</f>
        <v>#REF!</v>
      </c>
      <c r="G1311" s="138"/>
      <c r="H1311" s="362"/>
    </row>
    <row r="1312" spans="1:9">
      <c r="A1312"/>
      <c r="B1312" s="145" t="s">
        <v>471</v>
      </c>
      <c r="C1312" s="146" t="e">
        <f>SUM(#REF!)</f>
        <v>#REF!</v>
      </c>
      <c r="D1312" s="146"/>
      <c r="E1312" s="146" t="e">
        <f>SUM(#REF!)</f>
        <v>#REF!</v>
      </c>
      <c r="F1312" s="491" t="e">
        <f>E1312/C1312</f>
        <v>#REF!</v>
      </c>
      <c r="G1312" s="138"/>
      <c r="H1312" s="362"/>
      <c r="I1312" s="523"/>
    </row>
    <row r="1313" spans="1:14">
      <c r="A1313"/>
      <c r="B1313" s="145" t="s">
        <v>472</v>
      </c>
      <c r="C1313" s="146" t="e">
        <f>SUM(#REF!)</f>
        <v>#REF!</v>
      </c>
      <c r="D1313" s="146"/>
      <c r="E1313" s="452" t="e">
        <f>SUM(#REF!)</f>
        <v>#REF!</v>
      </c>
      <c r="F1313" s="152" t="e">
        <f>E1313/C1313</f>
        <v>#REF!</v>
      </c>
      <c r="G1313" s="533" t="s">
        <v>473</v>
      </c>
      <c r="H1313" s="534"/>
    </row>
    <row r="1314" spans="1:14">
      <c r="A1314"/>
      <c r="B1314" s="145" t="s">
        <v>474</v>
      </c>
      <c r="C1314" s="146">
        <f>SUM(C2:C125)</f>
        <v>124</v>
      </c>
      <c r="D1314" s="146"/>
      <c r="E1314" s="146">
        <f>SUM(E2:E125)</f>
        <v>-1.5479999999999898</v>
      </c>
      <c r="F1314" s="491">
        <f>E1314/C1314</f>
        <v>-1.2483870967741853E-2</v>
      </c>
      <c r="G1314"/>
    </row>
    <row r="1315" spans="1:14">
      <c r="A1315"/>
      <c r="B1315" s="145" t="s">
        <v>475</v>
      </c>
      <c r="C1315" s="146">
        <f>SUM(C126:C180)</f>
        <v>55</v>
      </c>
      <c r="D1315" s="146"/>
      <c r="E1315" s="146">
        <f>SUM(E126:E180)</f>
        <v>4.5710000000000006</v>
      </c>
      <c r="F1315" s="491">
        <f>E1315/C1315</f>
        <v>8.3109090909090924E-2</v>
      </c>
      <c r="G1315"/>
    </row>
    <row r="1316" spans="1:14">
      <c r="A1316"/>
      <c r="B1316" s="145" t="s">
        <v>476</v>
      </c>
      <c r="C1316" s="146">
        <f>SUM(C181:C263)</f>
        <v>83</v>
      </c>
      <c r="D1316" s="146"/>
      <c r="E1316" s="146">
        <f>SUM(E181:E263)</f>
        <v>6.3589999999999991</v>
      </c>
      <c r="F1316" s="491">
        <f>E1316/C1316</f>
        <v>7.6614457831325297E-2</v>
      </c>
      <c r="G1316"/>
    </row>
    <row r="1317" spans="1:14">
      <c r="A1317"/>
      <c r="B1317" s="145" t="s">
        <v>477</v>
      </c>
      <c r="C1317" s="146">
        <f>SUM(C264:C357)</f>
        <v>94</v>
      </c>
      <c r="D1317" s="146"/>
      <c r="E1317" s="146">
        <f>SUM(E264:E357)</f>
        <v>3.7619999999999987</v>
      </c>
      <c r="F1317" s="491">
        <f>E1317/C1317</f>
        <v>4.0021276595744663E-2</v>
      </c>
      <c r="G1317"/>
      <c r="M1317" s="454"/>
    </row>
    <row r="1318" spans="1:14">
      <c r="A1318"/>
      <c r="B1318" s="145" t="s">
        <v>478</v>
      </c>
      <c r="C1318" s="146">
        <f>SUM(C358:C454)</f>
        <v>97</v>
      </c>
      <c r="D1318" s="146"/>
      <c r="E1318" s="146">
        <f>SUM(E358:E454)</f>
        <v>4.6408339768339824</v>
      </c>
      <c r="F1318" s="491">
        <f>E1318/C1318</f>
        <v>4.7843649245711162E-2</v>
      </c>
      <c r="G1318"/>
      <c r="I1318" s="453">
        <v>-50.734390000000062</v>
      </c>
      <c r="J1318" s="454">
        <v>46.224360000000004</v>
      </c>
      <c r="K1318" s="454">
        <f>I1318+J1318</f>
        <v>-4.5100300000000573</v>
      </c>
      <c r="L1318" s="453"/>
      <c r="M1318" s="454"/>
    </row>
    <row r="1319" spans="1:14">
      <c r="A1319"/>
      <c r="B1319" s="145" t="s">
        <v>479</v>
      </c>
      <c r="C1319" s="146">
        <f>SUM(C455:C519)</f>
        <v>65</v>
      </c>
      <c r="D1319" s="146"/>
      <c r="E1319" s="146">
        <f>SUM(E455:E519)</f>
        <v>-8.9409999999999989</v>
      </c>
      <c r="F1319" s="491">
        <f>E1319/C1319</f>
        <v>-0.13755384615384614</v>
      </c>
      <c r="G1319"/>
      <c r="I1319" s="453">
        <v>-31.943870000000008</v>
      </c>
      <c r="J1319" s="455">
        <v>45.426540000000003</v>
      </c>
      <c r="K1319" s="454">
        <f>I1319+J1319</f>
        <v>13.482669999999995</v>
      </c>
      <c r="L1319" s="453"/>
      <c r="M1319" s="454"/>
    </row>
    <row r="1320" spans="1:14">
      <c r="A1320"/>
      <c r="B1320" s="145" t="s">
        <v>480</v>
      </c>
      <c r="C1320" s="146">
        <f>SUM(C520:C556)</f>
        <v>37</v>
      </c>
      <c r="D1320" s="146"/>
      <c r="E1320" s="146">
        <f>SUM(E520:E556)</f>
        <v>9.789000000000005</v>
      </c>
      <c r="F1320" s="152">
        <f>E1320/C1320</f>
        <v>0.26456756756756772</v>
      </c>
      <c r="G1320"/>
      <c r="I1320" s="453">
        <v>-27.048020000000008</v>
      </c>
      <c r="J1320" s="454">
        <v>38.596669999999996</v>
      </c>
      <c r="K1320" s="454">
        <f>I1320+J1320</f>
        <v>11.548649999999988</v>
      </c>
      <c r="L1320" s="453"/>
      <c r="M1320" s="454"/>
      <c r="N1320" s="454"/>
    </row>
    <row r="1321" spans="1:14">
      <c r="A1321"/>
      <c r="B1321" s="145" t="s">
        <v>481</v>
      </c>
      <c r="C1321" s="146">
        <f>SUM(C557:C613)</f>
        <v>57</v>
      </c>
      <c r="D1321" s="146"/>
      <c r="E1321" s="452">
        <f>SUM(E557:E613)</f>
        <v>15.689000000000005</v>
      </c>
      <c r="F1321" s="491">
        <f>E1321/C1321</f>
        <v>0.27524561403508779</v>
      </c>
      <c r="G1321"/>
      <c r="I1321" s="453">
        <v>-9.4171099999999885</v>
      </c>
      <c r="J1321" s="454">
        <v>24.18810999999998</v>
      </c>
      <c r="K1321" s="454">
        <f>I1321+J1321</f>
        <v>14.770999999999992</v>
      </c>
      <c r="L1321" s="453"/>
      <c r="M1321" s="454"/>
    </row>
    <row r="1322" spans="1:14">
      <c r="A1322"/>
      <c r="B1322" s="145" t="s">
        <v>482</v>
      </c>
      <c r="C1322" s="146">
        <f>SUM(C614:C692)</f>
        <v>79</v>
      </c>
      <c r="D1322" s="146"/>
      <c r="E1322" s="146">
        <f>SUM(E614:E692)</f>
        <v>15.838000000000001</v>
      </c>
      <c r="F1322" s="491">
        <f>E1322/C1322</f>
        <v>0.20048101265822785</v>
      </c>
      <c r="G1322"/>
      <c r="I1322" s="453">
        <f>SUM(I1318:I1321)</f>
        <v>-119.14339000000007</v>
      </c>
      <c r="J1322" s="453">
        <f>SUM(J1318:J1321)</f>
        <v>154.43567999999999</v>
      </c>
      <c r="K1322" s="454">
        <f>SUM(K1318:K1321)</f>
        <v>35.292289999999916</v>
      </c>
      <c r="L1322" s="453"/>
      <c r="M1322" s="454"/>
    </row>
    <row r="1323" spans="1:14">
      <c r="A1323"/>
      <c r="B1323" s="145" t="s">
        <v>483</v>
      </c>
      <c r="C1323" s="146">
        <f>SUM(C693:C756)</f>
        <v>64</v>
      </c>
      <c r="D1323" s="146"/>
      <c r="E1323" s="146">
        <f>SUM(E693:E756)</f>
        <v>0.9469999999999994</v>
      </c>
      <c r="F1323" s="491">
        <f>E1323/C1323</f>
        <v>1.4796874999999991E-2</v>
      </c>
      <c r="G1323"/>
      <c r="I1323" s="453"/>
      <c r="J1323" s="453"/>
      <c r="K1323" s="454"/>
      <c r="M1323" s="454"/>
    </row>
    <row r="1324" spans="1:14">
      <c r="A1324"/>
      <c r="B1324" s="145" t="s">
        <v>484</v>
      </c>
      <c r="C1324" s="146">
        <f>SUM(C898:C898)</f>
        <v>1</v>
      </c>
      <c r="D1324" s="146"/>
      <c r="E1324" s="146">
        <f>SUM(E898:E898)</f>
        <v>-1</v>
      </c>
      <c r="F1324" s="491">
        <f>E1324/C1324</f>
        <v>-1</v>
      </c>
      <c r="G1324" s="138">
        <v>-117.22220276640927</v>
      </c>
      <c r="H1324" s="362">
        <v>156.29627035521236</v>
      </c>
      <c r="I1324" s="453"/>
      <c r="J1324" s="453"/>
      <c r="K1324" s="454"/>
      <c r="M1324" s="454"/>
    </row>
    <row r="1325" spans="1:14">
      <c r="A1325"/>
      <c r="B1325" s="142"/>
      <c r="C1325" s="143"/>
      <c r="D1325" s="143"/>
      <c r="E1325" s="143"/>
      <c r="F1325" s="144"/>
      <c r="G1325" s="492"/>
      <c r="H1325" s="229"/>
    </row>
    <row r="1326" spans="1:14">
      <c r="A1326"/>
      <c r="D1326"/>
      <c r="E1326" s="137"/>
      <c r="F1326"/>
      <c r="G1326" s="227"/>
      <c r="H1326" s="227"/>
    </row>
    <row r="1327" spans="1:14">
      <c r="A1327"/>
      <c r="C1327" s="43" t="e">
        <f>SUM(C1311:C1326)</f>
        <v>#REF!</v>
      </c>
      <c r="D1327" s="42"/>
      <c r="E1327" s="43" t="e">
        <f>SUM(E1311:E1326)</f>
        <v>#REF!</v>
      </c>
      <c r="F1327" s="44" t="e">
        <f>E1327/C1327</f>
        <v>#REF!</v>
      </c>
      <c r="G1327" s="42" t="s">
        <v>485</v>
      </c>
      <c r="H1327" s="228"/>
    </row>
    <row r="1328" spans="1:14">
      <c r="A1328"/>
      <c r="C1328" s="43">
        <f>SUM(C1314:C1325)</f>
        <v>756</v>
      </c>
      <c r="D1328" s="42"/>
      <c r="E1328" s="43">
        <f>SUM(E1314:E1325)</f>
        <v>50.106833976834004</v>
      </c>
      <c r="F1328" s="44">
        <f>E1328/C1328</f>
        <v>6.6278880921738101E-2</v>
      </c>
      <c r="G1328" s="42" t="s">
        <v>486</v>
      </c>
      <c r="H1328" s="57"/>
      <c r="I1328" s="236">
        <v>40</v>
      </c>
      <c r="J1328" s="236">
        <v>21062</v>
      </c>
    </row>
    <row r="1329" spans="1:10">
      <c r="A1329"/>
      <c r="C1329" s="43">
        <f>SUM(C704:C756)</f>
        <v>53</v>
      </c>
      <c r="D1329" s="42"/>
      <c r="E1329" s="43">
        <f>SUM(E704:E756)</f>
        <v>-0.38900000000000112</v>
      </c>
      <c r="F1329" s="44">
        <f>E1329/C1329</f>
        <v>-7.3396226415094554E-3</v>
      </c>
      <c r="G1329" s="493">
        <v>100</v>
      </c>
      <c r="I1329" s="456">
        <f>J1329*I1328/J1328</f>
        <v>40.831829835723106</v>
      </c>
      <c r="J1329" s="236">
        <v>21500</v>
      </c>
    </row>
    <row r="1330" spans="1:10">
      <c r="A1330"/>
      <c r="D1330"/>
      <c r="E1330"/>
      <c r="F1330"/>
      <c r="G1330"/>
    </row>
    <row r="1331" spans="1:10">
      <c r="A1331"/>
      <c r="D1331"/>
      <c r="E1331"/>
      <c r="F1331"/>
      <c r="G1331"/>
    </row>
    <row r="1332" spans="1:10">
      <c r="A1332"/>
      <c r="D1332"/>
      <c r="E1332"/>
      <c r="F1332"/>
      <c r="G1332"/>
      <c r="H1332" s="57"/>
    </row>
    <row r="1333" spans="1:10">
      <c r="A1333"/>
      <c r="D1333"/>
      <c r="E1333"/>
      <c r="F1333"/>
      <c r="G1333"/>
      <c r="H1333" s="57"/>
    </row>
    <row r="1334" spans="1:10">
      <c r="A1334"/>
      <c r="D1334"/>
      <c r="E1334">
        <v>4.2</v>
      </c>
      <c r="F1334">
        <v>18.899999999999999</v>
      </c>
      <c r="G1334"/>
      <c r="H1334" s="57"/>
    </row>
    <row r="1335" spans="1:10">
      <c r="A1335"/>
      <c r="D1335"/>
      <c r="E1335">
        <v>100</v>
      </c>
      <c r="F1335">
        <f>E1335*F1334/E1334</f>
        <v>449.99999999999994</v>
      </c>
      <c r="G1335"/>
      <c r="H1335" s="57"/>
    </row>
    <row r="1336" spans="1:10">
      <c r="A1336"/>
      <c r="D1336"/>
      <c r="E1336"/>
      <c r="F1336"/>
      <c r="G1336"/>
      <c r="H1336" s="57"/>
    </row>
    <row r="1337" spans="1:10">
      <c r="A1337"/>
      <c r="D1337"/>
      <c r="E1337"/>
      <c r="F1337"/>
      <c r="G1337"/>
      <c r="H1337" s="57"/>
    </row>
    <row r="1338" spans="1:10">
      <c r="A1338"/>
      <c r="D1338"/>
      <c r="E1338"/>
      <c r="F1338"/>
      <c r="G1338"/>
      <c r="H1338" s="57"/>
    </row>
    <row r="1339" spans="1:10">
      <c r="A1339"/>
      <c r="D1339"/>
      <c r="E1339"/>
      <c r="F1339"/>
      <c r="G1339"/>
      <c r="H1339" s="57"/>
    </row>
    <row r="1340" spans="1:10">
      <c r="A1340"/>
      <c r="D1340"/>
      <c r="E1340"/>
      <c r="F1340"/>
      <c r="G1340"/>
      <c r="H1340" s="57"/>
    </row>
    <row r="1341" spans="1:10">
      <c r="A1341"/>
      <c r="D1341"/>
      <c r="E1341"/>
      <c r="F1341"/>
      <c r="G1341"/>
      <c r="H1341" s="57"/>
    </row>
    <row r="1342" spans="1:10">
      <c r="A1342"/>
      <c r="D1342"/>
      <c r="E1342"/>
      <c r="F1342"/>
      <c r="G1342"/>
      <c r="H1342" s="57"/>
    </row>
    <row r="1343" spans="1:10">
      <c r="A1343"/>
      <c r="D1343"/>
      <c r="E1343"/>
      <c r="F1343"/>
      <c r="G1343"/>
    </row>
  </sheetData>
  <sortState xmlns:xlrd2="http://schemas.microsoft.com/office/spreadsheetml/2017/richdata2" ref="I555:K558">
    <sortCondition ref="I555:I558"/>
  </sortState>
  <mergeCells count="110">
    <mergeCell ref="B1151:B1164"/>
    <mergeCell ref="B1205:B1222"/>
    <mergeCell ref="B1270:B1286"/>
    <mergeCell ref="G1313:H1313"/>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1197:B1204"/>
    <mergeCell ref="H1310:I1310"/>
    <mergeCell ref="B1030:B1034"/>
    <mergeCell ref="B1035:B1047"/>
    <mergeCell ref="B1048:B1058"/>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165:B180"/>
    <mergeCell ref="B181:B190"/>
    <mergeCell ref="B191:B196"/>
    <mergeCell ref="B197:B220"/>
    <mergeCell ref="B1165:B1170"/>
    <mergeCell ref="B231:B249"/>
    <mergeCell ref="B250:B263"/>
    <mergeCell ref="B264:B276"/>
    <mergeCell ref="B277:B302"/>
    <mergeCell ref="B379:B387"/>
    <mergeCell ref="B344:B357"/>
    <mergeCell ref="B358:B378"/>
    <mergeCell ref="B303:B314"/>
    <mergeCell ref="B315:B331"/>
    <mergeCell ref="B332:B343"/>
    <mergeCell ref="B538:B547"/>
    <mergeCell ref="B548:B552"/>
    <mergeCell ref="B553:B556"/>
    <mergeCell ref="B557:B565"/>
    <mergeCell ref="B566:B570"/>
    <mergeCell ref="B571:B575"/>
    <mergeCell ref="B1059:B1073"/>
    <mergeCell ref="B1074:B1091"/>
    <mergeCell ref="B1092:B1102"/>
    <mergeCell ref="B1103:B1117"/>
    <mergeCell ref="B1118:B1126"/>
    <mergeCell ref="B1127:B1136"/>
    <mergeCell ref="B1137:B1150"/>
    <mergeCell ref="B739:B753"/>
    <mergeCell ref="B754:B756"/>
    <mergeCell ref="B757:B769"/>
    <mergeCell ref="B799:B803"/>
    <mergeCell ref="B221:B230"/>
    <mergeCell ref="B150:B164"/>
    <mergeCell ref="B93:B110"/>
    <mergeCell ref="B111:B125"/>
    <mergeCell ref="B126:B134"/>
    <mergeCell ref="B135:B139"/>
    <mergeCell ref="B140:B149"/>
    <mergeCell ref="B1223:B1229"/>
    <mergeCell ref="B1230:B1246"/>
    <mergeCell ref="B1247:B1258"/>
    <mergeCell ref="B1259:B1269"/>
    <mergeCell ref="B576:B584"/>
    <mergeCell ref="B585:B591"/>
    <mergeCell ref="B592:B605"/>
    <mergeCell ref="B606:B613"/>
    <mergeCell ref="B614:B623"/>
    <mergeCell ref="B624:B633"/>
    <mergeCell ref="B634:B648"/>
    <mergeCell ref="B1171:B1176"/>
    <mergeCell ref="B1177:B1196"/>
    <mergeCell ref="B649:B657"/>
    <mergeCell ref="B658:B669"/>
    <mergeCell ref="B770:B774"/>
    <mergeCell ref="B775:B798"/>
    <mergeCell ref="B670:B675"/>
    <mergeCell ref="B676:B692"/>
    <mergeCell ref="B693:B695"/>
    <mergeCell ref="B696:B707"/>
    <mergeCell ref="B708:B717"/>
    <mergeCell ref="B718:B729"/>
    <mergeCell ref="B730:B738"/>
  </mergeCells>
  <conditionalFormatting sqref="F1311:F1325 F2">
    <cfRule type="cellIs" dxfId="113" priority="43" stopIfTrue="1" operator="greaterThan">
      <formula>5</formula>
    </cfRule>
  </conditionalFormatting>
  <conditionalFormatting sqref="F1327:F1329">
    <cfRule type="cellIs" dxfId="112" priority="33" operator="equal">
      <formula>$B$906</formula>
    </cfRule>
  </conditionalFormatting>
  <conditionalFormatting sqref="N1287:N1288">
    <cfRule type="cellIs" dxfId="111" priority="40" operator="greaterThan">
      <formula>0.5</formula>
    </cfRule>
  </conditionalFormatting>
  <conditionalFormatting sqref="F3:F1029">
    <cfRule type="cellIs" dxfId="110" priority="14" stopIfTrue="1" operator="greaterThan">
      <formula>5</formula>
    </cfRule>
  </conditionalFormatting>
  <conditionalFormatting sqref="F1030:F1034">
    <cfRule type="cellIs" dxfId="109" priority="13" stopIfTrue="1" operator="greaterThan">
      <formula>5</formula>
    </cfRule>
  </conditionalFormatting>
  <conditionalFormatting sqref="F1035:F1047">
    <cfRule type="cellIs" dxfId="108" priority="12" stopIfTrue="1" operator="greaterThan">
      <formula>5</formula>
    </cfRule>
  </conditionalFormatting>
  <conditionalFormatting sqref="F1048:F1058">
    <cfRule type="cellIs" dxfId="107" priority="11" stopIfTrue="1" operator="greaterThan">
      <formula>5</formula>
    </cfRule>
  </conditionalFormatting>
  <conditionalFormatting sqref="F1059:F1073">
    <cfRule type="cellIs" dxfId="106" priority="10" stopIfTrue="1" operator="greaterThan">
      <formula>5</formula>
    </cfRule>
  </conditionalFormatting>
  <conditionalFormatting sqref="F1074:F1091">
    <cfRule type="cellIs" dxfId="105" priority="9" stopIfTrue="1" operator="greaterThan">
      <formula>5</formula>
    </cfRule>
  </conditionalFormatting>
  <conditionalFormatting sqref="F1092:F1102">
    <cfRule type="cellIs" dxfId="104" priority="8" stopIfTrue="1" operator="greaterThan">
      <formula>5</formula>
    </cfRule>
  </conditionalFormatting>
  <conditionalFormatting sqref="F1103:F1117">
    <cfRule type="cellIs" dxfId="103" priority="7" stopIfTrue="1" operator="greaterThan">
      <formula>5</formula>
    </cfRule>
  </conditionalFormatting>
  <conditionalFormatting sqref="F1118:F1136">
    <cfRule type="cellIs" dxfId="102" priority="6" stopIfTrue="1" operator="greaterThan">
      <formula>5</formula>
    </cfRule>
  </conditionalFormatting>
  <conditionalFormatting sqref="F1137:F1170">
    <cfRule type="cellIs" dxfId="101" priority="5" stopIfTrue="1" operator="greaterThan">
      <formula>5</formula>
    </cfRule>
  </conditionalFormatting>
  <conditionalFormatting sqref="F1171:F1204">
    <cfRule type="cellIs" dxfId="100" priority="4" stopIfTrue="1" operator="greaterThan">
      <formula>5</formula>
    </cfRule>
  </conditionalFormatting>
  <conditionalFormatting sqref="F1205:F1222">
    <cfRule type="cellIs" dxfId="99" priority="3" stopIfTrue="1" operator="greaterThan">
      <formula>5</formula>
    </cfRule>
  </conditionalFormatting>
  <conditionalFormatting sqref="F1223:F1269">
    <cfRule type="cellIs" dxfId="98" priority="2" stopIfTrue="1" operator="greaterThan">
      <formula>5</formula>
    </cfRule>
  </conditionalFormatting>
  <conditionalFormatting sqref="F1270:F1286">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487</v>
      </c>
      <c r="C1" s="379" t="s">
        <v>488</v>
      </c>
      <c r="D1" s="379" t="s">
        <v>489</v>
      </c>
      <c r="E1" s="399" t="s">
        <v>490</v>
      </c>
      <c r="F1" s="379" t="s">
        <v>491</v>
      </c>
      <c r="G1" s="379" t="s">
        <v>492</v>
      </c>
      <c r="H1" s="379" t="s">
        <v>493</v>
      </c>
      <c r="I1" s="400" t="s">
        <v>494</v>
      </c>
      <c r="J1" s="398" t="s">
        <v>495</v>
      </c>
      <c r="K1" s="379" t="s">
        <v>496</v>
      </c>
      <c r="L1" s="379" t="s">
        <v>497</v>
      </c>
      <c r="M1" s="379" t="s">
        <v>498</v>
      </c>
      <c r="N1" s="379" t="s">
        <v>499</v>
      </c>
      <c r="O1" s="401" t="s">
        <v>500</v>
      </c>
      <c r="P1" s="378" t="s">
        <v>501</v>
      </c>
      <c r="Q1" s="379" t="s">
        <v>468</v>
      </c>
      <c r="R1" s="379" t="s">
        <v>502</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503</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504</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505</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506</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507</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508</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509</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510</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511</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512</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513</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514</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515</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516</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517</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518</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407</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519</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520</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521</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522</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523</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524</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525</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526</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527</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528</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529</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530</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531</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532</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533</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534</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535</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536</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537</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538</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539</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540</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541</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542</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543</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544</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545</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546</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547</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548</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549</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550</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551</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552</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417</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553</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554</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555</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556</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557</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558</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559</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455</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560</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561</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562</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563</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564</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565</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566</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567</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568</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569</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570</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571</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572</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573</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574</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426</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575</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576</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577</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578</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579</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510</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580</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581</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582</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583</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584</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585</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586</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587</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448</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588</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589</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590</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591</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592</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593</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505</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594</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541</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595</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596</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460</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597</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598</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599</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600</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601</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602</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603</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604</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605</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593</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606</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607</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608</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609</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610</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611</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612</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613</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614</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615</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616</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617</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618</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557</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619</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620</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621</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622</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613</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623</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624</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625</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626</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627</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558</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628</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629</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630</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631</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632</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633</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634</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635</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624</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636</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637</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638</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639</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538</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640</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641</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642</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643</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644</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645</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525</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646</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647</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526</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648</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649</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650</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651</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652</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653</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654</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655</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599</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656</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657</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658</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543</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659</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660</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661</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662</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663</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664</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665</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588</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666</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667</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668</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669</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670</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671</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672</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673</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577</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674</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675</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676</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571</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677</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678</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679</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680</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416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681</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682</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683</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609</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532</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684</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443</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685</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686</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687</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688</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689</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690</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566</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546</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691</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692</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693</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694</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695</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696</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697</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435</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698</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699</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700</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591</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701</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473</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702</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441</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703</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673</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704</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705</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706</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707</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708</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709</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692</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590</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710</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711</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670</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518</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712</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713</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714</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715</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716</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717</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630</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450</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718</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712</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719</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720</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581</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721</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722</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723</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724</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725</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726</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458</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727</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728</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729</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730</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731</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732</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733</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734</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735</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736</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737</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633</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506</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738</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739</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740</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741</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742</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738</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739</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440</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743</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634</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695</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621</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744</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745</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746</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747</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463</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748</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749</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750</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751</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752</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753</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754</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755</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756</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757</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606</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758</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759</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760</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751</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761</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762</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457</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763</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764</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765</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766</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767</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768</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769</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770</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701</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771</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772</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773</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774</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769</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531</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775</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776</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777</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778</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658</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779</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668</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638</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780</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781</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782</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783</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784</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785</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786</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787</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788</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789</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790</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791</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792</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793</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787</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462</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646</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794</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795</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796</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797</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798</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578</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799</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800</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801</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802</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803</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804</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710</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805</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806</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807</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808</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809</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616</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810</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605</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811</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812</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813</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720</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814</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815</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432</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816</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817</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818</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651</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819</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820</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821</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822</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823</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824</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452</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825</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826</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827</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828</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829</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809</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830</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831</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832</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833</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834</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835</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836</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556</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837</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575</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838</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839</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840</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841</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837</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842</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843</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595</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844</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845</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846</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847</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848</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849</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850</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611</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851</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852</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404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503</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685</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853</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854</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855</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590</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403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742</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42">
        <f>F819/E819</f>
        <v>0.48714810281517745</v>
      </c>
      <c r="F820" s="543"/>
      <c r="G820" s="545">
        <f>(J819+F819)/(E819+I819)</f>
        <v>0.46572827417380663</v>
      </c>
      <c r="H820" s="546"/>
      <c r="I820" s="544">
        <f>J819/I819</f>
        <v>0.44430844553243576</v>
      </c>
      <c r="J820" s="541"/>
      <c r="L820" s="540">
        <f>M819/L819</f>
        <v>0.45654834761321911</v>
      </c>
      <c r="M820" s="541"/>
      <c r="P820" s="449">
        <f>P819/I819</f>
        <v>0.52264381884944922</v>
      </c>
    </row>
    <row r="821" spans="1:18">
      <c r="A821" s="418"/>
      <c r="E821" s="536">
        <f>1/E820</f>
        <v>2.0527638190954773</v>
      </c>
      <c r="F821" s="537"/>
      <c r="I821" s="538">
        <f>1/I820</f>
        <v>2.2506887052341598</v>
      </c>
      <c r="J821" s="539"/>
      <c r="L821" s="538">
        <f>1/L820</f>
        <v>2.1903485254691688</v>
      </c>
      <c r="M821" s="539"/>
      <c r="P821" s="450">
        <f>1/P820</f>
        <v>1.9133489461358313</v>
      </c>
      <c r="Q821" s="359"/>
    </row>
    <row r="822" spans="1:18">
      <c r="A822" s="418"/>
      <c r="E822" s="542">
        <f>1-E820</f>
        <v>0.5128518971848226</v>
      </c>
      <c r="F822" s="543"/>
      <c r="I822" s="551">
        <f>1-I820</f>
        <v>0.55569155446756424</v>
      </c>
      <c r="J822" s="552"/>
      <c r="L822" s="551">
        <f>1-L820</f>
        <v>0.54345165238678095</v>
      </c>
      <c r="M822" s="552"/>
      <c r="P822" s="359"/>
      <c r="Q822" s="359"/>
    </row>
    <row r="823" spans="1:18">
      <c r="A823" s="418"/>
      <c r="E823" s="547">
        <f>1/(1-E820)</f>
        <v>1.9498806682577563</v>
      </c>
      <c r="F823" s="548"/>
      <c r="I823" s="549">
        <f>1/(1-I820)</f>
        <v>1.7995594713656389</v>
      </c>
      <c r="J823" s="550"/>
      <c r="L823" s="549">
        <f>1/(1-L820)</f>
        <v>1.8400900900900901</v>
      </c>
      <c r="M823" s="550"/>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3" t="s">
        <v>856</v>
      </c>
      <c r="B1" s="553"/>
      <c r="C1" s="553"/>
    </row>
    <row r="2" spans="1:8">
      <c r="A2" s="422" t="s">
        <v>857</v>
      </c>
      <c r="B2" s="433">
        <f ca="1">TODAY()-1</f>
        <v>46111</v>
      </c>
    </row>
    <row r="4" spans="1:8">
      <c r="A4" s="422" t="s">
        <v>858</v>
      </c>
      <c r="B4" s="422" t="s">
        <v>859</v>
      </c>
      <c r="C4" s="438">
        <f>_xlfn.XLOOKUP(B4,Referencia!B2:B60,Referencia!A2:A60)</f>
        <v>7</v>
      </c>
    </row>
    <row r="6" spans="1:8">
      <c r="A6" t="s">
        <v>860</v>
      </c>
      <c r="B6">
        <f>COUNTIFS(Jornada!Q2:Q818, C4, Jornada!E2:E818, "&lt;&gt;")</f>
        <v>28</v>
      </c>
    </row>
    <row r="7" spans="1:8">
      <c r="A7" t="s">
        <v>861</v>
      </c>
      <c r="B7" s="522">
        <f>COUNTIFS(Jornada!Q2:Q818,C4,Jornada!F2:F818,1)</f>
        <v>16</v>
      </c>
      <c r="C7" s="424">
        <f>COUNTIFS(Jornada!Q2:Q818,C4,Jornada!F2:F818,1) / COUNTIFS(Jornada!Q2:Q818, C4, Jornada!E2:E818, "&lt;&gt;")</f>
        <v>0.5714285714285714</v>
      </c>
      <c r="D7" s="416">
        <f>1-C7</f>
        <v>0.4285714285714286</v>
      </c>
      <c r="E7" s="18"/>
    </row>
    <row r="8" spans="1:8">
      <c r="A8" t="s">
        <v>862</v>
      </c>
      <c r="B8" s="522">
        <f>COUNTIFS(Jornada!Q2:Q818,C4,Jornada!J2:J818,1)</f>
        <v>12</v>
      </c>
      <c r="C8" s="459">
        <f>COUNTIFS(Jornada!Q2:Q818,C4,Jornada!J2:J818,1) / COUNTIFS(Jornada!Q2:Q818, C4, Jornada!E2:E818, "&lt;&gt;")</f>
        <v>0.42857142857142855</v>
      </c>
      <c r="D8" s="416">
        <f t="shared" ref="D8:D10" si="0">1-C8</f>
        <v>0.5714285714285714</v>
      </c>
      <c r="E8" s="18"/>
      <c r="H8" s="18"/>
    </row>
    <row r="9" spans="1:8">
      <c r="A9" t="s">
        <v>863</v>
      </c>
      <c r="B9">
        <f>COUNTIFS(Jornada!Q2:Q818,C4,Jornada!M2:M818,1)</f>
        <v>15</v>
      </c>
      <c r="C9" s="460">
        <f>COUNTIFS(Jornada!Q2:Q818,C4,Jornada!M2:M818,1) / COUNTIFS(Jornada!Q2:Q818, C4, Jornada!E2:E818, "&lt;&gt;")</f>
        <v>0.5357142857142857</v>
      </c>
      <c r="D9" s="416">
        <f t="shared" si="0"/>
        <v>0.4642857142857143</v>
      </c>
      <c r="E9" s="18"/>
      <c r="H9" s="18"/>
    </row>
    <row r="10" spans="1:8">
      <c r="A10" t="s">
        <v>864</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865</v>
      </c>
      <c r="B12" s="422" t="s">
        <v>866</v>
      </c>
    </row>
    <row r="14" spans="1:8">
      <c r="A14" t="s">
        <v>860</v>
      </c>
      <c r="B14">
        <f>COUNTIFS(Jornada!R2:R818,B12, Jornada!E2:E818, "&lt;&gt;")</f>
        <v>87</v>
      </c>
    </row>
    <row r="15" spans="1:8">
      <c r="A15" t="s">
        <v>861</v>
      </c>
      <c r="B15">
        <f>COUNTIFS(Jornada!R2:R818,B12,Jornada!F2:F818,1)</f>
        <v>50</v>
      </c>
      <c r="C15" s="417">
        <f>B15/$B$14</f>
        <v>0.57471264367816088</v>
      </c>
      <c r="D15" s="416">
        <f>1-C15</f>
        <v>0.42528735632183912</v>
      </c>
    </row>
    <row r="16" spans="1:8">
      <c r="A16" t="s">
        <v>862</v>
      </c>
      <c r="B16">
        <f>COUNTIFS(Jornada!R2:R818,B12,Jornada!J2:J818,1)</f>
        <v>40</v>
      </c>
      <c r="C16" s="462">
        <f t="shared" ref="C16:C18" si="1">B16/$B$14</f>
        <v>0.45977011494252873</v>
      </c>
      <c r="D16" s="416">
        <f t="shared" ref="D16:D18" si="2">1-C16</f>
        <v>0.54022988505747127</v>
      </c>
    </row>
    <row r="17" spans="1:8">
      <c r="A17" t="s">
        <v>863</v>
      </c>
      <c r="B17">
        <f>COUNTIFS(Jornada!R2:R818,B12,Jornada!M2:M818,1)</f>
        <v>46</v>
      </c>
      <c r="C17" s="463">
        <f t="shared" si="1"/>
        <v>0.52873563218390807</v>
      </c>
      <c r="D17" s="416">
        <f t="shared" si="2"/>
        <v>0.47126436781609193</v>
      </c>
    </row>
    <row r="18" spans="1:8">
      <c r="A18" t="s">
        <v>864</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867</v>
      </c>
      <c r="C1" t="s">
        <v>868</v>
      </c>
      <c r="D1" t="s">
        <v>869</v>
      </c>
      <c r="E1" s="18" t="s">
        <v>870</v>
      </c>
      <c r="F1" t="s">
        <v>871</v>
      </c>
      <c r="G1" s="18" t="s">
        <v>872</v>
      </c>
      <c r="H1" t="s">
        <v>873</v>
      </c>
      <c r="I1" s="18" t="s">
        <v>874</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875</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876</v>
      </c>
      <c r="B1" s="42" t="s">
        <v>877</v>
      </c>
      <c r="C1" s="42" t="s">
        <v>502</v>
      </c>
    </row>
    <row r="2" spans="1:3">
      <c r="A2">
        <v>43</v>
      </c>
      <c r="B2" t="s">
        <v>470</v>
      </c>
      <c r="C2" t="str">
        <f>TEXT(tblResultadosNBA[[#This Row],[Fecha]],"mmm")</f>
        <v>oct</v>
      </c>
    </row>
    <row r="3" spans="1:3">
      <c r="A3">
        <v>44</v>
      </c>
      <c r="B3" t="s">
        <v>471</v>
      </c>
      <c r="C3" t="s">
        <v>878</v>
      </c>
    </row>
    <row r="4" spans="1:3">
      <c r="A4">
        <v>45</v>
      </c>
      <c r="B4" t="s">
        <v>472</v>
      </c>
      <c r="C4" t="s">
        <v>879</v>
      </c>
    </row>
    <row r="5" spans="1:3">
      <c r="A5">
        <v>46</v>
      </c>
      <c r="B5" t="s">
        <v>474</v>
      </c>
      <c r="C5" t="s">
        <v>880</v>
      </c>
    </row>
    <row r="6" spans="1:3">
      <c r="A6">
        <v>47</v>
      </c>
      <c r="B6" t="s">
        <v>475</v>
      </c>
      <c r="C6" t="s">
        <v>866</v>
      </c>
    </row>
    <row r="7" spans="1:3">
      <c r="A7">
        <v>48</v>
      </c>
      <c r="B7" t="s">
        <v>476</v>
      </c>
      <c r="C7" t="s">
        <v>881</v>
      </c>
    </row>
    <row r="8" spans="1:3">
      <c r="A8">
        <v>49</v>
      </c>
      <c r="B8" t="s">
        <v>477</v>
      </c>
      <c r="C8" t="s">
        <v>882</v>
      </c>
    </row>
    <row r="9" spans="1:3">
      <c r="A9">
        <v>50</v>
      </c>
      <c r="B9" t="s">
        <v>478</v>
      </c>
      <c r="C9" t="s">
        <v>883</v>
      </c>
    </row>
    <row r="10" spans="1:3">
      <c r="A10">
        <v>51</v>
      </c>
      <c r="B10" t="s">
        <v>479</v>
      </c>
      <c r="C10" t="s">
        <v>884</v>
      </c>
    </row>
    <row r="11" spans="1:3">
      <c r="A11">
        <v>52</v>
      </c>
      <c r="B11" t="s">
        <v>480</v>
      </c>
      <c r="C11" t="s">
        <v>885</v>
      </c>
    </row>
    <row r="12" spans="1:3">
      <c r="A12">
        <v>1</v>
      </c>
      <c r="B12" t="s">
        <v>481</v>
      </c>
      <c r="C12" t="s">
        <v>886</v>
      </c>
    </row>
    <row r="13" spans="1:3">
      <c r="A13">
        <v>2</v>
      </c>
      <c r="B13" t="s">
        <v>482</v>
      </c>
      <c r="C13" t="s">
        <v>887</v>
      </c>
    </row>
    <row r="14" spans="1:3">
      <c r="A14">
        <v>3</v>
      </c>
      <c r="B14" t="s">
        <v>483</v>
      </c>
    </row>
    <row r="15" spans="1:3">
      <c r="A15">
        <v>4</v>
      </c>
      <c r="B15" t="s">
        <v>484</v>
      </c>
    </row>
    <row r="16" spans="1:3">
      <c r="A16">
        <v>5</v>
      </c>
      <c r="B16" t="s">
        <v>888</v>
      </c>
    </row>
    <row r="17" spans="1:2">
      <c r="A17">
        <v>6</v>
      </c>
      <c r="B17" t="s">
        <v>889</v>
      </c>
    </row>
    <row r="18" spans="1:2">
      <c r="A18">
        <v>7</v>
      </c>
      <c r="B18" t="s">
        <v>859</v>
      </c>
    </row>
    <row r="19" spans="1:2">
      <c r="A19">
        <v>8</v>
      </c>
      <c r="B19" t="s">
        <v>890</v>
      </c>
    </row>
    <row r="20" spans="1:2">
      <c r="A20">
        <v>9</v>
      </c>
      <c r="B20" t="s">
        <v>891</v>
      </c>
    </row>
    <row r="21" spans="1:2">
      <c r="A21">
        <v>10</v>
      </c>
      <c r="B21" t="s">
        <v>892</v>
      </c>
    </row>
    <row r="22" spans="1:2">
      <c r="A22">
        <v>11</v>
      </c>
      <c r="B22" t="s">
        <v>893</v>
      </c>
    </row>
    <row r="23" spans="1:2">
      <c r="A23">
        <v>12</v>
      </c>
      <c r="B23" t="s">
        <v>894</v>
      </c>
    </row>
    <row r="24" spans="1:2">
      <c r="A24">
        <v>13</v>
      </c>
      <c r="B24" t="s">
        <v>895</v>
      </c>
    </row>
    <row r="25" spans="1:2">
      <c r="A25">
        <v>14</v>
      </c>
      <c r="B25" t="s">
        <v>896</v>
      </c>
    </row>
    <row r="26" spans="1:2">
      <c r="A26">
        <v>15</v>
      </c>
      <c r="B26" t="s">
        <v>897</v>
      </c>
    </row>
    <row r="27" spans="1:2">
      <c r="A27">
        <v>16</v>
      </c>
      <c r="B27" t="s">
        <v>898</v>
      </c>
    </row>
    <row r="28" spans="1:2">
      <c r="A28">
        <v>17</v>
      </c>
      <c r="B28" t="s">
        <v>899</v>
      </c>
    </row>
    <row r="29" spans="1:2">
      <c r="A29">
        <v>18</v>
      </c>
      <c r="B29" t="s">
        <v>900</v>
      </c>
    </row>
    <row r="30" spans="1:2">
      <c r="A30">
        <v>19</v>
      </c>
      <c r="B30" t="s">
        <v>901</v>
      </c>
    </row>
    <row r="31" spans="1:2">
      <c r="A31">
        <v>20</v>
      </c>
      <c r="B31" t="s">
        <v>902</v>
      </c>
    </row>
    <row r="32" spans="1:2">
      <c r="A32">
        <v>21</v>
      </c>
      <c r="B32" t="s">
        <v>903</v>
      </c>
    </row>
    <row r="33" spans="1:2">
      <c r="A33">
        <v>22</v>
      </c>
      <c r="B33" t="s">
        <v>904</v>
      </c>
    </row>
    <row r="34" spans="1:2">
      <c r="A34">
        <v>23</v>
      </c>
      <c r="B34" t="s">
        <v>905</v>
      </c>
    </row>
    <row r="35" spans="1:2">
      <c r="A35">
        <v>24</v>
      </c>
      <c r="B35" t="s">
        <v>906</v>
      </c>
    </row>
    <row r="36" spans="1:2">
      <c r="A36">
        <v>25</v>
      </c>
      <c r="B36" t="s">
        <v>907</v>
      </c>
    </row>
    <row r="37" spans="1:2">
      <c r="A37">
        <v>26</v>
      </c>
      <c r="B37" t="s">
        <v>908</v>
      </c>
    </row>
    <row r="38" spans="1:2">
      <c r="A38">
        <v>27</v>
      </c>
      <c r="B38" t="s">
        <v>909</v>
      </c>
    </row>
    <row r="39" spans="1:2">
      <c r="A39">
        <v>28</v>
      </c>
      <c r="B39" t="s">
        <v>910</v>
      </c>
    </row>
    <row r="40" spans="1:2">
      <c r="A40">
        <v>29</v>
      </c>
      <c r="B40" t="s">
        <v>911</v>
      </c>
    </row>
    <row r="41" spans="1:2">
      <c r="A41">
        <v>30</v>
      </c>
      <c r="B41" t="s">
        <v>912</v>
      </c>
    </row>
    <row r="42" spans="1:2">
      <c r="A42">
        <v>31</v>
      </c>
      <c r="B42" t="s">
        <v>913</v>
      </c>
    </row>
    <row r="43" spans="1:2">
      <c r="A43">
        <v>32</v>
      </c>
      <c r="B43" t="s">
        <v>914</v>
      </c>
    </row>
    <row r="44" spans="1:2">
      <c r="A44">
        <v>33</v>
      </c>
      <c r="B44" t="s">
        <v>915</v>
      </c>
    </row>
    <row r="45" spans="1:2">
      <c r="A45">
        <v>34</v>
      </c>
      <c r="B45" t="s">
        <v>916</v>
      </c>
    </row>
    <row r="46" spans="1:2">
      <c r="A46">
        <v>35</v>
      </c>
      <c r="B46" t="s">
        <v>917</v>
      </c>
    </row>
    <row r="47" spans="1:2">
      <c r="A47">
        <v>36</v>
      </c>
      <c r="B47" t="s">
        <v>918</v>
      </c>
    </row>
    <row r="48" spans="1:2">
      <c r="A48">
        <v>37</v>
      </c>
      <c r="B48" t="s">
        <v>919</v>
      </c>
    </row>
    <row r="49" spans="1:2">
      <c r="A49">
        <v>38</v>
      </c>
      <c r="B49" t="s">
        <v>920</v>
      </c>
    </row>
    <row r="50" spans="1:2">
      <c r="A50">
        <v>39</v>
      </c>
      <c r="B50" t="s">
        <v>921</v>
      </c>
    </row>
    <row r="51" spans="1:2">
      <c r="A51">
        <v>40</v>
      </c>
      <c r="B51" t="s">
        <v>922</v>
      </c>
    </row>
    <row r="52" spans="1:2">
      <c r="A52">
        <v>41</v>
      </c>
      <c r="B52" t="s">
        <v>923</v>
      </c>
    </row>
    <row r="53" spans="1:2">
      <c r="A53">
        <v>42</v>
      </c>
      <c r="B53" t="s">
        <v>924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8" t="s">
        <v>925</v>
      </c>
      <c r="N1" s="568"/>
      <c r="O1" s="568"/>
      <c r="P1" s="568"/>
      <c r="Q1"/>
    </row>
    <row r="2" spans="1:17" ht="15.75" thickBot="1">
      <c r="A2" s="564">
        <v>45905</v>
      </c>
      <c r="B2" s="179">
        <v>1</v>
      </c>
      <c r="C2" s="162">
        <v>3.04</v>
      </c>
      <c r="D2" s="162">
        <f>(B2*C2)-B2</f>
        <v>2.04</v>
      </c>
      <c r="E2" s="213">
        <f>SUM($D$2:D2)/SUM($B$2:B2)</f>
        <v>2.04</v>
      </c>
      <c r="F2" s="162">
        <f>D2</f>
        <v>2.04</v>
      </c>
      <c r="G2" s="214" t="s">
        <v>926</v>
      </c>
      <c r="H2" s="183"/>
      <c r="I2" s="184"/>
      <c r="J2" s="184"/>
      <c r="Q2"/>
    </row>
    <row r="3" spans="1:17">
      <c r="A3" s="565"/>
      <c r="B3" s="165">
        <v>1</v>
      </c>
      <c r="C3" s="161">
        <v>1.93</v>
      </c>
      <c r="D3" s="161">
        <f t="shared" ref="D3:D66" si="0">(B3*C3)-B3</f>
        <v>0.92999999999999994</v>
      </c>
      <c r="E3" s="191">
        <f>SUM($D$2:D3)/SUM($B$2:B3)</f>
        <v>1.4849999999999999</v>
      </c>
      <c r="F3" s="161">
        <f>F2+D3</f>
        <v>2.9699999999999998</v>
      </c>
      <c r="G3" s="169" t="s">
        <v>927</v>
      </c>
      <c r="H3" s="183"/>
      <c r="I3" s="184"/>
      <c r="J3" s="184"/>
      <c r="Q3"/>
    </row>
    <row r="4" spans="1:17">
      <c r="A4" s="565"/>
      <c r="B4" s="168">
        <v>1</v>
      </c>
      <c r="C4" s="151">
        <v>1.86</v>
      </c>
      <c r="D4" s="151">
        <f t="shared" si="0"/>
        <v>0.8600000000000001</v>
      </c>
      <c r="E4" s="190">
        <f>SUM($D$2:D4)/SUM($B$2:B4)</f>
        <v>1.2766666666666666</v>
      </c>
      <c r="F4" s="151">
        <f t="shared" ref="F4:F67" si="1">F3+D4</f>
        <v>3.83</v>
      </c>
      <c r="G4" s="192" t="s">
        <v>928</v>
      </c>
      <c r="H4" s="183"/>
      <c r="I4" s="184"/>
      <c r="J4" s="184"/>
      <c r="Q4"/>
    </row>
    <row r="5" spans="1:17">
      <c r="A5" s="565"/>
      <c r="B5" s="167">
        <v>1</v>
      </c>
      <c r="C5" s="150">
        <v>2.0099999999999998</v>
      </c>
      <c r="D5" s="150">
        <f t="shared" si="0"/>
        <v>1.0099999999999998</v>
      </c>
      <c r="E5" s="154">
        <f>SUM($D$2:D5)/SUM($B$2:B5)</f>
        <v>1.21</v>
      </c>
      <c r="F5" s="150">
        <f t="shared" si="1"/>
        <v>4.84</v>
      </c>
      <c r="G5" s="189" t="s">
        <v>929</v>
      </c>
      <c r="H5" s="183"/>
      <c r="I5" s="184"/>
      <c r="J5" s="184"/>
      <c r="Q5"/>
    </row>
    <row r="6" spans="1:17" ht="15.75" thickBot="1">
      <c r="A6" s="565"/>
      <c r="B6" s="170">
        <v>1</v>
      </c>
      <c r="C6" s="163"/>
      <c r="D6" s="163">
        <f t="shared" si="0"/>
        <v>-1</v>
      </c>
      <c r="E6" s="193">
        <f>SUM($D$2:D6)/SUM($B$2:B6)</f>
        <v>0.76800000000000002</v>
      </c>
      <c r="F6" s="163">
        <f t="shared" si="1"/>
        <v>3.84</v>
      </c>
      <c r="G6" s="194" t="s">
        <v>930</v>
      </c>
      <c r="H6" s="183"/>
      <c r="I6" s="184"/>
      <c r="J6" s="184"/>
      <c r="Q6"/>
    </row>
    <row r="7" spans="1:17" ht="15.75" thickBot="1">
      <c r="A7" s="564">
        <v>45906</v>
      </c>
      <c r="B7" s="231">
        <v>1</v>
      </c>
      <c r="C7" s="231"/>
      <c r="D7" s="231">
        <f t="shared" si="0"/>
        <v>-1</v>
      </c>
      <c r="E7" s="249">
        <f>SUM($D$2:D7)/SUM($B$2:B7)</f>
        <v>0.47333333333333333</v>
      </c>
      <c r="F7" s="232">
        <f t="shared" si="1"/>
        <v>2.84</v>
      </c>
      <c r="G7" s="250" t="s">
        <v>931</v>
      </c>
      <c r="H7" s="183"/>
      <c r="I7" s="184"/>
      <c r="J7" s="184"/>
      <c r="K7" s="58"/>
      <c r="M7" s="2"/>
      <c r="Q7"/>
    </row>
    <row r="8" spans="1:17">
      <c r="A8" s="566"/>
      <c r="B8" s="165">
        <v>1</v>
      </c>
      <c r="C8" s="204"/>
      <c r="D8" s="204">
        <f t="shared" si="0"/>
        <v>-1</v>
      </c>
      <c r="E8" s="191">
        <f>SUM($D$2:D8)/SUM($B$2:B8)</f>
        <v>0.26285714285714284</v>
      </c>
      <c r="F8" s="161">
        <f t="shared" si="1"/>
        <v>1.8399999999999999</v>
      </c>
      <c r="G8" s="210" t="s">
        <v>928</v>
      </c>
      <c r="H8" s="183"/>
      <c r="I8" s="184"/>
      <c r="J8" s="184"/>
      <c r="K8" s="18"/>
      <c r="M8" s="2"/>
      <c r="N8" s="18"/>
      <c r="Q8"/>
    </row>
    <row r="9" spans="1:17">
      <c r="A9" s="566"/>
      <c r="B9" s="167">
        <v>1</v>
      </c>
      <c r="C9" s="205"/>
      <c r="D9" s="205">
        <f t="shared" si="0"/>
        <v>-1</v>
      </c>
      <c r="E9" s="154">
        <f>SUM($D$2:D9)/SUM($B$2:B9)</f>
        <v>0.10499999999999998</v>
      </c>
      <c r="F9" s="150">
        <f t="shared" si="1"/>
        <v>0.83999999999999986</v>
      </c>
      <c r="G9" s="201" t="s">
        <v>932</v>
      </c>
      <c r="H9" s="183"/>
      <c r="I9" s="184"/>
      <c r="J9" s="184"/>
      <c r="K9" s="18"/>
      <c r="M9" s="2"/>
      <c r="N9" s="18"/>
      <c r="Q9"/>
    </row>
    <row r="10" spans="1:17">
      <c r="A10" s="566"/>
      <c r="B10" s="167">
        <v>1</v>
      </c>
      <c r="C10" s="205"/>
      <c r="D10" s="205">
        <f t="shared" si="0"/>
        <v>-1</v>
      </c>
      <c r="E10" s="154">
        <f>SUM($D$2:D10)/SUM($B$2:B10)</f>
        <v>-1.7777777777777795E-2</v>
      </c>
      <c r="F10" s="150">
        <f t="shared" si="1"/>
        <v>-0.16000000000000014</v>
      </c>
      <c r="G10" s="201" t="s">
        <v>933</v>
      </c>
      <c r="H10" s="183"/>
      <c r="I10" s="184"/>
      <c r="J10" s="184"/>
      <c r="K10" s="18"/>
      <c r="M10" s="2"/>
      <c r="N10" s="18"/>
      <c r="Q10"/>
    </row>
    <row r="11" spans="1:17">
      <c r="A11" s="566"/>
      <c r="B11" s="167">
        <v>1</v>
      </c>
      <c r="C11" s="205"/>
      <c r="D11" s="205">
        <f t="shared" si="0"/>
        <v>-1</v>
      </c>
      <c r="E11" s="154">
        <f>SUM($D$2:D11)/SUM($B$2:B11)</f>
        <v>-0.11600000000000002</v>
      </c>
      <c r="F11" s="150">
        <f t="shared" si="1"/>
        <v>-1.1600000000000001</v>
      </c>
      <c r="G11" s="201" t="s">
        <v>927</v>
      </c>
      <c r="H11" s="183"/>
      <c r="I11" s="184"/>
      <c r="J11" s="184"/>
      <c r="K11" s="18"/>
      <c r="M11" s="2"/>
      <c r="N11" s="18"/>
      <c r="Q11"/>
    </row>
    <row r="12" spans="1:17">
      <c r="A12" s="566"/>
      <c r="B12" s="167">
        <v>1</v>
      </c>
      <c r="C12" s="205"/>
      <c r="D12" s="205">
        <f t="shared" si="0"/>
        <v>-1</v>
      </c>
      <c r="E12" s="154">
        <f>SUM($D$2:D12)/SUM($B$2:B12)</f>
        <v>-0.19636363636363638</v>
      </c>
      <c r="F12" s="150">
        <f t="shared" si="1"/>
        <v>-2.16</v>
      </c>
      <c r="G12" s="201" t="s">
        <v>934</v>
      </c>
      <c r="H12" s="183"/>
      <c r="I12" s="184"/>
      <c r="J12" s="184"/>
      <c r="K12" s="18"/>
      <c r="M12" s="2"/>
      <c r="N12" s="18"/>
      <c r="Q12"/>
    </row>
    <row r="13" spans="1:17" ht="15.75" thickBot="1">
      <c r="A13" s="566"/>
      <c r="B13" s="170">
        <v>1</v>
      </c>
      <c r="C13" s="206">
        <v>1.97</v>
      </c>
      <c r="D13" s="206">
        <f t="shared" si="0"/>
        <v>0.97</v>
      </c>
      <c r="E13" s="193">
        <f>SUM($D$2:D13)/SUM($B$2:B13)</f>
        <v>-9.9166666666666681E-2</v>
      </c>
      <c r="F13" s="163">
        <f t="shared" si="1"/>
        <v>-1.1900000000000002</v>
      </c>
      <c r="G13" s="203" t="s">
        <v>935</v>
      </c>
      <c r="H13" s="183"/>
      <c r="I13" s="184"/>
      <c r="J13" s="184"/>
      <c r="K13" s="18"/>
      <c r="M13" s="2"/>
      <c r="N13" s="18"/>
      <c r="Q13"/>
    </row>
    <row r="14" spans="1:17" ht="15.75" thickBot="1">
      <c r="A14" s="564">
        <v>45907</v>
      </c>
      <c r="B14" s="207">
        <v>1</v>
      </c>
      <c r="C14" s="207"/>
      <c r="D14" s="207">
        <f t="shared" si="0"/>
        <v>-1</v>
      </c>
      <c r="E14" s="213">
        <f>SUM($D$2:D14)/SUM($B$2:B14)</f>
        <v>-0.1684615384615385</v>
      </c>
      <c r="F14" s="162">
        <f t="shared" si="1"/>
        <v>-2.1900000000000004</v>
      </c>
      <c r="G14" s="215" t="s">
        <v>936</v>
      </c>
      <c r="H14" s="183"/>
      <c r="I14" s="184"/>
      <c r="J14" s="184"/>
      <c r="K14" s="58"/>
      <c r="M14" s="2"/>
      <c r="Q14"/>
    </row>
    <row r="15" spans="1:17">
      <c r="A15" s="565"/>
      <c r="B15" s="204">
        <v>1</v>
      </c>
      <c r="C15" s="204"/>
      <c r="D15" s="204">
        <f t="shared" si="0"/>
        <v>-1</v>
      </c>
      <c r="E15" s="191">
        <f>SUM($D$2:D15)/SUM($B$2:B15)</f>
        <v>-0.2278571428571429</v>
      </c>
      <c r="F15" s="161">
        <f t="shared" si="1"/>
        <v>-3.1900000000000004</v>
      </c>
      <c r="G15" s="210" t="s">
        <v>937</v>
      </c>
      <c r="H15" s="183"/>
      <c r="I15" s="184"/>
      <c r="J15" s="184"/>
      <c r="K15" s="18"/>
      <c r="M15" s="2"/>
      <c r="N15" s="18"/>
      <c r="Q15"/>
    </row>
    <row r="16" spans="1:17">
      <c r="A16" s="565"/>
      <c r="B16" s="205">
        <v>1</v>
      </c>
      <c r="C16" s="205"/>
      <c r="D16" s="205">
        <f t="shared" si="0"/>
        <v>-1</v>
      </c>
      <c r="E16" s="154">
        <f>SUM($D$2:D16)/SUM($B$2:B16)</f>
        <v>-0.27933333333333338</v>
      </c>
      <c r="F16" s="150">
        <f t="shared" si="1"/>
        <v>-4.1900000000000004</v>
      </c>
      <c r="G16" s="201" t="s">
        <v>932</v>
      </c>
      <c r="H16" s="183"/>
      <c r="I16" s="184"/>
      <c r="J16" s="184"/>
      <c r="K16" s="18"/>
      <c r="M16" s="2"/>
      <c r="N16" s="18"/>
      <c r="Q16"/>
    </row>
    <row r="17" spans="1:17">
      <c r="A17" s="565"/>
      <c r="B17" s="205">
        <v>1</v>
      </c>
      <c r="C17" s="205">
        <v>1.9</v>
      </c>
      <c r="D17" s="205">
        <f t="shared" si="0"/>
        <v>0.89999999999999991</v>
      </c>
      <c r="E17" s="154">
        <f>SUM($D$2:D17)/SUM($B$2:B17)</f>
        <v>-0.20562500000000003</v>
      </c>
      <c r="F17" s="150">
        <f t="shared" si="1"/>
        <v>-3.2900000000000005</v>
      </c>
      <c r="G17" s="201" t="s">
        <v>928</v>
      </c>
      <c r="H17" s="183"/>
      <c r="I17" s="184"/>
      <c r="J17" s="184"/>
      <c r="K17" s="18"/>
      <c r="M17" s="2"/>
      <c r="N17" s="18"/>
      <c r="Q17"/>
    </row>
    <row r="18" spans="1:17">
      <c r="A18" s="565"/>
      <c r="B18" s="205">
        <v>1</v>
      </c>
      <c r="C18" s="205">
        <v>1.88</v>
      </c>
      <c r="D18" s="205">
        <f t="shared" si="0"/>
        <v>0.87999999999999989</v>
      </c>
      <c r="E18" s="154">
        <f>SUM($D$2:D18)/SUM($B$2:B18)</f>
        <v>-0.14176470588235299</v>
      </c>
      <c r="F18" s="150">
        <f t="shared" si="1"/>
        <v>-2.4100000000000006</v>
      </c>
      <c r="G18" s="201" t="s">
        <v>938</v>
      </c>
      <c r="H18" s="183"/>
      <c r="I18" s="184"/>
      <c r="J18" s="184"/>
      <c r="K18" s="18"/>
      <c r="M18" s="2"/>
      <c r="N18" s="18"/>
      <c r="Q18"/>
    </row>
    <row r="19" spans="1:17" ht="15.75" thickBot="1">
      <c r="A19" s="565"/>
      <c r="B19" s="153">
        <v>1</v>
      </c>
      <c r="C19" s="153"/>
      <c r="D19" s="153">
        <f t="shared" si="0"/>
        <v>-1</v>
      </c>
      <c r="E19" s="190">
        <f>SUM($D$2:D19)/SUM($B$2:B19)</f>
        <v>-0.18944444444444447</v>
      </c>
      <c r="F19" s="151">
        <f t="shared" si="1"/>
        <v>-3.4100000000000006</v>
      </c>
      <c r="G19" s="211" t="s">
        <v>934</v>
      </c>
      <c r="H19" s="183"/>
      <c r="I19" s="184"/>
      <c r="J19" s="184"/>
      <c r="K19" s="58"/>
      <c r="M19" s="2"/>
      <c r="N19" s="18"/>
      <c r="Q19"/>
    </row>
    <row r="20" spans="1:17">
      <c r="A20" s="529">
        <v>45908</v>
      </c>
      <c r="B20" s="204">
        <v>1</v>
      </c>
      <c r="C20" s="204"/>
      <c r="D20" s="204">
        <f t="shared" si="0"/>
        <v>-1</v>
      </c>
      <c r="E20" s="191">
        <f>SUM($D$2:D20)/SUM($B$2:B20)</f>
        <v>-0.23210526315789473</v>
      </c>
      <c r="F20" s="161">
        <f t="shared" si="1"/>
        <v>-4.41</v>
      </c>
      <c r="G20" s="210" t="s">
        <v>939</v>
      </c>
      <c r="H20" s="183"/>
      <c r="I20" s="184"/>
      <c r="J20" s="184"/>
      <c r="K20" s="18"/>
      <c r="M20" s="2"/>
      <c r="N20" s="18"/>
      <c r="Q20"/>
    </row>
    <row r="21" spans="1:17">
      <c r="A21" s="530"/>
      <c r="B21" s="205">
        <v>1</v>
      </c>
      <c r="C21" s="205"/>
      <c r="D21" s="205">
        <f t="shared" si="0"/>
        <v>-1</v>
      </c>
      <c r="E21" s="154">
        <f>SUM($D$2:D21)/SUM($B$2:B21)</f>
        <v>-0.27050000000000002</v>
      </c>
      <c r="F21" s="150">
        <f t="shared" si="1"/>
        <v>-5.41</v>
      </c>
      <c r="G21" s="201" t="s">
        <v>940</v>
      </c>
      <c r="H21" s="183"/>
      <c r="I21" s="184"/>
      <c r="J21" s="184"/>
      <c r="K21" s="18"/>
      <c r="M21" s="2"/>
      <c r="N21" s="18"/>
      <c r="Q21"/>
    </row>
    <row r="22" spans="1:17">
      <c r="A22" s="530"/>
      <c r="B22" s="205">
        <v>1</v>
      </c>
      <c r="C22" s="205">
        <v>1.909</v>
      </c>
      <c r="D22" s="205">
        <f t="shared" si="0"/>
        <v>0.90900000000000003</v>
      </c>
      <c r="E22" s="154">
        <f>SUM($D$2:D22)/SUM($B$2:B22)</f>
        <v>-0.21433333333333335</v>
      </c>
      <c r="F22" s="150">
        <f t="shared" si="1"/>
        <v>-4.5010000000000003</v>
      </c>
      <c r="G22" s="201" t="s">
        <v>941</v>
      </c>
      <c r="H22" s="183"/>
      <c r="I22" s="184"/>
      <c r="J22" s="184"/>
      <c r="K22" s="18"/>
      <c r="M22" s="2"/>
      <c r="N22" s="18"/>
      <c r="Q22"/>
    </row>
    <row r="23" spans="1:17" ht="15.75" thickBot="1">
      <c r="A23" s="530"/>
      <c r="B23" s="153">
        <v>1</v>
      </c>
      <c r="C23" s="153"/>
      <c r="D23" s="153">
        <f t="shared" si="0"/>
        <v>-1</v>
      </c>
      <c r="E23" s="190">
        <f>SUM($D$2:D23)/SUM($B$2:B23)</f>
        <v>-0.25004545454545457</v>
      </c>
      <c r="F23" s="151">
        <f t="shared" si="1"/>
        <v>-5.5010000000000003</v>
      </c>
      <c r="G23" s="211" t="s">
        <v>942</v>
      </c>
      <c r="H23" s="183"/>
      <c r="I23" s="184"/>
      <c r="J23" s="184"/>
      <c r="K23" s="18"/>
      <c r="M23" s="2"/>
      <c r="N23" s="18"/>
      <c r="Q23"/>
    </row>
    <row r="24" spans="1:17">
      <c r="A24" s="567">
        <v>45909</v>
      </c>
      <c r="B24" s="165">
        <v>1</v>
      </c>
      <c r="C24" s="204">
        <v>1.74</v>
      </c>
      <c r="D24" s="204">
        <f t="shared" si="0"/>
        <v>0.74</v>
      </c>
      <c r="E24" s="191">
        <f>SUM($D$2:D24)/SUM($B$2:B24)</f>
        <v>-0.20700000000000002</v>
      </c>
      <c r="F24" s="161">
        <f t="shared" si="1"/>
        <v>-4.7610000000000001</v>
      </c>
      <c r="G24" s="210" t="s">
        <v>943</v>
      </c>
      <c r="H24" s="183"/>
      <c r="I24" s="184"/>
      <c r="J24" s="184"/>
      <c r="K24" s="18"/>
      <c r="M24" s="2"/>
      <c r="N24" s="18"/>
      <c r="Q24"/>
    </row>
    <row r="25" spans="1:17">
      <c r="A25" s="532"/>
      <c r="B25" s="167">
        <v>1</v>
      </c>
      <c r="C25" s="205">
        <v>1.89</v>
      </c>
      <c r="D25" s="205">
        <f t="shared" si="0"/>
        <v>0.8899999999999999</v>
      </c>
      <c r="E25" s="154">
        <f>SUM($D$2:D25)/SUM($B$2:B25)</f>
        <v>-0.16129166666666669</v>
      </c>
      <c r="F25" s="150">
        <f t="shared" si="1"/>
        <v>-3.8710000000000004</v>
      </c>
      <c r="G25" s="201" t="s">
        <v>944</v>
      </c>
      <c r="H25" s="183"/>
      <c r="I25" s="184"/>
      <c r="J25" s="184"/>
      <c r="K25" s="18"/>
      <c r="M25" s="2"/>
      <c r="N25" s="18"/>
      <c r="Q25"/>
    </row>
    <row r="26" spans="1:17" ht="15.75" thickBot="1">
      <c r="A26" s="532"/>
      <c r="B26" s="170">
        <v>1</v>
      </c>
      <c r="C26" s="206"/>
      <c r="D26" s="206">
        <f t="shared" si="0"/>
        <v>-1</v>
      </c>
      <c r="E26" s="193">
        <f>SUM($D$2:D26)/SUM($B$2:B26)</f>
        <v>-0.19484000000000001</v>
      </c>
      <c r="F26" s="163">
        <f t="shared" si="1"/>
        <v>-4.8710000000000004</v>
      </c>
      <c r="G26" s="203" t="s">
        <v>942</v>
      </c>
      <c r="H26" s="183"/>
      <c r="I26" s="184"/>
      <c r="J26" s="184"/>
      <c r="K26" s="18"/>
      <c r="M26" s="2"/>
      <c r="N26" s="18"/>
      <c r="Q26"/>
    </row>
    <row r="27" spans="1:17" ht="15.75" thickBot="1">
      <c r="A27" s="554">
        <v>45910</v>
      </c>
      <c r="B27" s="251">
        <v>1</v>
      </c>
      <c r="C27" s="251">
        <v>2.85</v>
      </c>
      <c r="D27" s="251">
        <f t="shared" si="0"/>
        <v>1.85</v>
      </c>
      <c r="E27" s="252">
        <f>SUM($D$2:D27)/SUM($B$2:B27)</f>
        <v>-0.11619230769230771</v>
      </c>
      <c r="F27" s="253">
        <f t="shared" si="1"/>
        <v>-3.0210000000000004</v>
      </c>
      <c r="G27" s="254" t="s">
        <v>945</v>
      </c>
      <c r="H27" s="183"/>
      <c r="I27" s="184"/>
      <c r="J27" s="184"/>
      <c r="K27" s="18"/>
      <c r="Q27"/>
    </row>
    <row r="28" spans="1:17">
      <c r="A28" s="555"/>
      <c r="B28" s="204">
        <v>1</v>
      </c>
      <c r="C28" s="204">
        <v>1.7270000000000001</v>
      </c>
      <c r="D28" s="204">
        <f t="shared" si="0"/>
        <v>0.72700000000000009</v>
      </c>
      <c r="E28" s="191">
        <f>SUM($D$2:D28)/SUM($B$2:B28)</f>
        <v>-8.4962962962962976E-2</v>
      </c>
      <c r="F28" s="161">
        <f t="shared" si="1"/>
        <v>-2.2940000000000005</v>
      </c>
      <c r="G28" s="210" t="s">
        <v>943</v>
      </c>
      <c r="H28" s="183"/>
      <c r="I28" s="184"/>
      <c r="J28" s="184"/>
      <c r="K28" s="18"/>
      <c r="Q28"/>
    </row>
    <row r="29" spans="1:17">
      <c r="A29" s="555"/>
      <c r="B29" s="205">
        <v>1</v>
      </c>
      <c r="C29" s="205"/>
      <c r="D29" s="205">
        <f t="shared" si="0"/>
        <v>-1</v>
      </c>
      <c r="E29" s="154">
        <f>SUM($D$2:D29)/SUM($B$2:B29)</f>
        <v>-0.11764285714285716</v>
      </c>
      <c r="F29" s="150">
        <f t="shared" si="1"/>
        <v>-3.2940000000000005</v>
      </c>
      <c r="G29" s="201" t="s">
        <v>941</v>
      </c>
      <c r="H29" s="183"/>
      <c r="I29" s="184"/>
      <c r="J29" s="184"/>
      <c r="K29" s="18"/>
      <c r="Q29"/>
    </row>
    <row r="30" spans="1:17" ht="15.75" thickBot="1">
      <c r="A30" s="555"/>
      <c r="B30" s="206">
        <v>1</v>
      </c>
      <c r="C30" s="206"/>
      <c r="D30" s="206">
        <f t="shared" si="0"/>
        <v>-1</v>
      </c>
      <c r="E30" s="193">
        <f>SUM($D$2:D30)/SUM($B$2:B30)</f>
        <v>-0.14806896551724139</v>
      </c>
      <c r="F30" s="163">
        <f t="shared" si="1"/>
        <v>-4.2940000000000005</v>
      </c>
      <c r="G30" s="211" t="s">
        <v>944</v>
      </c>
      <c r="H30" s="183"/>
      <c r="I30" s="184"/>
      <c r="J30" s="184"/>
      <c r="K30" s="18"/>
      <c r="Q30"/>
    </row>
    <row r="31" spans="1:17" ht="15.75" thickBot="1">
      <c r="A31" s="554">
        <v>45911</v>
      </c>
      <c r="B31" s="206">
        <v>1</v>
      </c>
      <c r="C31" s="206">
        <v>2.99</v>
      </c>
      <c r="D31" s="206">
        <f t="shared" si="0"/>
        <v>1.9900000000000002</v>
      </c>
      <c r="E31" s="193">
        <f>SUM($D$2:D31)/SUM($B$2:B31)</f>
        <v>-7.6800000000000007E-2</v>
      </c>
      <c r="F31" s="163">
        <f t="shared" si="1"/>
        <v>-2.3040000000000003</v>
      </c>
      <c r="G31" s="203" t="s">
        <v>946</v>
      </c>
      <c r="H31" s="183"/>
      <c r="I31" s="184"/>
      <c r="J31" s="184"/>
      <c r="K31" s="18"/>
      <c r="Q31"/>
    </row>
    <row r="32" spans="1:17">
      <c r="A32" s="555"/>
      <c r="B32" s="204">
        <v>1</v>
      </c>
      <c r="C32" s="204">
        <v>1.92</v>
      </c>
      <c r="D32" s="204">
        <f t="shared" si="0"/>
        <v>0.91999999999999993</v>
      </c>
      <c r="E32" s="191">
        <f>SUM($D$2:D32)/SUM($B$2:B32)</f>
        <v>-4.4645161290322595E-2</v>
      </c>
      <c r="F32" s="161">
        <f t="shared" si="1"/>
        <v>-1.3840000000000003</v>
      </c>
      <c r="G32" s="210" t="s">
        <v>947</v>
      </c>
      <c r="H32" s="183"/>
      <c r="I32" s="184"/>
      <c r="J32" s="184"/>
      <c r="K32" s="18"/>
      <c r="Q32"/>
    </row>
    <row r="33" spans="1:17" ht="15.75" thickBot="1">
      <c r="A33" s="563"/>
      <c r="B33" s="206">
        <v>1</v>
      </c>
      <c r="C33" s="206">
        <v>1.98</v>
      </c>
      <c r="D33" s="206">
        <f t="shared" si="0"/>
        <v>0.98</v>
      </c>
      <c r="E33" s="193">
        <f>SUM($D$2:D33)/SUM($B$2:B33)</f>
        <v>-1.2625000000000011E-2</v>
      </c>
      <c r="F33" s="163">
        <f t="shared" si="1"/>
        <v>-0.40400000000000036</v>
      </c>
      <c r="G33" s="211" t="s">
        <v>948</v>
      </c>
      <c r="H33" s="183"/>
      <c r="I33" s="184"/>
      <c r="J33" s="184"/>
      <c r="K33" s="18"/>
      <c r="Q33"/>
    </row>
    <row r="34" spans="1:17">
      <c r="A34" s="554">
        <v>45912</v>
      </c>
      <c r="B34" s="204">
        <v>1</v>
      </c>
      <c r="C34" s="204">
        <v>1.76</v>
      </c>
      <c r="D34" s="204">
        <f t="shared" si="0"/>
        <v>0.76</v>
      </c>
      <c r="E34" s="191">
        <f>SUM($D$2:D34)/SUM($B$2:B34)</f>
        <v>1.0787878787878777E-2</v>
      </c>
      <c r="F34" s="161">
        <f t="shared" si="1"/>
        <v>0.35599999999999965</v>
      </c>
      <c r="G34" s="210" t="s">
        <v>949</v>
      </c>
      <c r="H34" s="183"/>
      <c r="I34" s="184"/>
      <c r="J34" s="184"/>
      <c r="K34" s="18"/>
      <c r="Q34"/>
    </row>
    <row r="35" spans="1:17">
      <c r="A35" s="555"/>
      <c r="B35" s="205">
        <v>1</v>
      </c>
      <c r="C35" s="205"/>
      <c r="D35" s="205">
        <f t="shared" si="0"/>
        <v>-1</v>
      </c>
      <c r="E35" s="154">
        <f>SUM($D$2:D35)/SUM($B$2:B35)</f>
        <v>-1.8941176470588246E-2</v>
      </c>
      <c r="F35" s="150">
        <f t="shared" si="1"/>
        <v>-0.64400000000000035</v>
      </c>
      <c r="G35" s="201" t="s">
        <v>950</v>
      </c>
      <c r="H35" s="183"/>
      <c r="I35" s="184"/>
      <c r="J35" s="184"/>
      <c r="K35" s="18"/>
      <c r="Q35"/>
    </row>
    <row r="36" spans="1:17">
      <c r="A36" s="555"/>
      <c r="B36" s="205">
        <v>1</v>
      </c>
      <c r="C36" s="205">
        <v>1.93</v>
      </c>
      <c r="D36" s="205">
        <f t="shared" si="0"/>
        <v>0.92999999999999994</v>
      </c>
      <c r="E36" s="154">
        <f>SUM($D$2:D36)/SUM($B$2:B36)</f>
        <v>8.1714285714285604E-3</v>
      </c>
      <c r="F36" s="150">
        <f t="shared" si="1"/>
        <v>0.28599999999999959</v>
      </c>
      <c r="G36" s="201" t="s">
        <v>951</v>
      </c>
      <c r="H36" s="183"/>
      <c r="I36" s="184"/>
      <c r="J36" s="184"/>
      <c r="K36" s="18"/>
      <c r="Q36"/>
    </row>
    <row r="37" spans="1:17">
      <c r="A37" s="555"/>
      <c r="B37" s="205">
        <v>1</v>
      </c>
      <c r="C37" s="205"/>
      <c r="D37" s="205">
        <f t="shared" si="0"/>
        <v>-1</v>
      </c>
      <c r="E37" s="154">
        <f>SUM($D$2:D37)/SUM($B$2:B37)</f>
        <v>-1.9833333333333345E-2</v>
      </c>
      <c r="F37" s="150">
        <f t="shared" si="1"/>
        <v>-0.71400000000000041</v>
      </c>
      <c r="G37" s="201" t="s">
        <v>952</v>
      </c>
      <c r="H37" s="183"/>
      <c r="I37" s="184"/>
      <c r="J37" s="184"/>
      <c r="K37" s="18"/>
      <c r="Q37"/>
    </row>
    <row r="38" spans="1:17" ht="15.75" thickBot="1">
      <c r="A38" s="555"/>
      <c r="B38" s="206">
        <v>1</v>
      </c>
      <c r="C38" s="206">
        <v>1.89</v>
      </c>
      <c r="D38" s="206">
        <f t="shared" si="0"/>
        <v>0.8899999999999999</v>
      </c>
      <c r="E38" s="193">
        <f>SUM($D$2:D38)/SUM($B$2:B38)</f>
        <v>4.7567567567567432E-3</v>
      </c>
      <c r="F38" s="163">
        <f t="shared" si="1"/>
        <v>0.17599999999999949</v>
      </c>
      <c r="G38" s="202" t="s">
        <v>953</v>
      </c>
      <c r="H38" s="183"/>
      <c r="I38" s="184"/>
      <c r="J38" s="184"/>
      <c r="K38" s="18"/>
      <c r="Q38"/>
    </row>
    <row r="39" spans="1:17">
      <c r="A39" s="554">
        <v>45913</v>
      </c>
      <c r="B39" s="204">
        <v>1</v>
      </c>
      <c r="C39" s="204">
        <v>1.89</v>
      </c>
      <c r="D39" s="204">
        <f t="shared" si="0"/>
        <v>0.8899999999999999</v>
      </c>
      <c r="E39" s="191">
        <f>SUM($D$2:D39)/SUM($B$2:B39)</f>
        <v>2.8052631578947353E-2</v>
      </c>
      <c r="F39" s="161">
        <f t="shared" si="1"/>
        <v>1.0659999999999994</v>
      </c>
      <c r="G39" s="210" t="s">
        <v>954</v>
      </c>
      <c r="H39" s="183"/>
      <c r="I39" s="184"/>
      <c r="J39" s="184"/>
      <c r="K39" s="18"/>
      <c r="Q39"/>
    </row>
    <row r="40" spans="1:17">
      <c r="A40" s="555"/>
      <c r="B40" s="205">
        <v>1</v>
      </c>
      <c r="C40" s="205">
        <v>2.02</v>
      </c>
      <c r="D40" s="205">
        <f t="shared" si="0"/>
        <v>1.02</v>
      </c>
      <c r="E40" s="154">
        <f>SUM($D$2:D40)/SUM($B$2:B40)</f>
        <v>5.3487179487179473E-2</v>
      </c>
      <c r="F40" s="150">
        <f t="shared" si="1"/>
        <v>2.0859999999999994</v>
      </c>
      <c r="G40" s="201" t="s">
        <v>955</v>
      </c>
      <c r="H40" s="183"/>
      <c r="I40" s="184"/>
      <c r="J40" s="184"/>
      <c r="K40" s="18"/>
      <c r="Q40"/>
    </row>
    <row r="41" spans="1:17">
      <c r="A41" s="555"/>
      <c r="B41" s="205">
        <v>1</v>
      </c>
      <c r="C41" s="205">
        <v>1.92</v>
      </c>
      <c r="D41" s="205">
        <f t="shared" si="0"/>
        <v>0.91999999999999993</v>
      </c>
      <c r="E41" s="154">
        <f>SUM($D$2:D41)/SUM($B$2:B41)</f>
        <v>7.5149999999999981E-2</v>
      </c>
      <c r="F41" s="150">
        <f t="shared" si="1"/>
        <v>3.0059999999999993</v>
      </c>
      <c r="G41" s="201" t="s">
        <v>953</v>
      </c>
      <c r="H41" s="183"/>
      <c r="I41" s="184"/>
      <c r="J41" s="184"/>
      <c r="K41" s="18"/>
      <c r="Q41"/>
    </row>
    <row r="42" spans="1:17">
      <c r="A42" s="555"/>
      <c r="B42" s="205">
        <v>1</v>
      </c>
      <c r="C42" s="205"/>
      <c r="D42" s="205">
        <f t="shared" si="0"/>
        <v>-1</v>
      </c>
      <c r="E42" s="154">
        <f>SUM($D$2:D42)/SUM($B$2:B42)</f>
        <v>4.8926829268292664E-2</v>
      </c>
      <c r="F42" s="150">
        <f t="shared" si="1"/>
        <v>2.0059999999999993</v>
      </c>
      <c r="G42" s="201" t="s">
        <v>949</v>
      </c>
      <c r="H42" s="183"/>
      <c r="I42" s="184"/>
      <c r="J42" s="184"/>
      <c r="K42" s="18"/>
      <c r="Q42"/>
    </row>
    <row r="43" spans="1:17">
      <c r="A43" s="555"/>
      <c r="B43" s="205">
        <v>1</v>
      </c>
      <c r="C43" s="205"/>
      <c r="D43" s="205">
        <f t="shared" si="0"/>
        <v>-1</v>
      </c>
      <c r="E43" s="154">
        <f>SUM($D$2:D43)/SUM($B$2:B43)</f>
        <v>2.3952380952380937E-2</v>
      </c>
      <c r="F43" s="150">
        <f t="shared" si="1"/>
        <v>1.0059999999999993</v>
      </c>
      <c r="G43" s="201" t="s">
        <v>956</v>
      </c>
      <c r="H43" s="183"/>
      <c r="I43" s="184"/>
      <c r="J43" s="184"/>
      <c r="K43" s="18"/>
      <c r="Q43"/>
    </row>
    <row r="44" spans="1:17">
      <c r="A44" s="555"/>
      <c r="B44" s="205">
        <v>1</v>
      </c>
      <c r="C44" s="205">
        <v>1.98</v>
      </c>
      <c r="D44" s="205">
        <f t="shared" si="0"/>
        <v>0.98</v>
      </c>
      <c r="E44" s="154">
        <f>SUM($D$2:D44)/SUM($B$2:B44)</f>
        <v>4.6186046511627894E-2</v>
      </c>
      <c r="F44" s="150">
        <f t="shared" si="1"/>
        <v>1.9859999999999993</v>
      </c>
      <c r="G44" s="201" t="s">
        <v>957</v>
      </c>
      <c r="H44" s="183"/>
      <c r="I44" s="184"/>
      <c r="J44" s="184"/>
      <c r="K44" s="18"/>
      <c r="Q44"/>
    </row>
    <row r="45" spans="1:17" ht="15.75" thickBot="1">
      <c r="A45" s="555"/>
      <c r="B45" s="206">
        <v>1</v>
      </c>
      <c r="C45" s="206">
        <v>1.9</v>
      </c>
      <c r="D45" s="206">
        <f t="shared" si="0"/>
        <v>0.89999999999999991</v>
      </c>
      <c r="E45" s="193">
        <f>SUM($D$2:D45)/SUM($B$2:B45)</f>
        <v>6.5590909090909075E-2</v>
      </c>
      <c r="F45" s="163">
        <f t="shared" si="1"/>
        <v>2.8859999999999992</v>
      </c>
      <c r="G45" s="202" t="s">
        <v>958</v>
      </c>
      <c r="H45" s="183"/>
      <c r="I45" s="184"/>
      <c r="J45" s="184"/>
      <c r="K45" s="18"/>
      <c r="Q45"/>
    </row>
    <row r="46" spans="1:17">
      <c r="A46" s="554">
        <v>45914</v>
      </c>
      <c r="B46" s="204">
        <v>1</v>
      </c>
      <c r="C46" s="204"/>
      <c r="D46" s="204">
        <f t="shared" si="0"/>
        <v>-1</v>
      </c>
      <c r="E46" s="191">
        <f>SUM($D$2:D46)/SUM($B$2:B46)</f>
        <v>4.1911111111111093E-2</v>
      </c>
      <c r="F46" s="161">
        <f t="shared" si="1"/>
        <v>1.8859999999999992</v>
      </c>
      <c r="G46" s="210" t="s">
        <v>958</v>
      </c>
      <c r="H46" s="183"/>
      <c r="I46" s="184"/>
      <c r="J46" s="184"/>
      <c r="K46" s="18"/>
      <c r="Q46"/>
    </row>
    <row r="47" spans="1:17">
      <c r="A47" s="555"/>
      <c r="B47" s="205">
        <v>1</v>
      </c>
      <c r="C47" s="205">
        <v>1.88</v>
      </c>
      <c r="D47" s="205">
        <f t="shared" si="0"/>
        <v>0.87999999999999989</v>
      </c>
      <c r="E47" s="154">
        <f>SUM($D$2:D47)/SUM($B$2:B47)</f>
        <v>6.0130434782608676E-2</v>
      </c>
      <c r="F47" s="150">
        <f t="shared" si="1"/>
        <v>2.7659999999999991</v>
      </c>
      <c r="G47" s="201" t="s">
        <v>959</v>
      </c>
      <c r="H47" s="183"/>
      <c r="I47" s="184"/>
      <c r="J47" s="184"/>
      <c r="K47" s="18"/>
      <c r="Q47"/>
    </row>
    <row r="48" spans="1:17">
      <c r="A48" s="555"/>
      <c r="B48" s="205">
        <v>1</v>
      </c>
      <c r="C48" s="205">
        <v>2</v>
      </c>
      <c r="D48" s="205">
        <f t="shared" si="0"/>
        <v>1</v>
      </c>
      <c r="E48" s="154">
        <f>SUM($D$2:D48)/SUM($B$2:B48)</f>
        <v>8.012765957446806E-2</v>
      </c>
      <c r="F48" s="150">
        <f t="shared" si="1"/>
        <v>3.7659999999999991</v>
      </c>
      <c r="G48" s="201" t="s">
        <v>953</v>
      </c>
      <c r="H48" s="183"/>
      <c r="I48" s="184"/>
      <c r="J48" s="184"/>
      <c r="K48" s="18"/>
      <c r="Q48"/>
    </row>
    <row r="49" spans="1:17">
      <c r="A49" s="555"/>
      <c r="B49" s="205">
        <v>1</v>
      </c>
      <c r="C49" s="205">
        <v>1.81</v>
      </c>
      <c r="D49" s="205">
        <f t="shared" si="0"/>
        <v>0.81</v>
      </c>
      <c r="E49" s="154">
        <f>SUM($D$2:D49)/SUM($B$2:B49)</f>
        <v>9.5333333333333312E-2</v>
      </c>
      <c r="F49" s="150">
        <f t="shared" si="1"/>
        <v>4.5759999999999987</v>
      </c>
      <c r="G49" s="201" t="s">
        <v>949</v>
      </c>
      <c r="H49" s="183"/>
      <c r="I49" s="184"/>
      <c r="J49" s="184"/>
      <c r="K49" s="18"/>
      <c r="Q49"/>
    </row>
    <row r="50" spans="1:17">
      <c r="A50" s="555"/>
      <c r="B50" s="205">
        <v>1</v>
      </c>
      <c r="C50" s="205"/>
      <c r="D50" s="205">
        <f t="shared" si="0"/>
        <v>-1</v>
      </c>
      <c r="E50" s="154">
        <f>SUM($D$2:D50)/SUM($B$2:B50)</f>
        <v>7.2979591836734664E-2</v>
      </c>
      <c r="F50" s="150">
        <f t="shared" si="1"/>
        <v>3.5759999999999987</v>
      </c>
      <c r="G50" s="201" t="s">
        <v>952</v>
      </c>
      <c r="H50" s="183"/>
      <c r="I50" s="184"/>
      <c r="J50" s="184"/>
      <c r="K50" s="18"/>
      <c r="Q50"/>
    </row>
    <row r="51" spans="1:17" ht="15.75" thickBot="1">
      <c r="A51" s="563"/>
      <c r="B51" s="206">
        <v>1</v>
      </c>
      <c r="C51" s="206"/>
      <c r="D51" s="206">
        <f t="shared" si="0"/>
        <v>-1</v>
      </c>
      <c r="E51" s="193">
        <f>SUM($D$2:D51)/SUM($B$2:B51)</f>
        <v>5.1519999999999976E-2</v>
      </c>
      <c r="F51" s="163">
        <f t="shared" si="1"/>
        <v>2.5759999999999987</v>
      </c>
      <c r="G51" s="202" t="s">
        <v>957</v>
      </c>
      <c r="H51" s="183"/>
      <c r="I51" s="184"/>
      <c r="J51" s="184"/>
      <c r="K51" s="18"/>
      <c r="Q51"/>
    </row>
    <row r="52" spans="1:17">
      <c r="A52" s="554">
        <v>45915</v>
      </c>
      <c r="B52" s="205">
        <v>1</v>
      </c>
      <c r="C52" s="205">
        <v>1.84</v>
      </c>
      <c r="D52" s="205">
        <f t="shared" si="0"/>
        <v>0.84000000000000008</v>
      </c>
      <c r="E52" s="154">
        <f>SUM($D$2:D52)/SUM($B$2:B52)</f>
        <v>6.6980392156862717E-2</v>
      </c>
      <c r="F52" s="150">
        <f t="shared" si="1"/>
        <v>3.4159999999999986</v>
      </c>
      <c r="G52" s="201" t="s">
        <v>960</v>
      </c>
      <c r="H52" s="183"/>
      <c r="I52" s="184"/>
      <c r="J52" s="184"/>
      <c r="K52" s="18"/>
      <c r="Q52"/>
    </row>
    <row r="53" spans="1:17">
      <c r="A53" s="555"/>
      <c r="B53" s="205">
        <v>1</v>
      </c>
      <c r="C53" s="205">
        <v>1.97</v>
      </c>
      <c r="D53" s="205">
        <f t="shared" si="0"/>
        <v>0.97</v>
      </c>
      <c r="E53" s="154">
        <f>SUM($D$2:D53)/SUM($B$2:B53)</f>
        <v>8.4346153846153821E-2</v>
      </c>
      <c r="F53" s="150">
        <f t="shared" si="1"/>
        <v>4.3859999999999983</v>
      </c>
      <c r="G53" s="201" t="s">
        <v>961</v>
      </c>
      <c r="H53" s="183"/>
      <c r="I53" s="184"/>
      <c r="J53" s="184"/>
      <c r="K53" s="18"/>
      <c r="Q53"/>
    </row>
    <row r="54" spans="1:17" ht="15.75" thickBot="1">
      <c r="A54" s="563"/>
      <c r="B54" s="206">
        <v>1</v>
      </c>
      <c r="C54" s="206">
        <v>1.909</v>
      </c>
      <c r="D54" s="206">
        <f t="shared" si="0"/>
        <v>0.90900000000000003</v>
      </c>
      <c r="E54" s="193">
        <f>SUM($D$2:D54)/SUM($B$2:B54)</f>
        <v>9.9905660377358457E-2</v>
      </c>
      <c r="F54" s="163">
        <f t="shared" si="1"/>
        <v>5.2949999999999982</v>
      </c>
      <c r="G54" s="202" t="s">
        <v>962</v>
      </c>
      <c r="H54" s="183"/>
      <c r="I54" s="184"/>
      <c r="J54" s="184"/>
      <c r="K54" s="18"/>
      <c r="Q54"/>
    </row>
    <row r="55" spans="1:17">
      <c r="A55" s="554">
        <v>45916</v>
      </c>
      <c r="B55" s="205">
        <v>1</v>
      </c>
      <c r="C55" s="205">
        <v>1.86</v>
      </c>
      <c r="D55" s="205">
        <f t="shared" si="0"/>
        <v>0.8600000000000001</v>
      </c>
      <c r="E55" s="154">
        <f>SUM($D$2:D55)/SUM($B$2:B55)</f>
        <v>0.11398148148148145</v>
      </c>
      <c r="F55" s="150">
        <f t="shared" si="1"/>
        <v>6.1549999999999985</v>
      </c>
      <c r="G55" s="273" t="s">
        <v>960</v>
      </c>
      <c r="H55" s="183"/>
      <c r="I55" s="184"/>
      <c r="J55" s="184"/>
      <c r="K55" s="18"/>
      <c r="Q55"/>
    </row>
    <row r="56" spans="1:17">
      <c r="A56" s="555"/>
      <c r="B56" s="205">
        <v>1</v>
      </c>
      <c r="C56" s="205"/>
      <c r="D56" s="205">
        <f t="shared" si="0"/>
        <v>-1</v>
      </c>
      <c r="E56" s="154">
        <f>SUM($D$2:D56)/SUM($B$2:B56)</f>
        <v>9.3727272727272701E-2</v>
      </c>
      <c r="F56" s="150">
        <f t="shared" si="1"/>
        <v>5.1549999999999985</v>
      </c>
      <c r="G56" s="201" t="s">
        <v>963</v>
      </c>
      <c r="H56" s="183"/>
      <c r="I56" s="184"/>
      <c r="J56" s="184"/>
      <c r="K56" s="18"/>
      <c r="Q56"/>
    </row>
    <row r="57" spans="1:17">
      <c r="A57" s="555"/>
      <c r="B57" s="205">
        <v>1</v>
      </c>
      <c r="C57" s="205">
        <v>1.95</v>
      </c>
      <c r="D57" s="205">
        <f t="shared" si="0"/>
        <v>0.95</v>
      </c>
      <c r="E57" s="154">
        <f>SUM($D$2:D57)/SUM($B$2:B57)</f>
        <v>0.10901785714285712</v>
      </c>
      <c r="F57" s="150">
        <f t="shared" si="1"/>
        <v>6.1049999999999986</v>
      </c>
      <c r="G57" s="201" t="s">
        <v>962</v>
      </c>
      <c r="H57" s="183"/>
      <c r="I57" s="184"/>
      <c r="J57" s="184"/>
      <c r="K57" s="18"/>
      <c r="Q57"/>
    </row>
    <row r="58" spans="1:17">
      <c r="A58" s="555"/>
      <c r="B58" s="205">
        <v>1</v>
      </c>
      <c r="C58" s="205">
        <v>1.98</v>
      </c>
      <c r="D58" s="205">
        <f t="shared" si="0"/>
        <v>0.98</v>
      </c>
      <c r="E58" s="154">
        <f>SUM($D$2:D58)/SUM($B$2:B58)</f>
        <v>0.12429824561403507</v>
      </c>
      <c r="F58" s="150">
        <f t="shared" si="1"/>
        <v>7.0849999999999991</v>
      </c>
      <c r="G58" s="201" t="s">
        <v>961</v>
      </c>
      <c r="H58" s="183"/>
      <c r="I58" s="184"/>
      <c r="J58" s="184"/>
      <c r="K58" s="18"/>
      <c r="Q58"/>
    </row>
    <row r="59" spans="1:17">
      <c r="A59" s="555"/>
      <c r="B59" s="205">
        <v>1</v>
      </c>
      <c r="C59" s="205">
        <v>1.87</v>
      </c>
      <c r="D59" s="205">
        <f t="shared" si="0"/>
        <v>0.87000000000000011</v>
      </c>
      <c r="E59" s="154">
        <f>SUM($D$2:D59)/SUM($B$2:B59)</f>
        <v>0.1371551724137931</v>
      </c>
      <c r="F59" s="150">
        <f t="shared" si="1"/>
        <v>7.9549999999999992</v>
      </c>
      <c r="G59" s="201" t="s">
        <v>964</v>
      </c>
      <c r="H59" s="183"/>
      <c r="I59" s="184"/>
      <c r="J59" s="184"/>
      <c r="K59" s="18"/>
      <c r="Q59"/>
    </row>
    <row r="60" spans="1:17" ht="15.75" thickBot="1">
      <c r="A60" s="563"/>
      <c r="B60" s="206">
        <v>1</v>
      </c>
      <c r="C60" s="206"/>
      <c r="D60" s="206">
        <f t="shared" si="0"/>
        <v>-1</v>
      </c>
      <c r="E60" s="193">
        <f>SUM($D$2:D60)/SUM($B$2:B60)</f>
        <v>0.11788135593220338</v>
      </c>
      <c r="F60" s="163">
        <f t="shared" si="1"/>
        <v>6.9549999999999992</v>
      </c>
      <c r="G60" s="202" t="s">
        <v>965</v>
      </c>
      <c r="H60" s="183"/>
      <c r="I60" s="184"/>
      <c r="J60" s="184"/>
      <c r="K60" s="18"/>
      <c r="Q60"/>
    </row>
    <row r="61" spans="1:17">
      <c r="A61" s="554">
        <v>45917</v>
      </c>
      <c r="B61" s="165">
        <v>1</v>
      </c>
      <c r="C61" s="204">
        <v>3.14</v>
      </c>
      <c r="D61" s="204">
        <f t="shared" si="0"/>
        <v>2.14</v>
      </c>
      <c r="E61" s="191">
        <f>SUM($D$2:D61)/SUM($B$2:B61)</f>
        <v>0.15158333333333332</v>
      </c>
      <c r="F61" s="161">
        <f t="shared" si="1"/>
        <v>9.0949999999999989</v>
      </c>
      <c r="G61" s="200" t="s">
        <v>966</v>
      </c>
      <c r="H61" s="183"/>
      <c r="I61" s="184"/>
      <c r="J61" s="184"/>
      <c r="K61" s="18"/>
      <c r="Q61"/>
    </row>
    <row r="62" spans="1:17" ht="15.75" thickBot="1">
      <c r="A62" s="555"/>
      <c r="B62" s="170">
        <v>1</v>
      </c>
      <c r="C62" s="206">
        <v>2.81</v>
      </c>
      <c r="D62" s="206">
        <f t="shared" si="0"/>
        <v>1.81</v>
      </c>
      <c r="E62" s="193">
        <f>SUM($D$2:D62)/SUM($B$2:B62)</f>
        <v>0.17877049180327867</v>
      </c>
      <c r="F62" s="163">
        <f t="shared" si="1"/>
        <v>10.904999999999999</v>
      </c>
      <c r="G62" s="202" t="s">
        <v>967</v>
      </c>
      <c r="H62" s="183"/>
      <c r="I62" s="184"/>
      <c r="J62" s="184"/>
      <c r="K62" s="18"/>
      <c r="Q62"/>
    </row>
    <row r="63" spans="1:17">
      <c r="A63" s="555"/>
      <c r="B63" s="207">
        <v>1</v>
      </c>
      <c r="C63" s="207">
        <v>2.0099999999999998</v>
      </c>
      <c r="D63" s="207">
        <f t="shared" si="0"/>
        <v>1.0099999999999998</v>
      </c>
      <c r="E63" s="195">
        <f>SUM($D$2:D63)/SUM($B$2:B63)</f>
        <v>0.1921774193548387</v>
      </c>
      <c r="F63" s="162">
        <f t="shared" si="1"/>
        <v>11.914999999999999</v>
      </c>
      <c r="G63" s="275" t="s">
        <v>968</v>
      </c>
      <c r="H63" s="183"/>
      <c r="I63" s="184"/>
      <c r="J63" s="184"/>
      <c r="K63" s="18"/>
      <c r="Q63"/>
    </row>
    <row r="64" spans="1:17">
      <c r="A64" s="555"/>
      <c r="B64" s="205">
        <v>1</v>
      </c>
      <c r="C64" s="205">
        <v>1.87</v>
      </c>
      <c r="D64" s="205">
        <f t="shared" si="0"/>
        <v>0.87000000000000011</v>
      </c>
      <c r="E64" s="154">
        <f>SUM($D$2:D64)/SUM($B$2:B64)</f>
        <v>0.20293650793650794</v>
      </c>
      <c r="F64" s="150">
        <f t="shared" si="1"/>
        <v>12.785</v>
      </c>
      <c r="G64" s="201" t="s">
        <v>969</v>
      </c>
      <c r="H64" s="183"/>
      <c r="I64" s="184"/>
      <c r="J64" s="184"/>
      <c r="K64" s="18"/>
      <c r="Q64"/>
    </row>
    <row r="65" spans="1:17">
      <c r="A65" s="555"/>
      <c r="B65" s="205">
        <v>1</v>
      </c>
      <c r="C65" s="205"/>
      <c r="D65" s="205">
        <f t="shared" si="0"/>
        <v>-1</v>
      </c>
      <c r="E65" s="154">
        <f>SUM($D$2:D65)/SUM($B$2:B65)</f>
        <v>0.184140625</v>
      </c>
      <c r="F65" s="150">
        <f t="shared" si="1"/>
        <v>11.785</v>
      </c>
      <c r="G65" s="201" t="s">
        <v>960</v>
      </c>
      <c r="H65" s="183"/>
      <c r="I65" s="184"/>
      <c r="J65" s="184"/>
      <c r="K65" s="18"/>
      <c r="Q65"/>
    </row>
    <row r="66" spans="1:17">
      <c r="A66" s="555"/>
      <c r="B66" s="205">
        <v>1</v>
      </c>
      <c r="C66" s="205">
        <v>1.93</v>
      </c>
      <c r="D66" s="205">
        <f t="shared" si="0"/>
        <v>0.92999999999999994</v>
      </c>
      <c r="E66" s="154">
        <f>SUM($D$2:D66)/SUM($B$2:B66)</f>
        <v>0.19561538461538461</v>
      </c>
      <c r="F66" s="150">
        <f t="shared" si="1"/>
        <v>12.715</v>
      </c>
      <c r="G66" s="201" t="s">
        <v>970</v>
      </c>
      <c r="H66" s="183"/>
      <c r="I66" s="184"/>
      <c r="J66" s="184"/>
      <c r="K66" s="18"/>
      <c r="Q66"/>
    </row>
    <row r="67" spans="1:17">
      <c r="A67" s="555"/>
      <c r="B67" s="205">
        <v>1</v>
      </c>
      <c r="C67" s="205"/>
      <c r="D67" s="205">
        <f t="shared" ref="D67:D119" si="2">(B67*C67)-B67</f>
        <v>-1</v>
      </c>
      <c r="E67" s="154">
        <f>SUM($D$2:D67)/SUM($B$2:B67)</f>
        <v>0.17749999999999999</v>
      </c>
      <c r="F67" s="150">
        <f t="shared" si="1"/>
        <v>11.715</v>
      </c>
      <c r="G67" s="201" t="s">
        <v>971</v>
      </c>
      <c r="H67" s="183"/>
      <c r="I67" s="184"/>
      <c r="J67" s="184"/>
      <c r="K67" s="18"/>
      <c r="Q67"/>
    </row>
    <row r="68" spans="1:17" ht="15.75" thickBot="1">
      <c r="A68" s="563"/>
      <c r="B68" s="206">
        <v>1</v>
      </c>
      <c r="C68" s="206">
        <v>1.87</v>
      </c>
      <c r="D68" s="206">
        <f t="shared" si="2"/>
        <v>0.87000000000000011</v>
      </c>
      <c r="E68" s="193">
        <f>SUM($D$2:D68)/SUM($B$2:B68)</f>
        <v>0.18783582089552239</v>
      </c>
      <c r="F68" s="163">
        <f t="shared" ref="F68:F119" si="3">F67+D68</f>
        <v>12.585000000000001</v>
      </c>
      <c r="G68" s="202" t="s">
        <v>964</v>
      </c>
      <c r="H68" s="183"/>
      <c r="I68" s="184"/>
      <c r="J68" s="184"/>
      <c r="K68" s="18"/>
      <c r="Q68"/>
    </row>
    <row r="69" spans="1:17">
      <c r="A69" s="554">
        <v>45918</v>
      </c>
      <c r="B69" s="204">
        <v>1</v>
      </c>
      <c r="C69" s="204"/>
      <c r="D69" s="204">
        <f t="shared" si="2"/>
        <v>-1</v>
      </c>
      <c r="E69" s="191">
        <f>SUM($D$2:D69)/SUM($B$2:B69)</f>
        <v>0.17036764705882354</v>
      </c>
      <c r="F69" s="161">
        <f t="shared" si="3"/>
        <v>11.585000000000001</v>
      </c>
      <c r="G69" s="201" t="s">
        <v>962</v>
      </c>
      <c r="H69" s="183"/>
      <c r="I69" s="184"/>
      <c r="J69" s="184"/>
      <c r="K69" s="18"/>
      <c r="Q69"/>
    </row>
    <row r="70" spans="1:17">
      <c r="A70" s="555"/>
      <c r="B70" s="205">
        <v>1</v>
      </c>
      <c r="C70" s="205">
        <v>1.87</v>
      </c>
      <c r="D70" s="205">
        <f t="shared" si="2"/>
        <v>0.87000000000000011</v>
      </c>
      <c r="E70" s="154">
        <f>SUM($D$2:D70)/SUM($B$2:B70)</f>
        <v>0.18050724637681162</v>
      </c>
      <c r="F70" s="150">
        <f t="shared" si="3"/>
        <v>12.455000000000002</v>
      </c>
      <c r="G70" s="201" t="s">
        <v>972</v>
      </c>
      <c r="H70" s="183"/>
      <c r="I70" s="184"/>
      <c r="J70" s="184"/>
      <c r="K70" s="18"/>
      <c r="Q70"/>
    </row>
    <row r="71" spans="1:17">
      <c r="A71" s="555"/>
      <c r="B71" s="205">
        <v>1</v>
      </c>
      <c r="C71" s="205">
        <v>1.9</v>
      </c>
      <c r="D71" s="205">
        <f t="shared" si="2"/>
        <v>0.89999999999999991</v>
      </c>
      <c r="E71" s="154">
        <f>SUM($D$2:D71)/SUM($B$2:B71)</f>
        <v>0.19078571428571431</v>
      </c>
      <c r="F71" s="150">
        <f t="shared" si="3"/>
        <v>13.355000000000002</v>
      </c>
      <c r="G71" s="201" t="s">
        <v>973</v>
      </c>
      <c r="H71" s="183"/>
      <c r="I71" s="184"/>
      <c r="J71" s="184"/>
      <c r="K71" s="18"/>
      <c r="Q71"/>
    </row>
    <row r="72" spans="1:17">
      <c r="A72" s="555"/>
      <c r="B72" s="205">
        <v>1</v>
      </c>
      <c r="C72" s="205"/>
      <c r="D72" s="205">
        <f t="shared" si="2"/>
        <v>-1</v>
      </c>
      <c r="E72" s="154">
        <f>SUM($D$2:D72)/SUM($B$2:B72)</f>
        <v>0.17401408450704228</v>
      </c>
      <c r="F72" s="150">
        <f t="shared" si="3"/>
        <v>12.355000000000002</v>
      </c>
      <c r="G72" s="201" t="s">
        <v>974</v>
      </c>
      <c r="H72" s="183"/>
      <c r="I72" s="184"/>
      <c r="J72" s="184"/>
      <c r="K72" s="18"/>
      <c r="Q72"/>
    </row>
    <row r="73" spans="1:17">
      <c r="A73" s="555"/>
      <c r="B73" s="205">
        <v>1</v>
      </c>
      <c r="C73" s="205"/>
      <c r="D73" s="205">
        <f t="shared" si="2"/>
        <v>-1</v>
      </c>
      <c r="E73" s="154">
        <f>SUM($D$2:D73)/SUM($B$2:B73)</f>
        <v>0.15770833333333337</v>
      </c>
      <c r="F73" s="150">
        <f t="shared" si="3"/>
        <v>11.355000000000002</v>
      </c>
      <c r="G73" s="201" t="s">
        <v>975</v>
      </c>
      <c r="H73" s="183"/>
      <c r="I73" s="184"/>
      <c r="J73" s="184"/>
      <c r="K73" s="18"/>
      <c r="Q73"/>
    </row>
    <row r="74" spans="1:17" ht="15.75" thickBot="1">
      <c r="A74" s="563"/>
      <c r="B74" s="206">
        <v>1</v>
      </c>
      <c r="C74" s="206"/>
      <c r="D74" s="206">
        <f t="shared" si="2"/>
        <v>-1</v>
      </c>
      <c r="E74" s="193">
        <f>SUM($D$2:D74)/SUM($B$2:B74)</f>
        <v>0.14184931506849319</v>
      </c>
      <c r="F74" s="163">
        <f t="shared" si="3"/>
        <v>10.355000000000002</v>
      </c>
      <c r="G74" s="202" t="s">
        <v>976</v>
      </c>
      <c r="H74" s="183"/>
      <c r="I74" s="184"/>
      <c r="J74" s="184"/>
      <c r="K74" s="18"/>
      <c r="Q74"/>
    </row>
    <row r="75" spans="1:17">
      <c r="A75" s="554">
        <v>45919</v>
      </c>
      <c r="B75" s="204">
        <v>1</v>
      </c>
      <c r="C75" s="204">
        <v>2.0099999999999998</v>
      </c>
      <c r="D75" s="204">
        <f t="shared" si="2"/>
        <v>1.0099999999999998</v>
      </c>
      <c r="E75" s="191">
        <f>SUM($D$2:D75)/SUM($B$2:B75)</f>
        <v>0.15358108108108109</v>
      </c>
      <c r="F75" s="161">
        <f t="shared" si="3"/>
        <v>11.365000000000002</v>
      </c>
      <c r="G75" s="201" t="s">
        <v>977</v>
      </c>
      <c r="H75" s="183"/>
      <c r="I75" s="184"/>
      <c r="J75" s="184"/>
      <c r="K75" s="18"/>
      <c r="Q75"/>
    </row>
    <row r="76" spans="1:17">
      <c r="A76" s="555"/>
      <c r="B76" s="205">
        <v>1</v>
      </c>
      <c r="C76" s="205">
        <v>1.615</v>
      </c>
      <c r="D76" s="205">
        <f t="shared" si="2"/>
        <v>0.61499999999999999</v>
      </c>
      <c r="E76" s="154">
        <f>SUM($D$2:D76)/SUM($B$2:B76)</f>
        <v>0.15973333333333337</v>
      </c>
      <c r="F76" s="150">
        <f t="shared" si="3"/>
        <v>11.980000000000002</v>
      </c>
      <c r="G76" s="201" t="s">
        <v>978</v>
      </c>
      <c r="H76" s="183"/>
      <c r="I76" s="184"/>
      <c r="J76" s="184"/>
      <c r="K76" s="18"/>
      <c r="Q76"/>
    </row>
    <row r="77" spans="1:17">
      <c r="A77" s="555"/>
      <c r="B77" s="205">
        <v>1</v>
      </c>
      <c r="C77" s="205">
        <v>1.92</v>
      </c>
      <c r="D77" s="205">
        <f t="shared" si="2"/>
        <v>0.91999999999999993</v>
      </c>
      <c r="E77" s="154">
        <f>SUM($D$2:D77)/SUM($B$2:B77)</f>
        <v>0.16973684210526319</v>
      </c>
      <c r="F77" s="150">
        <f t="shared" si="3"/>
        <v>12.900000000000002</v>
      </c>
      <c r="G77" s="201" t="s">
        <v>975</v>
      </c>
      <c r="H77" s="183"/>
      <c r="I77" s="184"/>
      <c r="J77" s="184"/>
      <c r="K77" s="18"/>
      <c r="Q77"/>
    </row>
    <row r="78" spans="1:17">
      <c r="A78" s="555"/>
      <c r="B78" s="205">
        <v>1</v>
      </c>
      <c r="C78" s="205">
        <v>1.84</v>
      </c>
      <c r="D78" s="205">
        <f t="shared" si="2"/>
        <v>0.84000000000000008</v>
      </c>
      <c r="E78" s="154">
        <f>SUM($D$2:D78)/SUM($B$2:B78)</f>
        <v>0.17844155844155846</v>
      </c>
      <c r="F78" s="150">
        <f t="shared" si="3"/>
        <v>13.740000000000002</v>
      </c>
      <c r="G78" s="201" t="s">
        <v>979</v>
      </c>
      <c r="H78" s="183"/>
      <c r="I78" s="184"/>
      <c r="J78" s="184"/>
      <c r="K78" s="18"/>
      <c r="Q78"/>
    </row>
    <row r="79" spans="1:17">
      <c r="A79" s="555"/>
      <c r="B79" s="205">
        <v>1</v>
      </c>
      <c r="C79" s="205">
        <v>1.909</v>
      </c>
      <c r="D79" s="205">
        <f t="shared" si="2"/>
        <v>0.90900000000000003</v>
      </c>
      <c r="E79" s="154">
        <f>SUM($D$2:D79)/SUM($B$2:B79)</f>
        <v>0.18780769230769234</v>
      </c>
      <c r="F79" s="150">
        <f t="shared" si="3"/>
        <v>14.649000000000003</v>
      </c>
      <c r="G79" s="201" t="s">
        <v>980</v>
      </c>
      <c r="H79" s="183"/>
      <c r="I79" s="184"/>
      <c r="J79" s="184"/>
      <c r="K79" s="18"/>
      <c r="Q79"/>
    </row>
    <row r="80" spans="1:17">
      <c r="A80" s="555"/>
      <c r="B80" s="205">
        <v>1</v>
      </c>
      <c r="C80" s="205">
        <v>1.98</v>
      </c>
      <c r="D80" s="205">
        <f t="shared" si="2"/>
        <v>0.98</v>
      </c>
      <c r="E80" s="154">
        <f>SUM($D$2:D80)/SUM($B$2:B80)</f>
        <v>0.19783544303797473</v>
      </c>
      <c r="F80" s="150">
        <f t="shared" si="3"/>
        <v>15.629000000000003</v>
      </c>
      <c r="G80" s="201" t="s">
        <v>981</v>
      </c>
      <c r="H80" s="183"/>
      <c r="I80" s="184"/>
      <c r="J80" s="184"/>
      <c r="K80" s="18"/>
      <c r="Q80"/>
    </row>
    <row r="81" spans="1:17">
      <c r="A81" s="555"/>
      <c r="B81" s="205">
        <v>1</v>
      </c>
      <c r="C81" s="205">
        <v>1.909</v>
      </c>
      <c r="D81" s="205">
        <f t="shared" si="2"/>
        <v>0.90900000000000003</v>
      </c>
      <c r="E81" s="154">
        <f>SUM($D$2:D81)/SUM($B$2:B81)</f>
        <v>0.20672500000000005</v>
      </c>
      <c r="F81" s="150">
        <f t="shared" si="3"/>
        <v>16.538000000000004</v>
      </c>
      <c r="G81" s="201" t="s">
        <v>976</v>
      </c>
      <c r="H81" s="183"/>
      <c r="I81" s="184"/>
      <c r="J81" s="184"/>
      <c r="K81" s="18"/>
      <c r="Q81"/>
    </row>
    <row r="82" spans="1:17">
      <c r="A82" s="555"/>
      <c r="B82" s="205">
        <v>1</v>
      </c>
      <c r="C82" s="205">
        <v>2.06</v>
      </c>
      <c r="D82" s="205">
        <f t="shared" si="2"/>
        <v>1.06</v>
      </c>
      <c r="E82" s="154">
        <f>SUM($D$2:D82)/SUM($B$2:B82)</f>
        <v>0.21725925925925929</v>
      </c>
      <c r="F82" s="150">
        <f t="shared" si="3"/>
        <v>17.598000000000003</v>
      </c>
      <c r="G82" s="201" t="s">
        <v>982</v>
      </c>
      <c r="H82" s="183"/>
      <c r="I82" s="184"/>
      <c r="J82" s="184"/>
      <c r="K82" s="18"/>
      <c r="Q82"/>
    </row>
    <row r="83" spans="1:17">
      <c r="A83" s="555"/>
      <c r="B83" s="205">
        <v>1</v>
      </c>
      <c r="C83" s="205"/>
      <c r="D83" s="205">
        <f t="shared" si="2"/>
        <v>-1</v>
      </c>
      <c r="E83" s="154">
        <f>SUM($D$2:D83)/SUM($B$2:B83)</f>
        <v>0.2024146341463415</v>
      </c>
      <c r="F83" s="150">
        <f t="shared" si="3"/>
        <v>16.598000000000003</v>
      </c>
      <c r="G83" s="201" t="s">
        <v>973</v>
      </c>
      <c r="H83" s="183"/>
      <c r="I83" s="184"/>
      <c r="J83" s="184"/>
      <c r="K83" s="18"/>
      <c r="Q83"/>
    </row>
    <row r="84" spans="1:17" ht="15.75" thickBot="1">
      <c r="A84" s="563"/>
      <c r="B84" s="206">
        <v>1</v>
      </c>
      <c r="C84" s="206">
        <v>2.13</v>
      </c>
      <c r="D84" s="206">
        <f t="shared" si="2"/>
        <v>1.1299999999999999</v>
      </c>
      <c r="E84" s="193">
        <f>SUM($D$2:D84)/SUM($B$2:B84)</f>
        <v>0.21359036144578314</v>
      </c>
      <c r="F84" s="163">
        <f t="shared" si="3"/>
        <v>17.728000000000002</v>
      </c>
      <c r="G84" s="202" t="s">
        <v>983</v>
      </c>
      <c r="H84" s="183"/>
      <c r="I84" s="184"/>
      <c r="J84" s="184"/>
      <c r="K84" s="18"/>
      <c r="Q84"/>
    </row>
    <row r="85" spans="1:17">
      <c r="A85" s="554">
        <v>45920</v>
      </c>
      <c r="B85" s="205">
        <v>1</v>
      </c>
      <c r="C85" s="205">
        <v>1.93</v>
      </c>
      <c r="D85" s="205">
        <f t="shared" si="2"/>
        <v>0.92999999999999994</v>
      </c>
      <c r="E85" s="154">
        <f>SUM($D$2:D85)/SUM($B$2:B85)</f>
        <v>0.22211904761904763</v>
      </c>
      <c r="F85" s="150">
        <f t="shared" si="3"/>
        <v>18.658000000000001</v>
      </c>
      <c r="G85" s="201" t="s">
        <v>981</v>
      </c>
      <c r="H85" s="183"/>
      <c r="I85" s="184"/>
      <c r="J85" s="184"/>
      <c r="K85" s="18"/>
      <c r="Q85"/>
    </row>
    <row r="86" spans="1:17">
      <c r="A86" s="555"/>
      <c r="B86" s="205">
        <v>1</v>
      </c>
      <c r="C86" s="205">
        <v>1.88</v>
      </c>
      <c r="D86" s="205">
        <f t="shared" si="2"/>
        <v>0.87999999999999989</v>
      </c>
      <c r="E86" s="154">
        <f>SUM($D$2:D86)/SUM($B$2:B86)</f>
        <v>0.22985882352941175</v>
      </c>
      <c r="F86" s="150">
        <f t="shared" si="3"/>
        <v>19.538</v>
      </c>
      <c r="G86" s="201" t="s">
        <v>973</v>
      </c>
      <c r="H86" s="183"/>
      <c r="I86" s="184"/>
      <c r="J86" s="184"/>
      <c r="K86" s="18"/>
      <c r="Q86"/>
    </row>
    <row r="87" spans="1:17">
      <c r="A87" s="555"/>
      <c r="B87" s="205">
        <v>1</v>
      </c>
      <c r="C87" s="205">
        <v>1.87</v>
      </c>
      <c r="D87" s="205">
        <f t="shared" si="2"/>
        <v>0.87000000000000011</v>
      </c>
      <c r="E87" s="154">
        <f>SUM($D$2:D87)/SUM($B$2:B87)</f>
        <v>0.23730232558139536</v>
      </c>
      <c r="F87" s="150">
        <f t="shared" si="3"/>
        <v>20.408000000000001</v>
      </c>
      <c r="G87" s="201" t="s">
        <v>979</v>
      </c>
      <c r="H87" s="183"/>
      <c r="I87" s="184"/>
      <c r="J87" s="184"/>
      <c r="K87" s="18"/>
      <c r="Q87"/>
    </row>
    <row r="88" spans="1:17">
      <c r="A88" s="555"/>
      <c r="B88" s="205">
        <v>1</v>
      </c>
      <c r="C88" s="205">
        <v>1.87</v>
      </c>
      <c r="D88" s="205">
        <f t="shared" si="2"/>
        <v>0.87000000000000011</v>
      </c>
      <c r="E88" s="154">
        <f>SUM($D$2:D88)/SUM($B$2:B88)</f>
        <v>0.24457471264367819</v>
      </c>
      <c r="F88" s="150">
        <f t="shared" si="3"/>
        <v>21.278000000000002</v>
      </c>
      <c r="G88" s="201" t="s">
        <v>976</v>
      </c>
      <c r="H88" s="183"/>
      <c r="I88" s="184"/>
      <c r="J88" s="184"/>
      <c r="K88" s="18"/>
      <c r="Q88"/>
    </row>
    <row r="89" spans="1:17">
      <c r="A89" s="555"/>
      <c r="B89" s="205">
        <v>1</v>
      </c>
      <c r="C89" s="205"/>
      <c r="D89" s="205">
        <f t="shared" si="2"/>
        <v>-1</v>
      </c>
      <c r="E89" s="154">
        <f>SUM($D$2:D89)/SUM($B$2:B89)</f>
        <v>0.23043181818181821</v>
      </c>
      <c r="F89" s="150">
        <f t="shared" si="3"/>
        <v>20.278000000000002</v>
      </c>
      <c r="G89" s="201" t="s">
        <v>984</v>
      </c>
      <c r="H89" s="183"/>
      <c r="I89" s="184"/>
      <c r="J89" s="184"/>
      <c r="K89" s="18"/>
      <c r="Q89"/>
    </row>
    <row r="90" spans="1:17">
      <c r="A90" s="555"/>
      <c r="B90" s="205">
        <v>1</v>
      </c>
      <c r="C90" s="205"/>
      <c r="D90" s="205">
        <f t="shared" si="2"/>
        <v>-1</v>
      </c>
      <c r="E90" s="154">
        <f>SUM($D$2:D90)/SUM($B$2:B90)</f>
        <v>0.21660674157303372</v>
      </c>
      <c r="F90" s="150">
        <f t="shared" si="3"/>
        <v>19.278000000000002</v>
      </c>
      <c r="G90" s="201" t="s">
        <v>975</v>
      </c>
      <c r="H90" s="183"/>
      <c r="I90" s="184"/>
      <c r="J90" s="184"/>
      <c r="K90" s="18"/>
      <c r="Q90"/>
    </row>
    <row r="91" spans="1:17">
      <c r="A91" s="555"/>
      <c r="B91" s="205">
        <v>1</v>
      </c>
      <c r="C91" s="205"/>
      <c r="D91" s="205">
        <f t="shared" si="2"/>
        <v>-1</v>
      </c>
      <c r="E91" s="154">
        <f>SUM($D$2:D91)/SUM($B$2:B91)</f>
        <v>0.2030888888888889</v>
      </c>
      <c r="F91" s="150">
        <f t="shared" si="3"/>
        <v>18.278000000000002</v>
      </c>
      <c r="G91" s="201" t="s">
        <v>980</v>
      </c>
      <c r="H91" s="183"/>
      <c r="I91" s="184"/>
      <c r="J91" s="184"/>
      <c r="K91" s="18"/>
      <c r="Q91"/>
    </row>
    <row r="92" spans="1:17" ht="15.75" thickBot="1">
      <c r="A92" s="563"/>
      <c r="B92" s="206">
        <v>1</v>
      </c>
      <c r="C92" s="206">
        <v>2</v>
      </c>
      <c r="D92" s="206">
        <f t="shared" si="2"/>
        <v>1</v>
      </c>
      <c r="E92" s="193">
        <f>SUM($D$2:D92)/SUM($B$2:B92)</f>
        <v>0.21184615384615388</v>
      </c>
      <c r="F92" s="163">
        <f t="shared" si="3"/>
        <v>19.278000000000002</v>
      </c>
      <c r="G92" s="202" t="s">
        <v>982</v>
      </c>
      <c r="H92" s="183"/>
      <c r="I92" s="184"/>
      <c r="J92" s="184"/>
      <c r="K92" s="18"/>
      <c r="Q92"/>
    </row>
    <row r="93" spans="1:17">
      <c r="A93" s="554">
        <v>45921</v>
      </c>
      <c r="B93" s="165">
        <v>1</v>
      </c>
      <c r="C93" s="204"/>
      <c r="D93" s="204">
        <f t="shared" si="2"/>
        <v>-1</v>
      </c>
      <c r="E93" s="182">
        <f>SUM($D$2:D93)/SUM($B$2:B93)</f>
        <v>0.19867391304347828</v>
      </c>
      <c r="F93" s="161">
        <f t="shared" si="3"/>
        <v>18.278000000000002</v>
      </c>
      <c r="G93" s="200" t="s">
        <v>985</v>
      </c>
      <c r="H93" s="183"/>
      <c r="I93" s="184"/>
      <c r="J93" s="184"/>
      <c r="K93" s="18"/>
      <c r="Q93"/>
    </row>
    <row r="94" spans="1:17" ht="15.75" thickBot="1">
      <c r="A94" s="555"/>
      <c r="B94" s="230">
        <v>1</v>
      </c>
      <c r="C94" s="231"/>
      <c r="D94" s="231">
        <f t="shared" si="2"/>
        <v>-1</v>
      </c>
      <c r="E94" s="249">
        <f>SUM($D$2:D94)/SUM($B$2:B94)</f>
        <v>0.18578494623655917</v>
      </c>
      <c r="F94" s="232">
        <f t="shared" si="3"/>
        <v>17.278000000000002</v>
      </c>
      <c r="G94" s="250" t="s">
        <v>986</v>
      </c>
      <c r="H94" s="183"/>
      <c r="I94" s="184"/>
      <c r="J94" s="184"/>
      <c r="K94" s="18"/>
      <c r="Q94"/>
    </row>
    <row r="95" spans="1:17">
      <c r="A95" s="562"/>
      <c r="B95" s="165">
        <v>1</v>
      </c>
      <c r="C95" s="204"/>
      <c r="D95" s="204">
        <f t="shared" si="2"/>
        <v>-1</v>
      </c>
      <c r="E95" s="191">
        <f>SUM($D$2:D95)/SUM($B$2:B95)</f>
        <v>0.17317021276595748</v>
      </c>
      <c r="F95" s="161">
        <f t="shared" si="3"/>
        <v>16.278000000000002</v>
      </c>
      <c r="G95" s="200" t="s">
        <v>973</v>
      </c>
      <c r="H95" s="183"/>
      <c r="I95" s="184"/>
      <c r="J95" s="184"/>
      <c r="K95" s="18"/>
      <c r="Q95"/>
    </row>
    <row r="96" spans="1:17">
      <c r="A96" s="562"/>
      <c r="B96" s="167">
        <v>1</v>
      </c>
      <c r="C96" s="205"/>
      <c r="D96" s="205">
        <f t="shared" si="2"/>
        <v>-1</v>
      </c>
      <c r="E96" s="154">
        <f>SUM($D$2:D96)/SUM($B$2:B96)</f>
        <v>0.16082105263157898</v>
      </c>
      <c r="F96" s="150">
        <f t="shared" si="3"/>
        <v>15.278000000000002</v>
      </c>
      <c r="G96" s="201" t="s">
        <v>987</v>
      </c>
      <c r="H96" s="183"/>
      <c r="I96" s="184"/>
      <c r="J96" s="184"/>
      <c r="K96" s="18"/>
      <c r="Q96"/>
    </row>
    <row r="97" spans="1:17">
      <c r="A97" s="562"/>
      <c r="B97" s="167">
        <v>1</v>
      </c>
      <c r="C97" s="205"/>
      <c r="D97" s="205">
        <f t="shared" si="2"/>
        <v>-1</v>
      </c>
      <c r="E97" s="154">
        <f>SUM($D$2:D97)/SUM($B$2:B97)</f>
        <v>0.14872916666666669</v>
      </c>
      <c r="F97" s="150">
        <f t="shared" si="3"/>
        <v>14.278000000000002</v>
      </c>
      <c r="G97" s="201" t="s">
        <v>981</v>
      </c>
      <c r="H97" s="183"/>
      <c r="I97" s="184"/>
      <c r="J97" s="184"/>
      <c r="K97" s="18"/>
      <c r="Q97"/>
    </row>
    <row r="98" spans="1:17">
      <c r="A98" s="562"/>
      <c r="B98" s="167">
        <v>1</v>
      </c>
      <c r="C98" s="205">
        <v>1.87</v>
      </c>
      <c r="D98" s="205">
        <f t="shared" si="2"/>
        <v>0.87000000000000011</v>
      </c>
      <c r="E98" s="154">
        <f>SUM($D$2:D98)/SUM($B$2:B98)</f>
        <v>0.15616494845360829</v>
      </c>
      <c r="F98" s="150">
        <f t="shared" si="3"/>
        <v>15.148000000000003</v>
      </c>
      <c r="G98" s="201" t="s">
        <v>979</v>
      </c>
      <c r="H98" s="183"/>
      <c r="I98" s="184"/>
      <c r="J98" s="184"/>
      <c r="K98" s="18"/>
      <c r="Q98"/>
    </row>
    <row r="99" spans="1:17" ht="15.75" thickBot="1">
      <c r="A99" s="562"/>
      <c r="B99" s="168">
        <v>1</v>
      </c>
      <c r="C99" s="153">
        <v>1.64</v>
      </c>
      <c r="D99" s="153">
        <f t="shared" si="2"/>
        <v>0.6399999999999999</v>
      </c>
      <c r="E99" s="190">
        <f>SUM($D$2:D99)/SUM($B$2:B99)</f>
        <v>0.16110204081632656</v>
      </c>
      <c r="F99" s="151">
        <f t="shared" si="3"/>
        <v>15.788000000000004</v>
      </c>
      <c r="G99" s="209" t="s">
        <v>978</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988</v>
      </c>
      <c r="H100" s="183"/>
      <c r="I100" s="184"/>
      <c r="J100" s="184"/>
      <c r="K100" s="18"/>
      <c r="Q100"/>
    </row>
    <row r="101" spans="1:17">
      <c r="A101" s="561">
        <v>45923</v>
      </c>
      <c r="B101" s="165">
        <v>1</v>
      </c>
      <c r="C101" s="204">
        <v>2.81</v>
      </c>
      <c r="D101" s="204">
        <f t="shared" si="2"/>
        <v>1.81</v>
      </c>
      <c r="E101" s="191">
        <f>SUM($D$2:D101)/SUM($B$2:B101)</f>
        <v>0.18578000000000003</v>
      </c>
      <c r="F101" s="161">
        <f t="shared" si="3"/>
        <v>18.578000000000003</v>
      </c>
      <c r="G101" s="200" t="s">
        <v>945</v>
      </c>
      <c r="H101" s="183"/>
      <c r="I101" s="184"/>
      <c r="J101" s="184"/>
      <c r="K101" s="18"/>
      <c r="Q101"/>
    </row>
    <row r="102" spans="1:17" ht="15.75" thickBot="1">
      <c r="A102" s="562"/>
      <c r="B102" s="170">
        <v>1</v>
      </c>
      <c r="C102" s="206">
        <v>2.85</v>
      </c>
      <c r="D102" s="206">
        <f t="shared" si="2"/>
        <v>1.85</v>
      </c>
      <c r="E102" s="193">
        <f>SUM($D$2:D102)/SUM($B$2:B102)</f>
        <v>0.2022574257425743</v>
      </c>
      <c r="F102" s="163">
        <f t="shared" si="3"/>
        <v>20.428000000000004</v>
      </c>
      <c r="G102" s="202" t="s">
        <v>989</v>
      </c>
      <c r="H102" s="183"/>
      <c r="I102" s="184"/>
      <c r="J102" s="184"/>
      <c r="K102" s="18"/>
      <c r="Q102"/>
    </row>
    <row r="103" spans="1:17">
      <c r="A103" s="562"/>
      <c r="B103" s="167">
        <v>1</v>
      </c>
      <c r="C103" s="205">
        <v>1.75</v>
      </c>
      <c r="D103" s="205">
        <f t="shared" si="2"/>
        <v>0.75</v>
      </c>
      <c r="E103" s="154">
        <f>SUM($D$2:D103)/SUM($B$2:B103)</f>
        <v>0.2076274509803922</v>
      </c>
      <c r="F103" s="150">
        <f t="shared" si="3"/>
        <v>21.178000000000004</v>
      </c>
      <c r="G103" s="201" t="s">
        <v>990</v>
      </c>
      <c r="H103" s="183"/>
      <c r="I103" s="184"/>
      <c r="J103" s="184"/>
      <c r="K103" s="18"/>
      <c r="Q103"/>
    </row>
    <row r="104" spans="1:17">
      <c r="A104" s="562"/>
      <c r="B104" s="167">
        <v>1</v>
      </c>
      <c r="C104" s="205"/>
      <c r="D104" s="205">
        <f t="shared" si="2"/>
        <v>-1</v>
      </c>
      <c r="E104" s="154">
        <f>SUM($D$2:D104)/SUM($B$2:B104)</f>
        <v>0.19590291262135925</v>
      </c>
      <c r="F104" s="150">
        <f t="shared" si="3"/>
        <v>20.178000000000004</v>
      </c>
      <c r="G104" s="201" t="s">
        <v>991</v>
      </c>
      <c r="H104" s="183"/>
      <c r="I104" s="184"/>
      <c r="J104" s="184"/>
      <c r="K104" s="18"/>
      <c r="Q104"/>
    </row>
    <row r="105" spans="1:17">
      <c r="A105" s="562"/>
      <c r="B105" s="167">
        <v>1</v>
      </c>
      <c r="C105" s="205">
        <v>1.95</v>
      </c>
      <c r="D105" s="205">
        <f t="shared" si="2"/>
        <v>0.95</v>
      </c>
      <c r="E105" s="154">
        <f>SUM($D$2:D105)/SUM($B$2:B105)</f>
        <v>0.20315384615384618</v>
      </c>
      <c r="F105" s="150">
        <f t="shared" si="3"/>
        <v>21.128000000000004</v>
      </c>
      <c r="G105" s="201" t="s">
        <v>992</v>
      </c>
      <c r="H105" s="183"/>
      <c r="I105" s="184"/>
      <c r="J105" s="184"/>
      <c r="K105" s="18"/>
      <c r="Q105"/>
    </row>
    <row r="106" spans="1:17">
      <c r="A106" s="562"/>
      <c r="B106" s="167">
        <v>1</v>
      </c>
      <c r="C106" s="205"/>
      <c r="D106" s="205">
        <f t="shared" si="2"/>
        <v>-1</v>
      </c>
      <c r="E106" s="154">
        <f>SUM($D$2:D106)/SUM($B$2:B106)</f>
        <v>0.19169523809523814</v>
      </c>
      <c r="F106" s="150">
        <f t="shared" si="3"/>
        <v>20.128000000000004</v>
      </c>
      <c r="G106" s="272" t="s">
        <v>993</v>
      </c>
      <c r="H106" s="183"/>
      <c r="I106" s="184"/>
      <c r="J106" s="184"/>
      <c r="K106" s="18"/>
      <c r="Q106"/>
    </row>
    <row r="107" spans="1:17">
      <c r="A107" s="562"/>
      <c r="B107" s="167">
        <v>1</v>
      </c>
      <c r="C107" s="205"/>
      <c r="D107" s="205">
        <f t="shared" si="2"/>
        <v>-1</v>
      </c>
      <c r="E107" s="154">
        <f>SUM($D$2:D107)/SUM($B$2:B107)</f>
        <v>0.18045283018867928</v>
      </c>
      <c r="F107" s="150">
        <f t="shared" si="3"/>
        <v>19.128000000000004</v>
      </c>
      <c r="G107" s="201" t="s">
        <v>994</v>
      </c>
      <c r="H107" s="183"/>
      <c r="I107" s="184"/>
      <c r="J107" s="184"/>
      <c r="K107" s="18"/>
      <c r="Q107"/>
    </row>
    <row r="108" spans="1:17" ht="15.75" thickBot="1">
      <c r="A108" s="575"/>
      <c r="B108" s="168">
        <v>1</v>
      </c>
      <c r="C108" s="153"/>
      <c r="D108" s="153">
        <f t="shared" si="2"/>
        <v>-1</v>
      </c>
      <c r="E108" s="190">
        <f>SUM($D$2:D108)/SUM($B$2:B108)</f>
        <v>0.1694205607476636</v>
      </c>
      <c r="F108" s="151">
        <f t="shared" si="3"/>
        <v>18.128000000000004</v>
      </c>
      <c r="G108" s="209" t="s">
        <v>995</v>
      </c>
      <c r="H108" s="183"/>
      <c r="I108" s="184"/>
      <c r="J108" s="184"/>
      <c r="K108" s="18"/>
      <c r="Q108"/>
    </row>
    <row r="109" spans="1:17">
      <c r="A109" s="561">
        <v>45924</v>
      </c>
      <c r="B109" s="165">
        <v>1</v>
      </c>
      <c r="C109" s="204"/>
      <c r="D109" s="204">
        <f t="shared" si="2"/>
        <v>-1</v>
      </c>
      <c r="E109" s="191">
        <f>SUM($D$2:D109)/SUM($B$2:B109)</f>
        <v>0.15859259259259262</v>
      </c>
      <c r="F109" s="161">
        <f t="shared" si="3"/>
        <v>17.128000000000004</v>
      </c>
      <c r="G109" s="200" t="s">
        <v>991</v>
      </c>
      <c r="H109" s="183"/>
      <c r="I109" s="184"/>
      <c r="J109" s="184"/>
      <c r="K109" s="18"/>
      <c r="Q109"/>
    </row>
    <row r="110" spans="1:17">
      <c r="A110" s="562"/>
      <c r="B110" s="167">
        <v>1</v>
      </c>
      <c r="C110" s="205">
        <v>1.833</v>
      </c>
      <c r="D110" s="205">
        <f t="shared" si="2"/>
        <v>0.83299999999999996</v>
      </c>
      <c r="E110" s="154">
        <f>SUM($D$2:D110)/SUM($B$2:B110)</f>
        <v>0.16477981651376147</v>
      </c>
      <c r="F110" s="150">
        <f t="shared" si="3"/>
        <v>17.961000000000002</v>
      </c>
      <c r="G110" s="201" t="s">
        <v>996</v>
      </c>
      <c r="H110" s="183"/>
      <c r="I110" s="184"/>
      <c r="J110" s="184"/>
      <c r="K110" s="18"/>
      <c r="Q110"/>
    </row>
    <row r="111" spans="1:17">
      <c r="A111" s="562"/>
      <c r="B111" s="167">
        <v>1</v>
      </c>
      <c r="C111" s="205">
        <v>2</v>
      </c>
      <c r="D111" s="205">
        <f t="shared" si="2"/>
        <v>1</v>
      </c>
      <c r="E111" s="154">
        <f>SUM($D$2:D111)/SUM($B$2:B111)</f>
        <v>0.17237272727272729</v>
      </c>
      <c r="F111" s="150">
        <f t="shared" si="3"/>
        <v>18.961000000000002</v>
      </c>
      <c r="G111" s="201" t="s">
        <v>993</v>
      </c>
      <c r="H111" s="183"/>
      <c r="I111" s="184"/>
      <c r="J111" s="184"/>
      <c r="K111" s="18"/>
      <c r="Q111"/>
    </row>
    <row r="112" spans="1:17">
      <c r="A112" s="562"/>
      <c r="B112" s="167">
        <v>1</v>
      </c>
      <c r="C112" s="205">
        <v>2.06</v>
      </c>
      <c r="D112" s="205">
        <f t="shared" si="2"/>
        <v>1.06</v>
      </c>
      <c r="E112" s="154">
        <f>SUM($D$2:D112)/SUM($B$2:B112)</f>
        <v>0.18036936936936937</v>
      </c>
      <c r="F112" s="150">
        <f t="shared" si="3"/>
        <v>20.021000000000001</v>
      </c>
      <c r="G112" s="201" t="s">
        <v>997</v>
      </c>
      <c r="H112" s="183"/>
      <c r="I112" s="184"/>
      <c r="J112" s="184"/>
      <c r="K112" s="18"/>
      <c r="Q112"/>
    </row>
    <row r="113" spans="1:17" ht="15.75" thickBot="1">
      <c r="A113" s="575"/>
      <c r="B113" s="170">
        <v>1</v>
      </c>
      <c r="C113" s="206"/>
      <c r="D113" s="206">
        <f t="shared" si="2"/>
        <v>-1</v>
      </c>
      <c r="E113" s="193">
        <f>SUM($D$2:D113)/SUM($B$2:B113)</f>
        <v>0.16983035714285716</v>
      </c>
      <c r="F113" s="163">
        <f t="shared" si="3"/>
        <v>19.021000000000001</v>
      </c>
      <c r="G113" s="202" t="s">
        <v>988</v>
      </c>
      <c r="H113" s="183"/>
      <c r="I113" s="184"/>
      <c r="J113" s="184"/>
      <c r="K113" s="18"/>
      <c r="Q113"/>
    </row>
    <row r="114" spans="1:17">
      <c r="A114" s="561">
        <v>45925</v>
      </c>
      <c r="B114" s="165">
        <v>1</v>
      </c>
      <c r="C114" s="204">
        <v>1.88</v>
      </c>
      <c r="D114" s="204">
        <f t="shared" si="2"/>
        <v>0.87999999999999989</v>
      </c>
      <c r="E114" s="191">
        <f>SUM($D$2:D114)/SUM($B$2:B114)</f>
        <v>0.17611504424778762</v>
      </c>
      <c r="F114" s="161">
        <f t="shared" si="3"/>
        <v>19.901</v>
      </c>
      <c r="G114" s="200" t="s">
        <v>991</v>
      </c>
      <c r="H114" s="183"/>
      <c r="I114" s="184"/>
      <c r="J114" s="184"/>
      <c r="K114" s="18"/>
      <c r="Q114"/>
    </row>
    <row r="115" spans="1:17">
      <c r="A115" s="562"/>
      <c r="B115" s="167">
        <v>1</v>
      </c>
      <c r="C115" s="205">
        <v>1.8</v>
      </c>
      <c r="D115" s="205">
        <f t="shared" si="2"/>
        <v>0.8</v>
      </c>
      <c r="E115" s="154">
        <f>SUM($D$2:D115)/SUM($B$2:B115)</f>
        <v>0.18158771929824563</v>
      </c>
      <c r="F115" s="150">
        <f t="shared" si="3"/>
        <v>20.701000000000001</v>
      </c>
      <c r="G115" s="201" t="s">
        <v>990</v>
      </c>
      <c r="H115" s="183"/>
      <c r="I115" s="184"/>
      <c r="J115" s="184"/>
      <c r="K115" s="18"/>
      <c r="Q115"/>
    </row>
    <row r="116" spans="1:17">
      <c r="A116" s="562"/>
      <c r="B116" s="167">
        <v>1</v>
      </c>
      <c r="C116" s="205"/>
      <c r="D116" s="205">
        <f t="shared" si="2"/>
        <v>-1</v>
      </c>
      <c r="E116" s="154">
        <f>SUM($D$2:D116)/SUM($B$2:B116)</f>
        <v>0.17131304347826087</v>
      </c>
      <c r="F116" s="150">
        <f t="shared" si="3"/>
        <v>19.701000000000001</v>
      </c>
      <c r="G116" s="201" t="s">
        <v>993</v>
      </c>
      <c r="H116" s="183"/>
      <c r="I116" s="184"/>
      <c r="J116" s="184"/>
      <c r="K116" s="18"/>
      <c r="Q116"/>
    </row>
    <row r="117" spans="1:17">
      <c r="A117" s="562"/>
      <c r="B117" s="167">
        <v>1</v>
      </c>
      <c r="C117" s="205">
        <v>1.98</v>
      </c>
      <c r="D117" s="205">
        <f t="shared" si="2"/>
        <v>0.98</v>
      </c>
      <c r="E117" s="154">
        <f>SUM($D$2:D117)/SUM($B$2:B117)</f>
        <v>0.17828448275862069</v>
      </c>
      <c r="F117" s="150">
        <f t="shared" si="3"/>
        <v>20.681000000000001</v>
      </c>
      <c r="G117" s="201" t="s">
        <v>998</v>
      </c>
      <c r="H117" s="183"/>
      <c r="I117" s="184"/>
      <c r="J117" s="184"/>
      <c r="K117" s="18"/>
      <c r="Q117"/>
    </row>
    <row r="118" spans="1:17">
      <c r="A118" s="562"/>
      <c r="B118" s="167">
        <v>1</v>
      </c>
      <c r="C118" s="205"/>
      <c r="D118" s="205">
        <f t="shared" si="2"/>
        <v>-1</v>
      </c>
      <c r="E118" s="154">
        <f>SUM($D$2:D118)/SUM($B$2:B118)</f>
        <v>0.16821367521367522</v>
      </c>
      <c r="F118" s="150">
        <f t="shared" si="3"/>
        <v>19.681000000000001</v>
      </c>
      <c r="G118" s="201" t="s">
        <v>999</v>
      </c>
      <c r="H118" s="183"/>
      <c r="I118" s="184"/>
      <c r="J118" s="184"/>
      <c r="K118" s="18"/>
      <c r="Q118"/>
    </row>
    <row r="119" spans="1:17" ht="15.75" thickBot="1">
      <c r="A119" s="562"/>
      <c r="B119" s="170">
        <v>1</v>
      </c>
      <c r="C119" s="206">
        <v>2.0299999999999998</v>
      </c>
      <c r="D119" s="206">
        <f t="shared" si="2"/>
        <v>1.0299999999999998</v>
      </c>
      <c r="E119" s="193">
        <f>SUM($D$2:D119)/SUM($B$2:B119)</f>
        <v>0.1755169491525424</v>
      </c>
      <c r="F119" s="163">
        <f t="shared" si="3"/>
        <v>20.711000000000002</v>
      </c>
      <c r="G119" s="202" t="s">
        <v>1000</v>
      </c>
      <c r="H119" s="183"/>
      <c r="I119" s="184"/>
      <c r="J119" s="184"/>
      <c r="K119" s="18"/>
      <c r="Q119"/>
    </row>
    <row r="120" spans="1:17">
      <c r="A120" s="554">
        <v>45926</v>
      </c>
      <c r="B120" s="277">
        <v>1</v>
      </c>
      <c r="C120" s="216"/>
      <c r="D120" s="216">
        <f>(B120*C120)-B120</f>
        <v>-1</v>
      </c>
      <c r="E120" s="96">
        <f>SUM($D$2:D120)/SUM($B$2:B120)</f>
        <v>0.1656386554621849</v>
      </c>
      <c r="F120" s="97">
        <f>F119+D120</f>
        <v>19.711000000000002</v>
      </c>
      <c r="G120" s="217" t="s">
        <v>1001</v>
      </c>
      <c r="H120" s="183"/>
      <c r="I120" s="184"/>
      <c r="J120" s="184"/>
      <c r="K120" s="18"/>
      <c r="Q120"/>
    </row>
    <row r="121" spans="1:17">
      <c r="A121" s="555"/>
      <c r="B121" s="103">
        <v>1</v>
      </c>
      <c r="C121" s="41"/>
      <c r="D121" s="41">
        <f>(B121*C121)-B121</f>
        <v>-1</v>
      </c>
      <c r="E121" s="47">
        <f>SUM($D$2:D121)/SUM($B$2:B121)</f>
        <v>0.15592500000000001</v>
      </c>
      <c r="F121" s="37">
        <f>F120+D121</f>
        <v>18.711000000000002</v>
      </c>
      <c r="G121" s="129" t="s">
        <v>1002</v>
      </c>
      <c r="H121" s="183"/>
      <c r="I121" s="184"/>
      <c r="J121" s="184"/>
      <c r="K121" s="18"/>
      <c r="Q121"/>
    </row>
    <row r="122" spans="1:17">
      <c r="A122" s="555"/>
      <c r="B122" s="103">
        <v>1</v>
      </c>
      <c r="C122" s="41">
        <v>1.93</v>
      </c>
      <c r="D122" s="41">
        <f>(B122*C122)-B122</f>
        <v>0.92999999999999994</v>
      </c>
      <c r="E122" s="47">
        <f>SUM($D$2:D122)/SUM($B$2:B122)</f>
        <v>0.1623223140495868</v>
      </c>
      <c r="F122" s="37">
        <f>F121+D122</f>
        <v>19.641000000000002</v>
      </c>
      <c r="G122" s="129" t="s">
        <v>1003</v>
      </c>
      <c r="H122" s="183"/>
      <c r="I122" s="184"/>
      <c r="J122" s="184"/>
      <c r="K122" s="18"/>
      <c r="Q122"/>
    </row>
    <row r="123" spans="1:17">
      <c r="A123" s="555"/>
      <c r="B123" s="103">
        <v>1</v>
      </c>
      <c r="C123" s="41">
        <v>2.06</v>
      </c>
      <c r="D123" s="41">
        <f>(B123*C123)-B123</f>
        <v>1.06</v>
      </c>
      <c r="E123" s="47">
        <f>SUM($D$2:D123)/SUM($B$2:B123)</f>
        <v>0.16968032786885245</v>
      </c>
      <c r="F123" s="37">
        <f>F122+D123</f>
        <v>20.701000000000001</v>
      </c>
      <c r="G123" s="129" t="s">
        <v>1004</v>
      </c>
      <c r="H123" s="183"/>
      <c r="I123" s="184"/>
      <c r="J123" s="184"/>
      <c r="K123" s="18"/>
      <c r="Q123"/>
    </row>
    <row r="124" spans="1:17">
      <c r="A124" s="555"/>
      <c r="B124" s="103">
        <v>1</v>
      </c>
      <c r="C124" s="41">
        <v>1.87</v>
      </c>
      <c r="D124" s="41">
        <f>(B124*C124)-B124</f>
        <v>0.87000000000000011</v>
      </c>
      <c r="E124" s="47">
        <f>SUM($D$2:D124)/SUM($B$2:B124)</f>
        <v>0.1753739837398374</v>
      </c>
      <c r="F124" s="37">
        <f>F123+D124</f>
        <v>21.571000000000002</v>
      </c>
      <c r="G124" s="129" t="s">
        <v>1005</v>
      </c>
      <c r="H124" s="183"/>
      <c r="I124" s="184"/>
      <c r="J124" s="184"/>
      <c r="K124" s="18"/>
      <c r="Q124"/>
    </row>
    <row r="125" spans="1:17">
      <c r="A125" s="555"/>
      <c r="B125" s="103">
        <v>1</v>
      </c>
      <c r="C125" s="41">
        <v>2.0099999999999998</v>
      </c>
      <c r="D125" s="41">
        <f>(B125*C125)-B125</f>
        <v>1.0099999999999998</v>
      </c>
      <c r="E125" s="47">
        <f>SUM($D$2:D125)/SUM($B$2:B125)</f>
        <v>0.18210483870967745</v>
      </c>
      <c r="F125" s="37">
        <f>F124+D125</f>
        <v>22.581000000000003</v>
      </c>
      <c r="G125" s="129" t="s">
        <v>1006</v>
      </c>
      <c r="H125" s="183"/>
      <c r="I125" s="184"/>
      <c r="J125" s="184"/>
      <c r="K125" s="18"/>
      <c r="Q125"/>
    </row>
    <row r="126" spans="1:17" ht="15.75" thickBot="1">
      <c r="A126" s="563"/>
      <c r="B126" s="105">
        <v>1</v>
      </c>
      <c r="C126" s="218">
        <v>1.97</v>
      </c>
      <c r="D126" s="218">
        <f>(B126*C126)-B126</f>
        <v>0.97</v>
      </c>
      <c r="E126" s="59">
        <f>SUM($D$2:D126)/SUM($B$2:B126)</f>
        <v>0.18840800000000002</v>
      </c>
      <c r="F126" s="38">
        <f>F125+D126</f>
        <v>23.551000000000002</v>
      </c>
      <c r="G126" s="141" t="s">
        <v>1007</v>
      </c>
      <c r="H126" s="183"/>
      <c r="I126" s="184"/>
      <c r="J126" s="184"/>
      <c r="K126" s="18"/>
      <c r="Q126"/>
    </row>
    <row r="127" spans="1:17">
      <c r="A127" s="554">
        <v>45927</v>
      </c>
      <c r="B127" s="165">
        <v>1</v>
      </c>
      <c r="C127" s="204"/>
      <c r="D127" s="204">
        <f>(B127*C127)-B127</f>
        <v>-1</v>
      </c>
      <c r="E127" s="191">
        <f>SUM($D$2:D127)/SUM($B$2:B127)</f>
        <v>0.17897619047619048</v>
      </c>
      <c r="F127" s="161">
        <f>F126+D127</f>
        <v>22.551000000000002</v>
      </c>
      <c r="G127" s="166" t="s">
        <v>1008</v>
      </c>
      <c r="H127" s="183"/>
      <c r="I127" s="184"/>
      <c r="J127" s="184"/>
      <c r="K127" s="18"/>
      <c r="Q127"/>
    </row>
    <row r="128" spans="1:17">
      <c r="A128" s="555"/>
      <c r="B128" s="167">
        <v>1</v>
      </c>
      <c r="C128" s="205">
        <v>1.88</v>
      </c>
      <c r="D128" s="205">
        <f>(B128*C128)-B128</f>
        <v>0.87999999999999989</v>
      </c>
      <c r="E128" s="154">
        <f>SUM($D$2:D128)/SUM($B$2:B128)</f>
        <v>0.18449606299212598</v>
      </c>
      <c r="F128" s="150">
        <f>F127+D128</f>
        <v>23.431000000000001</v>
      </c>
      <c r="G128" s="189" t="s">
        <v>1009</v>
      </c>
      <c r="H128" s="183"/>
      <c r="I128" s="184"/>
      <c r="J128" s="184"/>
      <c r="K128" s="18"/>
      <c r="Q128"/>
    </row>
    <row r="129" spans="1:17">
      <c r="A129" s="555"/>
      <c r="B129" s="167">
        <v>1</v>
      </c>
      <c r="C129" s="205">
        <v>1.77</v>
      </c>
      <c r="D129" s="205">
        <f>(B129*C129)-B129</f>
        <v>0.77</v>
      </c>
      <c r="E129" s="154">
        <f>SUM($D$2:D129)/SUM($B$2:B129)</f>
        <v>0.1890703125</v>
      </c>
      <c r="F129" s="150">
        <f>F128+D129</f>
        <v>24.201000000000001</v>
      </c>
      <c r="G129" s="189" t="s">
        <v>1002</v>
      </c>
      <c r="H129" s="183"/>
      <c r="I129" s="184"/>
      <c r="J129" s="184"/>
      <c r="K129" s="18"/>
      <c r="Q129"/>
    </row>
    <row r="130" spans="1:17">
      <c r="A130" s="555"/>
      <c r="B130" s="167">
        <v>1</v>
      </c>
      <c r="C130" s="205">
        <v>2</v>
      </c>
      <c r="D130" s="205">
        <f>(B130*C130)-B130</f>
        <v>1</v>
      </c>
      <c r="E130" s="154">
        <f>SUM($D$2:D130)/SUM($B$2:B130)</f>
        <v>0.19535658914728682</v>
      </c>
      <c r="F130" s="150">
        <f>F129+D130</f>
        <v>25.201000000000001</v>
      </c>
      <c r="G130" s="189" t="s">
        <v>1006</v>
      </c>
      <c r="H130" s="183"/>
      <c r="I130" s="184"/>
      <c r="J130" s="184"/>
      <c r="K130" s="18"/>
      <c r="Q130"/>
    </row>
    <row r="131" spans="1:17">
      <c r="A131" s="555"/>
      <c r="B131" s="167">
        <v>1</v>
      </c>
      <c r="C131" s="205"/>
      <c r="D131" s="205">
        <f>(B131*C131)-B131</f>
        <v>-1</v>
      </c>
      <c r="E131" s="154">
        <f>SUM($D$2:D131)/SUM($B$2:B131)</f>
        <v>0.18616153846153846</v>
      </c>
      <c r="F131" s="150">
        <f>F130+D131</f>
        <v>24.201000000000001</v>
      </c>
      <c r="G131" s="189" t="s">
        <v>1007</v>
      </c>
      <c r="H131" s="183"/>
      <c r="I131" s="184"/>
      <c r="J131" s="184"/>
      <c r="K131" s="18"/>
      <c r="Q131"/>
    </row>
    <row r="132" spans="1:17">
      <c r="A132" s="555"/>
      <c r="B132" s="167">
        <v>1</v>
      </c>
      <c r="C132" s="205">
        <v>1.83</v>
      </c>
      <c r="D132" s="205">
        <f>(B132*C132)-B132</f>
        <v>0.83000000000000007</v>
      </c>
      <c r="E132" s="154">
        <f>SUM($D$2:D132)/SUM($B$2:B132)</f>
        <v>0.19107633587786257</v>
      </c>
      <c r="F132" s="150">
        <f>F131+D132</f>
        <v>25.030999999999999</v>
      </c>
      <c r="G132" s="189" t="s">
        <v>1005</v>
      </c>
      <c r="H132" s="183"/>
      <c r="I132" s="184"/>
      <c r="J132" s="184"/>
      <c r="K132" s="18"/>
      <c r="Q132"/>
    </row>
    <row r="133" spans="1:17">
      <c r="A133" s="555"/>
      <c r="B133" s="167">
        <v>1</v>
      </c>
      <c r="C133" s="205">
        <v>1.96</v>
      </c>
      <c r="D133" s="205">
        <f>(B133*C133)-B133</f>
        <v>0.96</v>
      </c>
      <c r="E133" s="154">
        <f>SUM($D$2:D133)/SUM($B$2:B133)</f>
        <v>0.19690151515151516</v>
      </c>
      <c r="F133" s="150">
        <f>F132+D133</f>
        <v>25.991</v>
      </c>
      <c r="G133" s="189" t="s">
        <v>1010</v>
      </c>
      <c r="H133" s="183"/>
      <c r="I133" s="184"/>
      <c r="J133" s="184"/>
      <c r="K133" s="18"/>
      <c r="Q133"/>
    </row>
    <row r="134" spans="1:17" ht="15.75" thickBot="1">
      <c r="A134" s="563"/>
      <c r="B134" s="170">
        <v>1</v>
      </c>
      <c r="C134" s="206">
        <v>2.06</v>
      </c>
      <c r="D134" s="206">
        <f>(B134*C134)-B134</f>
        <v>1.06</v>
      </c>
      <c r="E134" s="193">
        <f>SUM($D$2:D134)/SUM($B$2:B134)</f>
        <v>0.20339097744360901</v>
      </c>
      <c r="F134" s="163">
        <f>F133+D134</f>
        <v>27.050999999999998</v>
      </c>
      <c r="G134" s="194" t="s">
        <v>1011</v>
      </c>
      <c r="H134" s="183"/>
      <c r="I134" s="184"/>
      <c r="J134" s="184"/>
      <c r="K134" s="18"/>
      <c r="Q134"/>
    </row>
    <row r="135" spans="1:17" ht="15.75" thickBot="1">
      <c r="A135" s="576">
        <v>45928</v>
      </c>
      <c r="B135" s="222">
        <v>1</v>
      </c>
      <c r="C135" s="223">
        <v>2.85</v>
      </c>
      <c r="D135" s="223">
        <f>(B135*C135)-B135</f>
        <v>1.85</v>
      </c>
      <c r="E135" s="224">
        <f>SUM($D$2:D135)/SUM($B$2:B135)</f>
        <v>0.21567910447761193</v>
      </c>
      <c r="F135" s="225">
        <f>F134+D135</f>
        <v>28.901</v>
      </c>
      <c r="G135" s="274" t="s">
        <v>1012</v>
      </c>
      <c r="H135" s="183"/>
      <c r="I135" s="184"/>
      <c r="J135" s="184"/>
      <c r="K135" s="18"/>
      <c r="Q135"/>
    </row>
    <row r="136" spans="1:17">
      <c r="A136" s="577"/>
      <c r="B136" s="179">
        <v>1</v>
      </c>
      <c r="C136" s="207">
        <v>1.87</v>
      </c>
      <c r="D136" s="207">
        <f>(B136*C136)-B136</f>
        <v>0.87000000000000011</v>
      </c>
      <c r="E136" s="195">
        <f>SUM($D$2:D136)/SUM($B$2:B136)</f>
        <v>0.22052592592592593</v>
      </c>
      <c r="F136" s="162">
        <f>F135+D136</f>
        <v>29.771000000000001</v>
      </c>
      <c r="G136" s="214" t="s">
        <v>1009</v>
      </c>
      <c r="H136" s="183"/>
      <c r="I136" s="184"/>
      <c r="J136" s="184"/>
      <c r="K136" s="18"/>
      <c r="Q136"/>
    </row>
    <row r="137" spans="1:17">
      <c r="A137" s="577"/>
      <c r="B137" s="167">
        <v>1</v>
      </c>
      <c r="C137" s="205"/>
      <c r="D137" s="205">
        <f>(B137*C137)-B137</f>
        <v>-1</v>
      </c>
      <c r="E137" s="154">
        <f>SUM($D$2:D137)/SUM($B$2:B137)</f>
        <v>0.21155147058823531</v>
      </c>
      <c r="F137" s="150">
        <f>F136+D137</f>
        <v>28.771000000000001</v>
      </c>
      <c r="G137" s="189" t="s">
        <v>1013</v>
      </c>
      <c r="H137" s="183"/>
      <c r="I137" s="184"/>
      <c r="J137" s="184"/>
      <c r="K137" s="18"/>
      <c r="Q137"/>
    </row>
    <row r="138" spans="1:17">
      <c r="A138" s="577"/>
      <c r="B138" s="167">
        <v>1</v>
      </c>
      <c r="C138" s="205">
        <v>1.81</v>
      </c>
      <c r="D138" s="205">
        <f>(B138*C138)-B138</f>
        <v>0.81</v>
      </c>
      <c r="E138" s="154">
        <f>SUM($D$2:D138)/SUM($B$2:B138)</f>
        <v>0.21591970802919708</v>
      </c>
      <c r="F138" s="150">
        <f>F137+D138</f>
        <v>29.581</v>
      </c>
      <c r="G138" s="189" t="s">
        <v>1014</v>
      </c>
      <c r="H138" s="183"/>
      <c r="I138" s="184"/>
      <c r="J138" s="184"/>
      <c r="K138" s="18"/>
      <c r="Q138"/>
    </row>
    <row r="139" spans="1:17">
      <c r="A139" s="577"/>
      <c r="B139" s="167">
        <v>1</v>
      </c>
      <c r="C139" s="205">
        <v>1.87</v>
      </c>
      <c r="D139" s="205">
        <f>(B139*C139)-B139</f>
        <v>0.87000000000000011</v>
      </c>
      <c r="E139" s="154">
        <f>SUM($D$2:D139)/SUM($B$2:B139)</f>
        <v>0.22065942028985508</v>
      </c>
      <c r="F139" s="150">
        <f>F138+D139</f>
        <v>30.451000000000001</v>
      </c>
      <c r="G139" s="189" t="s">
        <v>1001</v>
      </c>
      <c r="H139" s="183"/>
      <c r="I139" s="184"/>
      <c r="J139" s="184"/>
      <c r="K139" s="18"/>
      <c r="Q139"/>
    </row>
    <row r="140" spans="1:17">
      <c r="A140" s="577"/>
      <c r="B140" s="167">
        <v>1</v>
      </c>
      <c r="C140" s="205">
        <v>1.98</v>
      </c>
      <c r="D140" s="205">
        <f>(B140*C140)-B140</f>
        <v>0.98</v>
      </c>
      <c r="E140" s="154">
        <f>SUM($D$2:D140)/SUM($B$2:B140)</f>
        <v>0.22612230215827339</v>
      </c>
      <c r="F140" s="150">
        <f>F139+D140</f>
        <v>31.431000000000001</v>
      </c>
      <c r="G140" s="189" t="s">
        <v>1006</v>
      </c>
      <c r="H140" s="183"/>
      <c r="I140" s="184"/>
      <c r="J140" s="184"/>
      <c r="K140" s="18"/>
      <c r="Q140"/>
    </row>
    <row r="141" spans="1:17">
      <c r="A141" s="577"/>
      <c r="B141" s="167">
        <v>1</v>
      </c>
      <c r="C141" s="205">
        <v>2.02</v>
      </c>
      <c r="D141" s="205">
        <f>(B141*C141)-B141</f>
        <v>1.02</v>
      </c>
      <c r="E141" s="154">
        <f>SUM($D$2:D141)/SUM($B$2:B141)</f>
        <v>0.23179285714285713</v>
      </c>
      <c r="F141" s="150">
        <f>F140+D141</f>
        <v>32.451000000000001</v>
      </c>
      <c r="G141" s="189" t="s">
        <v>1011</v>
      </c>
      <c r="H141" s="183"/>
      <c r="I141" s="184"/>
      <c r="J141" s="184"/>
      <c r="K141" s="18"/>
      <c r="Q141"/>
    </row>
    <row r="142" spans="1:17" ht="15.75" thickBot="1">
      <c r="A142" s="578"/>
      <c r="B142" s="170">
        <v>1</v>
      </c>
      <c r="C142" s="206">
        <v>2</v>
      </c>
      <c r="D142" s="206">
        <f>(B142*C142)-B142</f>
        <v>1</v>
      </c>
      <c r="E142" s="193">
        <f>SUM($D$2:D142)/SUM($B$2:B142)</f>
        <v>0.23724113475177305</v>
      </c>
      <c r="F142" s="163">
        <f>F141+D142</f>
        <v>33.451000000000001</v>
      </c>
      <c r="G142" s="194" t="s">
        <v>1007</v>
      </c>
      <c r="H142" s="183"/>
      <c r="I142" s="184"/>
      <c r="J142" s="184"/>
      <c r="K142" s="18"/>
      <c r="Q142"/>
    </row>
    <row r="143" spans="1:17" s="184" customFormat="1">
      <c r="A143" s="554">
        <v>45930</v>
      </c>
      <c r="B143" s="103">
        <v>1</v>
      </c>
      <c r="C143" s="41"/>
      <c r="D143" s="41">
        <f>(B143*C143)-B143</f>
        <v>-1</v>
      </c>
      <c r="E143" s="47">
        <f>SUM($D$2:D143)/SUM($B$2:B143)</f>
        <v>0.22852816901408451</v>
      </c>
      <c r="F143" s="37">
        <f>F142+D143</f>
        <v>32.451000000000001</v>
      </c>
      <c r="G143" s="129" t="s">
        <v>1015</v>
      </c>
      <c r="H143" s="183"/>
      <c r="K143" s="234"/>
    </row>
    <row r="144" spans="1:17" s="184" customFormat="1" ht="15.75" thickBot="1">
      <c r="A144" s="563"/>
      <c r="B144" s="105">
        <v>1</v>
      </c>
      <c r="C144" s="218"/>
      <c r="D144" s="218">
        <f>(B144*C144)-B144</f>
        <v>-1</v>
      </c>
      <c r="E144" s="59">
        <f>SUM($D$2:D144)/SUM($B$2:B144)</f>
        <v>0.21993706293706294</v>
      </c>
      <c r="F144" s="38">
        <f>F143+D144</f>
        <v>31.451000000000001</v>
      </c>
      <c r="G144" s="141" t="s">
        <v>1016</v>
      </c>
      <c r="H144" s="183"/>
      <c r="K144" s="234"/>
    </row>
    <row r="145" spans="1:18" s="184" customFormat="1">
      <c r="A145" s="554">
        <v>45931</v>
      </c>
      <c r="B145" s="41">
        <v>1</v>
      </c>
      <c r="C145" s="41">
        <v>2.0699999999999998</v>
      </c>
      <c r="D145" s="41">
        <f>(B145*C145)-B145</f>
        <v>1.0699999999999998</v>
      </c>
      <c r="E145" s="47">
        <f>SUM($D$2:D145)/SUM($B$2:B145)</f>
        <v>0.22584027777777779</v>
      </c>
      <c r="F145" s="37">
        <f>F144+D145</f>
        <v>32.521000000000001</v>
      </c>
      <c r="G145" s="129" t="s">
        <v>1015</v>
      </c>
      <c r="H145" s="183"/>
      <c r="K145" s="234"/>
    </row>
    <row r="146" spans="1:18" s="184" customFormat="1" ht="15.75" thickBot="1">
      <c r="A146" s="563"/>
      <c r="B146" s="218">
        <v>1</v>
      </c>
      <c r="C146" s="218">
        <v>2.2200000000000002</v>
      </c>
      <c r="D146" s="218">
        <f>(B146*C146)-B146</f>
        <v>1.2200000000000002</v>
      </c>
      <c r="E146" s="59">
        <f>SUM($D$2:D146)/SUM($B$2:B146)</f>
        <v>0.23269655172413792</v>
      </c>
      <c r="F146" s="38">
        <f>F145+D146</f>
        <v>33.741</v>
      </c>
      <c r="G146" s="141" t="s">
        <v>1016</v>
      </c>
      <c r="H146" s="183"/>
      <c r="K146" s="234"/>
    </row>
    <row r="147" spans="1:18" s="184" customFormat="1">
      <c r="A147" s="554">
        <v>45932</v>
      </c>
      <c r="B147" s="41">
        <v>1</v>
      </c>
      <c r="C147" s="41"/>
      <c r="D147" s="41">
        <f>(B147*C147)-B147</f>
        <v>-1</v>
      </c>
      <c r="E147" s="47">
        <f>SUM($D$2:D147)/SUM($B$2:B147)</f>
        <v>0.22425342465753426</v>
      </c>
      <c r="F147" s="37">
        <f>F146+D147</f>
        <v>32.741</v>
      </c>
      <c r="G147" s="129" t="s">
        <v>1015</v>
      </c>
      <c r="H147" s="183"/>
      <c r="K147" s="234"/>
    </row>
    <row r="148" spans="1:18" s="184" customFormat="1">
      <c r="A148" s="563"/>
      <c r="B148" s="218">
        <v>1</v>
      </c>
      <c r="C148" s="218"/>
      <c r="D148" s="218">
        <f>(B148*C148)-B148</f>
        <v>-1</v>
      </c>
      <c r="E148" s="59">
        <f>SUM($D$2:D148)/SUM($B$2:B148)</f>
        <v>0.21592517006802722</v>
      </c>
      <c r="F148" s="38">
        <f>F147+D148</f>
        <v>31.741</v>
      </c>
      <c r="G148" s="141" t="s">
        <v>1016</v>
      </c>
      <c r="H148" s="183"/>
      <c r="K148" s="234"/>
    </row>
    <row r="149" spans="1:18" s="184" customFormat="1">
      <c r="A149" s="524">
        <v>45934</v>
      </c>
      <c r="B149" s="222">
        <v>1</v>
      </c>
      <c r="C149" s="223">
        <v>1.97</v>
      </c>
      <c r="D149" s="223">
        <f>(B149*C149)-B149</f>
        <v>0.97</v>
      </c>
      <c r="E149" s="224">
        <f>SUM($D$2:D149)/SUM($B$2:B149)</f>
        <v>0.22102027027027027</v>
      </c>
      <c r="F149" s="225">
        <f t="shared" ref="F149:F156" si="4">F148+D149</f>
        <v>32.710999999999999</v>
      </c>
      <c r="G149" s="274" t="s">
        <v>1017</v>
      </c>
      <c r="H149" s="183"/>
      <c r="K149" s="234"/>
    </row>
    <row r="150" spans="1:18" s="184" customFormat="1">
      <c r="A150" s="524">
        <v>45936</v>
      </c>
      <c r="B150" s="222">
        <v>1</v>
      </c>
      <c r="C150" s="223"/>
      <c r="D150" s="223">
        <f>(B150*C150)-B150</f>
        <v>-1</v>
      </c>
      <c r="E150" s="224">
        <f>SUM($D$2:D150)/SUM($B$2:B150)</f>
        <v>0.21282550335570469</v>
      </c>
      <c r="F150" s="225">
        <f t="shared" si="4"/>
        <v>31.710999999999999</v>
      </c>
      <c r="G150" s="226" t="s">
        <v>1018</v>
      </c>
      <c r="H150" s="183"/>
      <c r="K150" s="234"/>
    </row>
    <row r="151" spans="1:18" s="184" customFormat="1">
      <c r="A151" s="524">
        <v>45937</v>
      </c>
      <c r="B151" s="222">
        <v>1</v>
      </c>
      <c r="C151" s="223"/>
      <c r="D151" s="223">
        <f>(B151*C151)-B151</f>
        <v>-1</v>
      </c>
      <c r="E151" s="224">
        <f>SUM($D$2:D151)/SUM($B$2:B151)</f>
        <v>0.20473999999999998</v>
      </c>
      <c r="F151" s="225">
        <f t="shared" si="4"/>
        <v>30.710999999999999</v>
      </c>
      <c r="G151" s="226" t="s">
        <v>1019</v>
      </c>
      <c r="H151" s="183"/>
      <c r="K151" s="234"/>
    </row>
    <row r="152" spans="1:18" s="184" customFormat="1">
      <c r="A152" s="554">
        <v>45938</v>
      </c>
      <c r="B152" s="165">
        <v>1</v>
      </c>
      <c r="C152" s="204"/>
      <c r="D152" s="204">
        <f>(B152*C152)-B152</f>
        <v>-1</v>
      </c>
      <c r="E152" s="191">
        <f>SUM($D$2:D152)/SUM($B$2:B152)</f>
        <v>0.19676158940397351</v>
      </c>
      <c r="F152" s="161">
        <f t="shared" si="4"/>
        <v>29.710999999999999</v>
      </c>
      <c r="G152" s="169" t="s">
        <v>965</v>
      </c>
      <c r="H152" s="183"/>
      <c r="K152" s="234"/>
    </row>
    <row r="153" spans="1:18" s="184" customFormat="1">
      <c r="A153" s="555"/>
      <c r="B153" s="167">
        <v>1</v>
      </c>
      <c r="C153" s="205">
        <v>1.92</v>
      </c>
      <c r="D153" s="205">
        <f>(B153*C153)-B153</f>
        <v>0.91999999999999993</v>
      </c>
      <c r="E153" s="154">
        <f>SUM($D$2:D153)/SUM($B$2:B153)</f>
        <v>0.20151973684210525</v>
      </c>
      <c r="F153" s="150">
        <f t="shared" si="4"/>
        <v>30.631</v>
      </c>
      <c r="G153" s="155" t="s">
        <v>928</v>
      </c>
      <c r="H153" s="183"/>
      <c r="K153" s="234"/>
    </row>
    <row r="154" spans="1:18" s="184" customFormat="1">
      <c r="A154" s="563"/>
      <c r="B154" s="170">
        <v>1</v>
      </c>
      <c r="C154" s="206"/>
      <c r="D154" s="206">
        <f>(B154*C154)-B154</f>
        <v>-1</v>
      </c>
      <c r="E154" s="193">
        <f>SUM($D$2:D154)/SUM($B$2:B154)</f>
        <v>0.19366666666666668</v>
      </c>
      <c r="F154" s="163">
        <f t="shared" si="4"/>
        <v>29.631</v>
      </c>
      <c r="G154" s="194" t="s">
        <v>1019</v>
      </c>
      <c r="H154" s="183"/>
      <c r="K154" s="234"/>
    </row>
    <row r="155" spans="1:18" s="184" customFormat="1">
      <c r="A155" s="524">
        <v>45942</v>
      </c>
      <c r="B155" s="222">
        <v>1</v>
      </c>
      <c r="C155" s="225">
        <v>1.97</v>
      </c>
      <c r="D155" s="225">
        <f t="shared" ref="D155" si="5">(B155*C155)-B155</f>
        <v>0.97</v>
      </c>
      <c r="E155" s="224">
        <f>SUM($D$2:D155)/SUM($B$2:B155)</f>
        <v>0.19870779220779219</v>
      </c>
      <c r="F155" s="225">
        <f t="shared" si="4"/>
        <v>30.600999999999999</v>
      </c>
      <c r="G155" s="226" t="s">
        <v>1020</v>
      </c>
      <c r="H155" s="183"/>
      <c r="K155" s="234"/>
    </row>
    <row r="156" spans="1:18" s="184" customFormat="1">
      <c r="A156" s="524">
        <v>45946</v>
      </c>
      <c r="B156" s="251">
        <v>1</v>
      </c>
      <c r="C156" s="251"/>
      <c r="D156" s="251">
        <f>(B156*C156)-B156</f>
        <v>-1</v>
      </c>
      <c r="E156" s="252">
        <f>SUM($D$2:D156)/SUM($B$2:B156)</f>
        <v>0.1909741935483871</v>
      </c>
      <c r="F156" s="253">
        <f t="shared" si="4"/>
        <v>29.600999999999999</v>
      </c>
      <c r="G156" s="279" t="s">
        <v>1021</v>
      </c>
      <c r="H156" s="183"/>
      <c r="K156" s="234"/>
    </row>
    <row r="157" spans="1:18">
      <c r="A157" s="521"/>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1022</v>
      </c>
      <c r="C160" s="556" t="s">
        <v>1023</v>
      </c>
      <c r="D160" s="557"/>
      <c r="E160" s="558"/>
      <c r="H160" s="559">
        <f>100</f>
        <v>100</v>
      </c>
      <c r="I160" s="560"/>
      <c r="J160" s="16" t="s">
        <v>1024</v>
      </c>
      <c r="K160" s="559">
        <v>100</v>
      </c>
      <c r="L160" s="560"/>
      <c r="M160" s="16" t="s">
        <v>1024</v>
      </c>
      <c r="N160" s="19"/>
      <c r="O160" s="138"/>
      <c r="P160" s="58"/>
    </row>
    <row r="161" spans="1:16" ht="15" customHeight="1">
      <c r="A161">
        <f>COUNT(B2:B157)</f>
        <v>155</v>
      </c>
      <c r="B161" s="1"/>
      <c r="C161" s="156">
        <f>I161</f>
        <v>5</v>
      </c>
      <c r="D161" s="573">
        <v>1.32</v>
      </c>
      <c r="E161" s="157">
        <f>C161*D161-C161</f>
        <v>1.6000000000000005</v>
      </c>
      <c r="F161" s="15"/>
      <c r="G161" s="147" t="s">
        <v>1025</v>
      </c>
      <c r="H161" s="75">
        <f>H164/100</f>
        <v>1</v>
      </c>
      <c r="I161" s="149">
        <f>H161*5</f>
        <v>5</v>
      </c>
      <c r="J161" s="3" t="s">
        <v>1026</v>
      </c>
      <c r="K161" s="75">
        <f>K164/100</f>
        <v>1.2960099999999999</v>
      </c>
      <c r="L161" s="149">
        <f>K161*5</f>
        <v>6.4800499999999994</v>
      </c>
      <c r="M161" s="3" t="s">
        <v>1026</v>
      </c>
    </row>
    <row r="162" spans="1:16" ht="15" customHeight="1">
      <c r="A162" t="s">
        <v>1027</v>
      </c>
      <c r="B162" s="99"/>
      <c r="C162" s="135">
        <f>E162/(D161-1)</f>
        <v>9.3749999999999982</v>
      </c>
      <c r="D162" s="574"/>
      <c r="E162" s="136">
        <v>3</v>
      </c>
      <c r="F162" s="15"/>
      <c r="G162" s="147" t="s">
        <v>1028</v>
      </c>
      <c r="H162" s="127">
        <f>SUM(H2:H157)</f>
        <v>0</v>
      </c>
      <c r="I162" s="148"/>
      <c r="J162" s="3" t="s">
        <v>1029</v>
      </c>
      <c r="K162" s="127">
        <f>D158</f>
        <v>29.600999999999999</v>
      </c>
      <c r="L162" s="148"/>
      <c r="M162" s="3" t="s">
        <v>1029</v>
      </c>
    </row>
    <row r="163" spans="1:16">
      <c r="A163" s="18">
        <f>COUNT(C2:C157)/A161</f>
        <v>0.59354838709677415</v>
      </c>
      <c r="B163" s="18"/>
      <c r="D163" s="15">
        <f>1/A163</f>
        <v>1.6847826086956523</v>
      </c>
      <c r="E163" s="15"/>
      <c r="F163" s="15"/>
      <c r="G163" s="147" t="s">
        <v>1030</v>
      </c>
      <c r="H163" s="569">
        <f>(H162-I162)</f>
        <v>0</v>
      </c>
      <c r="I163" s="570"/>
      <c r="J163" s="128"/>
      <c r="K163" s="569">
        <f>(K162-L162)</f>
        <v>29.600999999999999</v>
      </c>
      <c r="L163" s="570"/>
      <c r="M163" s="128"/>
    </row>
    <row r="164" spans="1:16">
      <c r="A164" t="s">
        <v>4</v>
      </c>
      <c r="G164" s="147" t="s">
        <v>1031</v>
      </c>
      <c r="H164" s="571">
        <f>H160+H163</f>
        <v>100</v>
      </c>
      <c r="I164" s="572"/>
      <c r="J164" s="128">
        <f>130-H164</f>
        <v>30</v>
      </c>
      <c r="K164" s="571">
        <f>K160+K163</f>
        <v>129.601</v>
      </c>
      <c r="L164" s="572"/>
      <c r="M164" s="128"/>
      <c r="O164" s="235">
        <v>74.147999999999996</v>
      </c>
      <c r="P164" s="18"/>
    </row>
    <row r="165" spans="1:16">
      <c r="A165" s="18">
        <f>D158/B158</f>
        <v>0.1909741935483871</v>
      </c>
      <c r="F165" s="158"/>
      <c r="G165" s="147" t="s">
        <v>1032</v>
      </c>
      <c r="H165" s="45">
        <f>(H164-H160)/H160</f>
        <v>0</v>
      </c>
      <c r="I165" s="46">
        <f>B158/H160</f>
        <v>1.55</v>
      </c>
      <c r="J165" t="s">
        <v>1033</v>
      </c>
      <c r="K165" s="45">
        <f>(K164-K160)/K160</f>
        <v>0.29601</v>
      </c>
      <c r="L165" s="46">
        <f>B158/K160</f>
        <v>1.55</v>
      </c>
      <c r="M165" t="s">
        <v>1033</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470</v>
      </c>
      <c r="B209" s="140">
        <f>SUM(B2:B19)</f>
        <v>18</v>
      </c>
      <c r="C209" s="140"/>
      <c r="D209" s="140">
        <f>SUM(D2:D19)</f>
        <v>-3.4100000000000006</v>
      </c>
      <c r="E209" s="144">
        <f t="shared" ref="E209:E210" si="6">D209/B209</f>
        <v>-0.18944444444444447</v>
      </c>
      <c r="F209" s="18"/>
      <c r="G209" s="221" t="s">
        <v>469</v>
      </c>
    </row>
    <row r="210" spans="1:7">
      <c r="A210" s="139" t="s">
        <v>471</v>
      </c>
      <c r="B210" s="140">
        <f>SUM(B20:B51)</f>
        <v>32</v>
      </c>
      <c r="C210" s="140"/>
      <c r="D210" s="140">
        <f>SUM(D20:D51)</f>
        <v>5.9859999999999989</v>
      </c>
      <c r="E210" s="144">
        <f t="shared" si="6"/>
        <v>0.18706249999999996</v>
      </c>
      <c r="G210" s="220"/>
    </row>
    <row r="211" spans="1:7">
      <c r="A211" s="139" t="s">
        <v>472</v>
      </c>
      <c r="B211" s="140">
        <f>SUM(B52:B99)</f>
        <v>48</v>
      </c>
      <c r="C211" s="140"/>
      <c r="D211" s="140">
        <f>SUM(D52:D99)</f>
        <v>13.212000000000007</v>
      </c>
      <c r="E211" s="144">
        <f t="shared" ref="E211" si="7">D211/B211</f>
        <v>0.27525000000000016</v>
      </c>
      <c r="G211" s="220"/>
    </row>
    <row r="212" spans="1:7">
      <c r="A212" s="139" t="s">
        <v>474</v>
      </c>
      <c r="B212" s="140">
        <f>SUM(B100:B157)</f>
        <v>57</v>
      </c>
      <c r="C212" s="140"/>
      <c r="D212" s="140">
        <f>SUM(D100:D157)</f>
        <v>13.812999999999999</v>
      </c>
      <c r="E212" s="144">
        <f t="shared" ref="E212" si="8">D212/B212</f>
        <v>0.24233333333333332</v>
      </c>
      <c r="G212" s="220"/>
    </row>
    <row r="213" spans="1:7">
      <c r="A213" s="139" t="s">
        <v>475</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485</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1034</v>
      </c>
      <c r="P1" s="246" t="s">
        <v>1035</v>
      </c>
      <c r="Q1" s="248" t="s">
        <v>5</v>
      </c>
      <c r="R1" s="246"/>
      <c r="T1" s="568" t="s">
        <v>925</v>
      </c>
      <c r="U1" s="568"/>
      <c r="V1" s="568"/>
      <c r="W1" s="568"/>
    </row>
    <row r="2" spans="1:23">
      <c r="A2" s="525">
        <v>45905</v>
      </c>
      <c r="B2" s="257">
        <v>1</v>
      </c>
      <c r="C2" s="258">
        <v>3.04</v>
      </c>
      <c r="D2" s="258">
        <f>(B2*C2)-B2</f>
        <v>2.04</v>
      </c>
      <c r="E2" s="259">
        <f>SUM($D$2:D2)/SUM($B$2:B2)</f>
        <v>2.04</v>
      </c>
      <c r="F2" s="258">
        <f>D2</f>
        <v>2.04</v>
      </c>
      <c r="G2" s="260" t="s">
        <v>926</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931</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936</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945</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946</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9">
        <v>45917</v>
      </c>
      <c r="B7" s="165">
        <v>1</v>
      </c>
      <c r="C7" s="204">
        <v>3.14</v>
      </c>
      <c r="D7" s="204">
        <f t="shared" si="2"/>
        <v>2.14</v>
      </c>
      <c r="E7" s="191">
        <f>SUM($D$2:D7)/SUM($B$2:B7)</f>
        <v>1.0033333333333334</v>
      </c>
      <c r="F7" s="161">
        <f t="shared" si="4"/>
        <v>6.0200000000000005</v>
      </c>
      <c r="G7" s="200" t="s">
        <v>966</v>
      </c>
      <c r="H7" s="183"/>
      <c r="I7" s="184"/>
      <c r="J7" s="184"/>
      <c r="K7" s="196"/>
      <c r="L7" s="197"/>
      <c r="M7" s="198"/>
      <c r="N7" s="199"/>
      <c r="O7" s="18"/>
      <c r="P7" s="234"/>
      <c r="R7" s="18"/>
    </row>
    <row r="8" spans="1:23">
      <c r="A8" s="580"/>
      <c r="B8" s="170">
        <v>1</v>
      </c>
      <c r="C8" s="206">
        <v>2.81</v>
      </c>
      <c r="D8" s="206">
        <f t="shared" si="2"/>
        <v>1.81</v>
      </c>
      <c r="E8" s="193">
        <f>SUM($D$2:D8)/SUM($B$2:B8)</f>
        <v>1.1185714285714285</v>
      </c>
      <c r="F8" s="163">
        <f t="shared" si="4"/>
        <v>7.83</v>
      </c>
      <c r="G8" s="202" t="s">
        <v>967</v>
      </c>
      <c r="H8" s="183"/>
      <c r="I8" s="184"/>
      <c r="J8" s="184"/>
      <c r="K8" s="196"/>
      <c r="L8" s="197"/>
      <c r="M8" s="198"/>
      <c r="N8" s="199"/>
      <c r="O8" s="18"/>
      <c r="P8" s="234"/>
      <c r="R8" s="18"/>
    </row>
    <row r="9" spans="1:23">
      <c r="A9" s="579">
        <v>45921</v>
      </c>
      <c r="B9" s="165">
        <v>1</v>
      </c>
      <c r="C9" s="204"/>
      <c r="D9" s="204">
        <f t="shared" si="2"/>
        <v>-1</v>
      </c>
      <c r="E9" s="182">
        <f>SUM($D$2:D9)/SUM($B$2:B9)</f>
        <v>0.85375000000000001</v>
      </c>
      <c r="F9" s="161">
        <f t="shared" si="4"/>
        <v>6.83</v>
      </c>
      <c r="G9" s="200" t="s">
        <v>985</v>
      </c>
      <c r="H9" s="183"/>
      <c r="I9" s="184"/>
      <c r="J9" s="184"/>
      <c r="K9" s="196"/>
      <c r="L9" s="197"/>
      <c r="M9" s="198"/>
      <c r="N9" s="199"/>
      <c r="O9" s="18"/>
      <c r="P9" s="234"/>
      <c r="R9" s="18"/>
    </row>
    <row r="10" spans="1:23">
      <c r="A10" s="580"/>
      <c r="B10" s="230">
        <v>1</v>
      </c>
      <c r="C10" s="231"/>
      <c r="D10" s="231">
        <f t="shared" si="2"/>
        <v>-1</v>
      </c>
      <c r="E10" s="249">
        <f>SUM($D$2:D10)/SUM($B$2:B10)</f>
        <v>0.64777777777777779</v>
      </c>
      <c r="F10" s="232">
        <f t="shared" si="4"/>
        <v>5.83</v>
      </c>
      <c r="G10" s="250" t="s">
        <v>986</v>
      </c>
      <c r="H10" s="183"/>
      <c r="I10" s="184"/>
      <c r="J10" s="184"/>
      <c r="K10" s="196"/>
      <c r="L10" s="197"/>
      <c r="M10" s="198"/>
      <c r="N10" s="199"/>
      <c r="O10" s="18"/>
      <c r="P10" s="234"/>
      <c r="R10" s="18"/>
    </row>
    <row r="11" spans="1:23">
      <c r="A11" s="579">
        <v>45922</v>
      </c>
      <c r="B11" s="165">
        <v>1</v>
      </c>
      <c r="C11" s="204">
        <v>2.81</v>
      </c>
      <c r="D11" s="204">
        <f t="shared" si="2"/>
        <v>1.81</v>
      </c>
      <c r="E11" s="191">
        <f>SUM($D$2:D11)/SUM($B$2:B11)</f>
        <v>0.76400000000000001</v>
      </c>
      <c r="F11" s="161">
        <f t="shared" si="4"/>
        <v>7.6400000000000006</v>
      </c>
      <c r="G11" s="200" t="s">
        <v>945</v>
      </c>
      <c r="H11" s="183"/>
      <c r="I11" s="184"/>
      <c r="J11" s="184"/>
      <c r="K11" s="196"/>
      <c r="L11" s="197"/>
      <c r="M11" s="198"/>
      <c r="N11" s="199"/>
      <c r="O11" s="18"/>
      <c r="P11" s="234"/>
      <c r="R11" s="18"/>
    </row>
    <row r="12" spans="1:23">
      <c r="A12" s="580"/>
      <c r="B12" s="170">
        <v>1</v>
      </c>
      <c r="C12" s="206">
        <v>2.85</v>
      </c>
      <c r="D12" s="206">
        <f t="shared" si="2"/>
        <v>1.85</v>
      </c>
      <c r="E12" s="193">
        <f>SUM($D$2:D12)/SUM($B$2:B12)</f>
        <v>0.86272727272727279</v>
      </c>
      <c r="F12" s="163">
        <f t="shared" si="4"/>
        <v>9.49</v>
      </c>
      <c r="G12" s="202" t="s">
        <v>989</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1012</v>
      </c>
      <c r="H13" s="183"/>
      <c r="I13" s="184"/>
      <c r="J13" s="184"/>
      <c r="K13" s="196"/>
      <c r="L13" s="197"/>
      <c r="M13" s="198"/>
      <c r="N13" s="199"/>
      <c r="O13" s="18"/>
      <c r="P13" s="234"/>
      <c r="R13" s="18"/>
    </row>
    <row r="14" spans="1:23">
      <c r="A14" s="521"/>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1022</v>
      </c>
      <c r="C17" s="556" t="s">
        <v>1023</v>
      </c>
      <c r="D17" s="557"/>
      <c r="E17" s="558"/>
      <c r="H17" s="559">
        <f>100</f>
        <v>100</v>
      </c>
      <c r="I17" s="560"/>
      <c r="J17" s="16" t="s">
        <v>1024</v>
      </c>
      <c r="K17" s="559">
        <v>80.89</v>
      </c>
      <c r="L17" s="560"/>
      <c r="M17" s="16" t="s">
        <v>1024</v>
      </c>
      <c r="N17" s="19"/>
      <c r="O17" s="138"/>
      <c r="P17" s="58"/>
    </row>
    <row r="18" spans="1:16" ht="15" customHeight="1">
      <c r="A18">
        <f>COUNT(B2:B14)</f>
        <v>12</v>
      </c>
      <c r="B18" s="1"/>
      <c r="C18" s="156">
        <f>I18</f>
        <v>5</v>
      </c>
      <c r="D18" s="573">
        <v>1.32</v>
      </c>
      <c r="E18" s="157">
        <f>C18*D18-C18</f>
        <v>1.6000000000000005</v>
      </c>
      <c r="F18" s="15"/>
      <c r="G18" s="147" t="s">
        <v>1025</v>
      </c>
      <c r="H18" s="75">
        <f>H21/100</f>
        <v>1</v>
      </c>
      <c r="I18" s="149">
        <f>H18*5</f>
        <v>5</v>
      </c>
      <c r="J18" s="3" t="s">
        <v>1026</v>
      </c>
      <c r="K18" s="75">
        <f>K21/100</f>
        <v>0.92230000000000001</v>
      </c>
      <c r="L18" s="149">
        <f>K18*5</f>
        <v>4.6115000000000004</v>
      </c>
      <c r="M18" s="3" t="s">
        <v>1026</v>
      </c>
    </row>
    <row r="19" spans="1:16" ht="15" customHeight="1">
      <c r="A19" t="s">
        <v>1027</v>
      </c>
      <c r="B19" s="99"/>
      <c r="C19" s="135">
        <f>E19/(D18-1)</f>
        <v>9.3749999999999982</v>
      </c>
      <c r="D19" s="574"/>
      <c r="E19" s="136">
        <v>3</v>
      </c>
      <c r="F19" s="15"/>
      <c r="G19" s="147" t="s">
        <v>1028</v>
      </c>
      <c r="H19" s="127">
        <f>SUM(H2:H14)</f>
        <v>0</v>
      </c>
      <c r="I19" s="148"/>
      <c r="J19" s="3" t="s">
        <v>1029</v>
      </c>
      <c r="K19" s="127">
        <f>D15</f>
        <v>11.34</v>
      </c>
      <c r="L19" s="148"/>
      <c r="M19" s="3" t="s">
        <v>1029</v>
      </c>
    </row>
    <row r="20" spans="1:16">
      <c r="A20" s="18">
        <f>COUNT(C2:C14)/A18</f>
        <v>0.66666666666666663</v>
      </c>
      <c r="B20" s="18"/>
      <c r="D20" s="15">
        <f>1/A20</f>
        <v>1.5</v>
      </c>
      <c r="E20" s="15"/>
      <c r="F20" s="15"/>
      <c r="G20" s="147" t="s">
        <v>1030</v>
      </c>
      <c r="H20" s="569">
        <f>(H19-I19)</f>
        <v>0</v>
      </c>
      <c r="I20" s="570"/>
      <c r="J20" s="128"/>
      <c r="K20" s="569">
        <f>(K19-L19)</f>
        <v>11.34</v>
      </c>
      <c r="L20" s="570"/>
      <c r="M20" s="128"/>
    </row>
    <row r="21" spans="1:16">
      <c r="A21" t="s">
        <v>4</v>
      </c>
      <c r="G21" s="147" t="s">
        <v>1031</v>
      </c>
      <c r="H21" s="571">
        <f>H17+H20</f>
        <v>100</v>
      </c>
      <c r="I21" s="572"/>
      <c r="J21" s="128">
        <f>130-H21</f>
        <v>30</v>
      </c>
      <c r="K21" s="571">
        <f>K17+K20</f>
        <v>92.23</v>
      </c>
      <c r="L21" s="572"/>
      <c r="M21" s="128"/>
      <c r="O21" s="235">
        <v>74.147999999999996</v>
      </c>
      <c r="P21" s="18"/>
    </row>
    <row r="22" spans="1:16">
      <c r="A22" s="18">
        <f>D15/B15</f>
        <v>0.94499999999999995</v>
      </c>
      <c r="F22" s="158"/>
      <c r="G22" s="147" t="s">
        <v>1032</v>
      </c>
      <c r="H22" s="45">
        <f>(H21-H17)/H17</f>
        <v>0</v>
      </c>
      <c r="I22" s="46">
        <f>B15/H17</f>
        <v>0.12</v>
      </c>
      <c r="J22" t="s">
        <v>1033</v>
      </c>
      <c r="K22" s="45">
        <f>(K21-K17)/K17</f>
        <v>0.14019038200024728</v>
      </c>
      <c r="L22" s="46">
        <f>B15/K17</f>
        <v>0.14834961058227222</v>
      </c>
      <c r="M22" t="s">
        <v>1033</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6" t="s">
        <v>468</v>
      </c>
      <c r="B40" s="132" t="s">
        <v>1</v>
      </c>
      <c r="C40" s="527"/>
      <c r="E40" s="134" t="s">
        <v>4</v>
      </c>
    </row>
    <row r="42" spans="1:37">
      <c r="D42" s="7" t="s">
        <v>3</v>
      </c>
    </row>
    <row r="43" spans="1:37">
      <c r="B43" s="21" t="s">
        <v>1036</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470</v>
      </c>
      <c r="B66" s="140">
        <f>SUM(B2:B4)</f>
        <v>3</v>
      </c>
      <c r="C66" s="140"/>
      <c r="D66" s="140">
        <f>SUM(D2:D4)</f>
        <v>4.0000000000000036E-2</v>
      </c>
      <c r="E66" s="152">
        <f t="shared" ref="E66:E67" si="11">D66/B66</f>
        <v>1.3333333333333345E-2</v>
      </c>
      <c r="F66" s="18"/>
      <c r="G66" s="221" t="s">
        <v>469</v>
      </c>
    </row>
    <row r="67" spans="1:7">
      <c r="A67" s="139" t="s">
        <v>471</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485</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8" t="s">
        <v>925</v>
      </c>
      <c r="N1" s="568"/>
      <c r="O1" s="568"/>
      <c r="P1" s="568"/>
      <c r="Q1"/>
    </row>
    <row r="2" spans="1:17">
      <c r="A2" s="529">
        <v>45905</v>
      </c>
      <c r="B2" s="204">
        <v>1</v>
      </c>
      <c r="C2" s="161">
        <v>1.93</v>
      </c>
      <c r="D2" s="161">
        <f t="shared" ref="D2:D65" si="0">(B2*C2)-B2</f>
        <v>0.92999999999999994</v>
      </c>
      <c r="E2" s="191">
        <f>SUM($D$2:D2)/SUM($B$2:B2)</f>
        <v>0.92999999999999994</v>
      </c>
      <c r="F2" s="161">
        <f>D2</f>
        <v>0.92999999999999994</v>
      </c>
      <c r="G2" s="169" t="s">
        <v>927</v>
      </c>
      <c r="H2" s="183"/>
      <c r="I2" s="184"/>
      <c r="J2" s="184"/>
      <c r="Q2"/>
    </row>
    <row r="3" spans="1:17">
      <c r="A3" s="530"/>
      <c r="B3" s="153">
        <v>1</v>
      </c>
      <c r="C3" s="151">
        <v>1.86</v>
      </c>
      <c r="D3" s="151">
        <f t="shared" si="0"/>
        <v>0.8600000000000001</v>
      </c>
      <c r="E3" s="190">
        <f>SUM($D$2:D3)/SUM($B$2:B3)</f>
        <v>0.89500000000000002</v>
      </c>
      <c r="F3" s="151">
        <f t="shared" ref="F3:F66" si="1">F2+D3</f>
        <v>1.79</v>
      </c>
      <c r="G3" s="192" t="s">
        <v>928</v>
      </c>
      <c r="H3" s="183"/>
      <c r="I3" s="184"/>
      <c r="J3" s="184"/>
      <c r="Q3"/>
    </row>
    <row r="4" spans="1:17">
      <c r="A4" s="530"/>
      <c r="B4" s="205">
        <v>1</v>
      </c>
      <c r="C4" s="150">
        <v>2.0099999999999998</v>
      </c>
      <c r="D4" s="150">
        <f t="shared" si="0"/>
        <v>1.0099999999999998</v>
      </c>
      <c r="E4" s="154">
        <f>SUM($D$2:D4)/SUM($B$2:B4)</f>
        <v>0.93333333333333324</v>
      </c>
      <c r="F4" s="150">
        <f t="shared" si="1"/>
        <v>2.8</v>
      </c>
      <c r="G4" s="189" t="s">
        <v>929</v>
      </c>
      <c r="H4" s="183"/>
      <c r="I4" s="184"/>
      <c r="J4" s="184"/>
      <c r="Q4"/>
    </row>
    <row r="5" spans="1:17" ht="15.75" thickBot="1">
      <c r="A5" s="531"/>
      <c r="B5" s="206">
        <v>1</v>
      </c>
      <c r="C5" s="163"/>
      <c r="D5" s="163">
        <f t="shared" si="0"/>
        <v>-1</v>
      </c>
      <c r="E5" s="193">
        <f>SUM($D$2:D5)/SUM($B$2:B5)</f>
        <v>0.44999999999999996</v>
      </c>
      <c r="F5" s="163">
        <f t="shared" si="1"/>
        <v>1.7999999999999998</v>
      </c>
      <c r="G5" s="194" t="s">
        <v>930</v>
      </c>
      <c r="H5" s="183"/>
      <c r="I5" s="184"/>
      <c r="J5" s="184"/>
      <c r="Q5"/>
    </row>
    <row r="6" spans="1:17">
      <c r="A6" s="564">
        <v>45906</v>
      </c>
      <c r="B6" s="165">
        <v>1</v>
      </c>
      <c r="C6" s="204"/>
      <c r="D6" s="204">
        <f t="shared" si="0"/>
        <v>-1</v>
      </c>
      <c r="E6" s="191">
        <f>SUM($D$2:D6)/SUM($B$2:B6)</f>
        <v>0.15999999999999998</v>
      </c>
      <c r="F6" s="161">
        <f t="shared" si="1"/>
        <v>0.79999999999999982</v>
      </c>
      <c r="G6" s="210" t="s">
        <v>928</v>
      </c>
      <c r="H6" s="183"/>
      <c r="I6" s="184"/>
      <c r="J6" s="184"/>
      <c r="K6" s="18"/>
      <c r="M6" s="2"/>
      <c r="N6" s="18"/>
      <c r="Q6"/>
    </row>
    <row r="7" spans="1:17">
      <c r="A7" s="565"/>
      <c r="B7" s="167">
        <v>1</v>
      </c>
      <c r="C7" s="205"/>
      <c r="D7" s="205">
        <f t="shared" si="0"/>
        <v>-1</v>
      </c>
      <c r="E7" s="154">
        <f>SUM($D$2:D7)/SUM($B$2:B7)</f>
        <v>-3.3333333333333361E-2</v>
      </c>
      <c r="F7" s="150">
        <f t="shared" si="1"/>
        <v>-0.20000000000000018</v>
      </c>
      <c r="G7" s="201" t="s">
        <v>932</v>
      </c>
      <c r="H7" s="183"/>
      <c r="I7" s="184"/>
      <c r="J7" s="184"/>
      <c r="K7" s="18"/>
      <c r="M7" s="2"/>
      <c r="N7" s="18"/>
      <c r="Q7"/>
    </row>
    <row r="8" spans="1:17">
      <c r="A8" s="565"/>
      <c r="B8" s="167">
        <v>1</v>
      </c>
      <c r="C8" s="205"/>
      <c r="D8" s="205">
        <f t="shared" si="0"/>
        <v>-1</v>
      </c>
      <c r="E8" s="154">
        <f>SUM($D$2:D8)/SUM($B$2:B8)</f>
        <v>-0.17142857142857146</v>
      </c>
      <c r="F8" s="150">
        <f t="shared" si="1"/>
        <v>-1.2000000000000002</v>
      </c>
      <c r="G8" s="201" t="s">
        <v>933</v>
      </c>
      <c r="H8" s="183"/>
      <c r="I8" s="184"/>
      <c r="J8" s="184"/>
      <c r="K8" s="18"/>
      <c r="M8" s="2"/>
      <c r="N8" s="18"/>
      <c r="Q8"/>
    </row>
    <row r="9" spans="1:17">
      <c r="A9" s="565"/>
      <c r="B9" s="167">
        <v>1</v>
      </c>
      <c r="C9" s="205"/>
      <c r="D9" s="205">
        <f t="shared" si="0"/>
        <v>-1</v>
      </c>
      <c r="E9" s="154">
        <f>SUM($D$2:D9)/SUM($B$2:B9)</f>
        <v>-0.27500000000000002</v>
      </c>
      <c r="F9" s="150">
        <f t="shared" si="1"/>
        <v>-2.2000000000000002</v>
      </c>
      <c r="G9" s="201" t="s">
        <v>927</v>
      </c>
      <c r="H9" s="183"/>
      <c r="I9" s="184"/>
      <c r="J9" s="184"/>
      <c r="K9" s="18"/>
      <c r="M9" s="2"/>
      <c r="N9" s="18"/>
      <c r="Q9"/>
    </row>
    <row r="10" spans="1:17">
      <c r="A10" s="565"/>
      <c r="B10" s="167">
        <v>1</v>
      </c>
      <c r="C10" s="205"/>
      <c r="D10" s="205">
        <f t="shared" si="0"/>
        <v>-1</v>
      </c>
      <c r="E10" s="154">
        <f>SUM($D$2:D10)/SUM($B$2:B10)</f>
        <v>-0.35555555555555557</v>
      </c>
      <c r="F10" s="150">
        <f t="shared" si="1"/>
        <v>-3.2</v>
      </c>
      <c r="G10" s="201" t="s">
        <v>934</v>
      </c>
      <c r="H10" s="183"/>
      <c r="I10" s="184"/>
      <c r="J10" s="184"/>
      <c r="K10" s="18"/>
      <c r="M10" s="2"/>
      <c r="N10" s="18"/>
      <c r="Q10"/>
    </row>
    <row r="11" spans="1:17" ht="15.75" thickBot="1">
      <c r="A11" s="584"/>
      <c r="B11" s="170">
        <v>1</v>
      </c>
      <c r="C11" s="206">
        <v>1.97</v>
      </c>
      <c r="D11" s="206">
        <f t="shared" si="0"/>
        <v>0.97</v>
      </c>
      <c r="E11" s="193">
        <f>SUM($D$2:D11)/SUM($B$2:B11)</f>
        <v>-0.22300000000000003</v>
      </c>
      <c r="F11" s="163">
        <f t="shared" si="1"/>
        <v>-2.2300000000000004</v>
      </c>
      <c r="G11" s="203" t="s">
        <v>935</v>
      </c>
      <c r="H11" s="183"/>
      <c r="I11" s="184"/>
      <c r="J11" s="184"/>
      <c r="K11" s="18"/>
      <c r="M11" s="2"/>
      <c r="N11" s="18"/>
      <c r="Q11"/>
    </row>
    <row r="12" spans="1:17">
      <c r="A12" s="585">
        <v>45907</v>
      </c>
      <c r="B12" s="204">
        <v>1</v>
      </c>
      <c r="C12" s="204"/>
      <c r="D12" s="204">
        <f t="shared" si="0"/>
        <v>-1</v>
      </c>
      <c r="E12" s="191">
        <f>SUM($D$2:D12)/SUM($B$2:B12)</f>
        <v>-0.2936363636363637</v>
      </c>
      <c r="F12" s="161">
        <f t="shared" si="1"/>
        <v>-3.2300000000000004</v>
      </c>
      <c r="G12" s="210" t="s">
        <v>937</v>
      </c>
      <c r="H12" s="183"/>
      <c r="I12" s="184"/>
      <c r="J12" s="184"/>
      <c r="K12" s="18"/>
      <c r="M12" s="2"/>
      <c r="N12" s="18"/>
      <c r="Q12"/>
    </row>
    <row r="13" spans="1:17">
      <c r="A13" s="586"/>
      <c r="B13" s="205">
        <v>1</v>
      </c>
      <c r="C13" s="205"/>
      <c r="D13" s="205">
        <f t="shared" si="0"/>
        <v>-1</v>
      </c>
      <c r="E13" s="154">
        <f>SUM($D$2:D13)/SUM($B$2:B13)</f>
        <v>-0.35250000000000004</v>
      </c>
      <c r="F13" s="150">
        <f t="shared" si="1"/>
        <v>-4.2300000000000004</v>
      </c>
      <c r="G13" s="201" t="s">
        <v>932</v>
      </c>
      <c r="H13" s="183"/>
      <c r="I13" s="184"/>
      <c r="J13" s="184"/>
      <c r="K13" s="18"/>
      <c r="M13" s="2"/>
      <c r="N13" s="18"/>
      <c r="Q13"/>
    </row>
    <row r="14" spans="1:17">
      <c r="A14" s="586"/>
      <c r="B14" s="205">
        <v>1</v>
      </c>
      <c r="C14" s="205">
        <v>1.9</v>
      </c>
      <c r="D14" s="205">
        <f t="shared" si="0"/>
        <v>0.89999999999999991</v>
      </c>
      <c r="E14" s="154">
        <f>SUM($D$2:D14)/SUM($B$2:B14)</f>
        <v>-0.25615384615384618</v>
      </c>
      <c r="F14" s="150">
        <f t="shared" si="1"/>
        <v>-3.3300000000000005</v>
      </c>
      <c r="G14" s="201" t="s">
        <v>928</v>
      </c>
      <c r="H14" s="183"/>
      <c r="I14" s="184"/>
      <c r="J14" s="184"/>
      <c r="K14" s="18"/>
      <c r="M14" s="2"/>
      <c r="N14" s="18"/>
      <c r="Q14"/>
    </row>
    <row r="15" spans="1:17">
      <c r="A15" s="586"/>
      <c r="B15" s="205">
        <v>1</v>
      </c>
      <c r="C15" s="205">
        <v>1.88</v>
      </c>
      <c r="D15" s="205">
        <f t="shared" si="0"/>
        <v>0.87999999999999989</v>
      </c>
      <c r="E15" s="154">
        <f>SUM($D$2:D15)/SUM($B$2:B15)</f>
        <v>-0.17500000000000004</v>
      </c>
      <c r="F15" s="150">
        <f t="shared" si="1"/>
        <v>-2.4500000000000006</v>
      </c>
      <c r="G15" s="201" t="s">
        <v>938</v>
      </c>
      <c r="H15" s="183"/>
      <c r="I15" s="184"/>
      <c r="J15" s="184"/>
      <c r="K15" s="18"/>
      <c r="M15" s="2"/>
      <c r="N15" s="18"/>
      <c r="Q15"/>
    </row>
    <row r="16" spans="1:17" ht="15.75" thickBot="1">
      <c r="A16" s="587"/>
      <c r="B16" s="153">
        <v>1</v>
      </c>
      <c r="C16" s="153"/>
      <c r="D16" s="153">
        <f t="shared" si="0"/>
        <v>-1</v>
      </c>
      <c r="E16" s="190">
        <f>SUM($D$2:D16)/SUM($B$2:B16)</f>
        <v>-0.23000000000000004</v>
      </c>
      <c r="F16" s="151">
        <f t="shared" si="1"/>
        <v>-3.4500000000000006</v>
      </c>
      <c r="G16" s="211" t="s">
        <v>934</v>
      </c>
      <c r="H16" s="183"/>
      <c r="I16" s="184"/>
      <c r="J16" s="184"/>
      <c r="K16" s="58"/>
      <c r="M16" s="2"/>
      <c r="N16" s="18"/>
      <c r="Q16"/>
    </row>
    <row r="17" spans="1:17">
      <c r="A17" s="529">
        <v>45908</v>
      </c>
      <c r="B17" s="204">
        <v>1</v>
      </c>
      <c r="C17" s="204"/>
      <c r="D17" s="204">
        <f t="shared" si="0"/>
        <v>-1</v>
      </c>
      <c r="E17" s="191">
        <f>SUM($D$2:D17)/SUM($B$2:B17)</f>
        <v>-0.27812500000000007</v>
      </c>
      <c r="F17" s="161">
        <f t="shared" si="1"/>
        <v>-4.4500000000000011</v>
      </c>
      <c r="G17" s="210" t="s">
        <v>939</v>
      </c>
      <c r="H17" s="183"/>
      <c r="I17" s="184"/>
      <c r="J17" s="184"/>
      <c r="K17" s="18"/>
      <c r="M17" s="2"/>
      <c r="N17" s="18"/>
      <c r="Q17"/>
    </row>
    <row r="18" spans="1:17">
      <c r="A18" s="530"/>
      <c r="B18" s="205">
        <v>1</v>
      </c>
      <c r="C18" s="205"/>
      <c r="D18" s="205">
        <f t="shared" si="0"/>
        <v>-1</v>
      </c>
      <c r="E18" s="154">
        <f>SUM($D$2:D18)/SUM($B$2:B18)</f>
        <v>-0.32058823529411773</v>
      </c>
      <c r="F18" s="150">
        <f t="shared" si="1"/>
        <v>-5.4500000000000011</v>
      </c>
      <c r="G18" s="201" t="s">
        <v>940</v>
      </c>
      <c r="H18" s="183"/>
      <c r="I18" s="184"/>
      <c r="J18" s="184"/>
      <c r="K18" s="18"/>
      <c r="M18" s="2"/>
      <c r="N18" s="18"/>
      <c r="Q18"/>
    </row>
    <row r="19" spans="1:17">
      <c r="A19" s="530"/>
      <c r="B19" s="205">
        <v>1</v>
      </c>
      <c r="C19" s="205">
        <v>1.909</v>
      </c>
      <c r="D19" s="205">
        <f t="shared" si="0"/>
        <v>0.90900000000000003</v>
      </c>
      <c r="E19" s="154">
        <f>SUM($D$2:D19)/SUM($B$2:B19)</f>
        <v>-0.25227777777777782</v>
      </c>
      <c r="F19" s="150">
        <f t="shared" si="1"/>
        <v>-4.5410000000000013</v>
      </c>
      <c r="G19" s="201" t="s">
        <v>941</v>
      </c>
      <c r="H19" s="183"/>
      <c r="I19" s="184"/>
      <c r="J19" s="184"/>
      <c r="K19" s="18"/>
      <c r="M19" s="2"/>
      <c r="N19" s="18"/>
      <c r="Q19"/>
    </row>
    <row r="20" spans="1:17" ht="15.75" thickBot="1">
      <c r="A20" s="530"/>
      <c r="B20" s="153">
        <v>1</v>
      </c>
      <c r="C20" s="153"/>
      <c r="D20" s="153">
        <f t="shared" si="0"/>
        <v>-1</v>
      </c>
      <c r="E20" s="190">
        <f>SUM($D$2:D20)/SUM($B$2:B20)</f>
        <v>-0.29163157894736846</v>
      </c>
      <c r="F20" s="151">
        <f t="shared" si="1"/>
        <v>-5.5410000000000013</v>
      </c>
      <c r="G20" s="211" t="s">
        <v>942</v>
      </c>
      <c r="H20" s="183"/>
      <c r="I20" s="184"/>
      <c r="J20" s="184"/>
      <c r="K20" s="18"/>
      <c r="M20" s="2"/>
      <c r="N20" s="18"/>
      <c r="Q20"/>
    </row>
    <row r="21" spans="1:17">
      <c r="A21" s="567">
        <v>45909</v>
      </c>
      <c r="B21" s="165">
        <v>1</v>
      </c>
      <c r="C21" s="204">
        <v>1.74</v>
      </c>
      <c r="D21" s="204">
        <f t="shared" si="0"/>
        <v>0.74</v>
      </c>
      <c r="E21" s="191">
        <f>SUM($D$2:D21)/SUM($B$2:B21)</f>
        <v>-0.24005000000000004</v>
      </c>
      <c r="F21" s="161">
        <f t="shared" si="1"/>
        <v>-4.801000000000001</v>
      </c>
      <c r="G21" s="210" t="s">
        <v>943</v>
      </c>
      <c r="H21" s="183"/>
      <c r="I21" s="184"/>
      <c r="J21" s="184"/>
      <c r="K21" s="18"/>
      <c r="M21" s="2"/>
      <c r="N21" s="18"/>
      <c r="Q21"/>
    </row>
    <row r="22" spans="1:17">
      <c r="A22" s="532"/>
      <c r="B22" s="167">
        <v>1</v>
      </c>
      <c r="C22" s="205">
        <v>1.89</v>
      </c>
      <c r="D22" s="205">
        <f t="shared" si="0"/>
        <v>0.8899999999999999</v>
      </c>
      <c r="E22" s="154">
        <f>SUM($D$2:D22)/SUM($B$2:B22)</f>
        <v>-0.18623809523809531</v>
      </c>
      <c r="F22" s="150">
        <f t="shared" si="1"/>
        <v>-3.9110000000000014</v>
      </c>
      <c r="G22" s="201" t="s">
        <v>944</v>
      </c>
      <c r="H22" s="183"/>
      <c r="I22" s="184"/>
      <c r="J22" s="184"/>
      <c r="K22" s="18"/>
      <c r="M22" s="2"/>
      <c r="N22" s="18"/>
      <c r="Q22"/>
    </row>
    <row r="23" spans="1:17" ht="15.75" thickBot="1">
      <c r="A23" s="532"/>
      <c r="B23" s="170">
        <v>1</v>
      </c>
      <c r="C23" s="206"/>
      <c r="D23" s="206">
        <f t="shared" si="0"/>
        <v>-1</v>
      </c>
      <c r="E23" s="193">
        <f>SUM($D$2:D23)/SUM($B$2:B23)</f>
        <v>-0.2232272727272728</v>
      </c>
      <c r="F23" s="163">
        <f t="shared" si="1"/>
        <v>-4.9110000000000014</v>
      </c>
      <c r="G23" s="203" t="s">
        <v>942</v>
      </c>
      <c r="H23" s="183"/>
      <c r="I23" s="184"/>
      <c r="J23" s="184"/>
      <c r="K23" s="18"/>
      <c r="M23" s="2"/>
      <c r="N23" s="18"/>
      <c r="Q23"/>
    </row>
    <row r="24" spans="1:17">
      <c r="A24" s="554">
        <v>45910</v>
      </c>
      <c r="B24" s="204">
        <v>1</v>
      </c>
      <c r="C24" s="204">
        <v>1.7270000000000001</v>
      </c>
      <c r="D24" s="204">
        <f t="shared" si="0"/>
        <v>0.72700000000000009</v>
      </c>
      <c r="E24" s="191">
        <f>SUM($D$2:D24)/SUM($B$2:B24)</f>
        <v>-0.18191304347826093</v>
      </c>
      <c r="F24" s="161">
        <f t="shared" si="1"/>
        <v>-4.1840000000000011</v>
      </c>
      <c r="G24" s="210" t="s">
        <v>943</v>
      </c>
      <c r="H24" s="183"/>
      <c r="I24" s="184"/>
      <c r="J24" s="184"/>
      <c r="K24" s="18"/>
      <c r="Q24"/>
    </row>
    <row r="25" spans="1:17">
      <c r="A25" s="555"/>
      <c r="B25" s="205">
        <v>1</v>
      </c>
      <c r="C25" s="205"/>
      <c r="D25" s="205">
        <f t="shared" si="0"/>
        <v>-1</v>
      </c>
      <c r="E25" s="154">
        <f>SUM($D$2:D25)/SUM($B$2:B25)</f>
        <v>-0.21600000000000005</v>
      </c>
      <c r="F25" s="150">
        <f t="shared" si="1"/>
        <v>-5.1840000000000011</v>
      </c>
      <c r="G25" s="201" t="s">
        <v>941</v>
      </c>
      <c r="H25" s="183"/>
      <c r="I25" s="184"/>
      <c r="J25" s="184"/>
      <c r="K25" s="18"/>
      <c r="Q25"/>
    </row>
    <row r="26" spans="1:17" ht="15.75" thickBot="1">
      <c r="A26" s="563"/>
      <c r="B26" s="206">
        <v>1</v>
      </c>
      <c r="C26" s="206"/>
      <c r="D26" s="206">
        <f t="shared" si="0"/>
        <v>-1</v>
      </c>
      <c r="E26" s="193">
        <f>SUM($D$2:D26)/SUM($B$2:B26)</f>
        <v>-0.24736000000000005</v>
      </c>
      <c r="F26" s="163">
        <f t="shared" si="1"/>
        <v>-6.1840000000000011</v>
      </c>
      <c r="G26" s="211" t="s">
        <v>944</v>
      </c>
      <c r="H26" s="183"/>
      <c r="I26" s="184"/>
      <c r="J26" s="184"/>
      <c r="K26" s="18"/>
      <c r="Q26"/>
    </row>
    <row r="27" spans="1:17">
      <c r="A27" s="581">
        <v>45911</v>
      </c>
      <c r="B27" s="204">
        <v>1</v>
      </c>
      <c r="C27" s="204">
        <v>1.92</v>
      </c>
      <c r="D27" s="204">
        <f t="shared" si="0"/>
        <v>0.91999999999999993</v>
      </c>
      <c r="E27" s="191">
        <f>SUM($D$2:D27)/SUM($B$2:B27)</f>
        <v>-0.2024615384615385</v>
      </c>
      <c r="F27" s="161">
        <f t="shared" si="1"/>
        <v>-5.2640000000000011</v>
      </c>
      <c r="G27" s="210" t="s">
        <v>947</v>
      </c>
      <c r="H27" s="183"/>
      <c r="I27" s="184"/>
      <c r="J27" s="184"/>
      <c r="K27" s="18"/>
      <c r="Q27"/>
    </row>
    <row r="28" spans="1:17" ht="15.75" thickBot="1">
      <c r="A28" s="582"/>
      <c r="B28" s="206">
        <v>1</v>
      </c>
      <c r="C28" s="206">
        <v>1.98</v>
      </c>
      <c r="D28" s="206">
        <f t="shared" si="0"/>
        <v>0.98</v>
      </c>
      <c r="E28" s="193">
        <f>SUM($D$2:D28)/SUM($B$2:B28)</f>
        <v>-0.15866666666666671</v>
      </c>
      <c r="F28" s="163">
        <f t="shared" si="1"/>
        <v>-4.2840000000000007</v>
      </c>
      <c r="G28" s="211" t="s">
        <v>948</v>
      </c>
      <c r="H28" s="183"/>
      <c r="I28" s="184"/>
      <c r="J28" s="184"/>
      <c r="K28" s="18"/>
      <c r="Q28"/>
    </row>
    <row r="29" spans="1:17">
      <c r="A29" s="581">
        <v>45912</v>
      </c>
      <c r="B29" s="204">
        <v>1</v>
      </c>
      <c r="C29" s="204">
        <v>1.76</v>
      </c>
      <c r="D29" s="204">
        <f t="shared" si="0"/>
        <v>0.76</v>
      </c>
      <c r="E29" s="191">
        <f>SUM($D$2:D29)/SUM($B$2:B29)</f>
        <v>-0.12585714285714289</v>
      </c>
      <c r="F29" s="161">
        <f t="shared" si="1"/>
        <v>-3.5240000000000009</v>
      </c>
      <c r="G29" s="210" t="s">
        <v>949</v>
      </c>
      <c r="H29" s="183"/>
      <c r="I29" s="184"/>
      <c r="J29" s="184"/>
      <c r="K29" s="18"/>
      <c r="Q29"/>
    </row>
    <row r="30" spans="1:17">
      <c r="A30" s="583"/>
      <c r="B30" s="205">
        <v>1</v>
      </c>
      <c r="C30" s="205"/>
      <c r="D30" s="205">
        <f t="shared" si="0"/>
        <v>-1</v>
      </c>
      <c r="E30" s="154">
        <f>SUM($D$2:D30)/SUM($B$2:B30)</f>
        <v>-0.15600000000000003</v>
      </c>
      <c r="F30" s="150">
        <f t="shared" si="1"/>
        <v>-4.5240000000000009</v>
      </c>
      <c r="G30" s="201" t="s">
        <v>950</v>
      </c>
      <c r="H30" s="183"/>
      <c r="I30" s="184"/>
      <c r="J30" s="184"/>
      <c r="K30" s="18"/>
      <c r="Q30"/>
    </row>
    <row r="31" spans="1:17">
      <c r="A31" s="583"/>
      <c r="B31" s="205">
        <v>1</v>
      </c>
      <c r="C31" s="205">
        <v>1.93</v>
      </c>
      <c r="D31" s="205">
        <f t="shared" si="0"/>
        <v>0.92999999999999994</v>
      </c>
      <c r="E31" s="154">
        <f>SUM($D$2:D31)/SUM($B$2:B31)</f>
        <v>-0.11980000000000005</v>
      </c>
      <c r="F31" s="150">
        <f t="shared" si="1"/>
        <v>-3.5940000000000012</v>
      </c>
      <c r="G31" s="201" t="s">
        <v>951</v>
      </c>
      <c r="H31" s="183"/>
      <c r="I31" s="184"/>
      <c r="J31" s="184"/>
      <c r="K31" s="18"/>
      <c r="Q31"/>
    </row>
    <row r="32" spans="1:17">
      <c r="A32" s="583"/>
      <c r="B32" s="205">
        <v>1</v>
      </c>
      <c r="C32" s="205"/>
      <c r="D32" s="205">
        <f t="shared" si="0"/>
        <v>-1</v>
      </c>
      <c r="E32" s="154">
        <f>SUM($D$2:D32)/SUM($B$2:B32)</f>
        <v>-0.14819354838709681</v>
      </c>
      <c r="F32" s="150">
        <f t="shared" si="1"/>
        <v>-4.5940000000000012</v>
      </c>
      <c r="G32" s="201" t="s">
        <v>952</v>
      </c>
      <c r="H32" s="183"/>
      <c r="I32" s="184"/>
      <c r="J32" s="184"/>
      <c r="K32" s="18"/>
      <c r="Q32"/>
    </row>
    <row r="33" spans="1:17" ht="15.75" thickBot="1">
      <c r="A33" s="582"/>
      <c r="B33" s="206">
        <v>1</v>
      </c>
      <c r="C33" s="206">
        <v>1.89</v>
      </c>
      <c r="D33" s="206">
        <f t="shared" si="0"/>
        <v>0.8899999999999999</v>
      </c>
      <c r="E33" s="193">
        <f>SUM($D$2:D33)/SUM($B$2:B33)</f>
        <v>-0.11575000000000005</v>
      </c>
      <c r="F33" s="163">
        <f t="shared" si="1"/>
        <v>-3.7040000000000015</v>
      </c>
      <c r="G33" s="202" t="s">
        <v>953</v>
      </c>
      <c r="H33" s="183"/>
      <c r="I33" s="184"/>
      <c r="J33" s="184"/>
      <c r="K33" s="18"/>
      <c r="Q33"/>
    </row>
    <row r="34" spans="1:17">
      <c r="A34" s="554">
        <v>45913</v>
      </c>
      <c r="B34" s="204">
        <v>1</v>
      </c>
      <c r="C34" s="204">
        <v>1.89</v>
      </c>
      <c r="D34" s="204">
        <f t="shared" si="0"/>
        <v>0.8899999999999999</v>
      </c>
      <c r="E34" s="191">
        <f>SUM($D$2:D34)/SUM($B$2:B34)</f>
        <v>-8.5272727272727333E-2</v>
      </c>
      <c r="F34" s="161">
        <f t="shared" si="1"/>
        <v>-2.8140000000000018</v>
      </c>
      <c r="G34" s="210" t="s">
        <v>954</v>
      </c>
      <c r="H34" s="183"/>
      <c r="I34" s="184"/>
      <c r="J34" s="184"/>
      <c r="K34" s="18"/>
      <c r="Q34"/>
    </row>
    <row r="35" spans="1:17">
      <c r="A35" s="555"/>
      <c r="B35" s="205">
        <v>1</v>
      </c>
      <c r="C35" s="205">
        <v>2.02</v>
      </c>
      <c r="D35" s="205">
        <f t="shared" si="0"/>
        <v>1.02</v>
      </c>
      <c r="E35" s="154">
        <f>SUM($D$2:D35)/SUM($B$2:B35)</f>
        <v>-5.2764705882352991E-2</v>
      </c>
      <c r="F35" s="150">
        <f t="shared" si="1"/>
        <v>-1.7940000000000018</v>
      </c>
      <c r="G35" s="201" t="s">
        <v>955</v>
      </c>
      <c r="H35" s="183"/>
      <c r="I35" s="184"/>
      <c r="J35" s="184"/>
      <c r="K35" s="18"/>
      <c r="Q35"/>
    </row>
    <row r="36" spans="1:17">
      <c r="A36" s="555"/>
      <c r="B36" s="205">
        <v>1</v>
      </c>
      <c r="C36" s="205">
        <v>1.92</v>
      </c>
      <c r="D36" s="205">
        <f t="shared" si="0"/>
        <v>0.91999999999999993</v>
      </c>
      <c r="E36" s="154">
        <f>SUM($D$2:D36)/SUM($B$2:B36)</f>
        <v>-2.4971428571428627E-2</v>
      </c>
      <c r="F36" s="150">
        <f t="shared" si="1"/>
        <v>-0.87400000000000189</v>
      </c>
      <c r="G36" s="201" t="s">
        <v>953</v>
      </c>
      <c r="H36" s="183"/>
      <c r="I36" s="184"/>
      <c r="J36" s="184"/>
      <c r="K36" s="18"/>
      <c r="Q36"/>
    </row>
    <row r="37" spans="1:17">
      <c r="A37" s="555"/>
      <c r="B37" s="205">
        <v>1</v>
      </c>
      <c r="C37" s="205"/>
      <c r="D37" s="205">
        <f t="shared" si="0"/>
        <v>-1</v>
      </c>
      <c r="E37" s="154">
        <f>SUM($D$2:D37)/SUM($B$2:B37)</f>
        <v>-5.2055555555555605E-2</v>
      </c>
      <c r="F37" s="150">
        <f t="shared" si="1"/>
        <v>-1.8740000000000019</v>
      </c>
      <c r="G37" s="201" t="s">
        <v>949</v>
      </c>
      <c r="H37" s="183"/>
      <c r="I37" s="184"/>
      <c r="J37" s="184"/>
      <c r="K37" s="18"/>
      <c r="Q37"/>
    </row>
    <row r="38" spans="1:17">
      <c r="A38" s="555"/>
      <c r="B38" s="205">
        <v>1</v>
      </c>
      <c r="C38" s="205"/>
      <c r="D38" s="205">
        <f t="shared" si="0"/>
        <v>-1</v>
      </c>
      <c r="E38" s="154">
        <f>SUM($D$2:D38)/SUM($B$2:B38)</f>
        <v>-7.7675675675675723E-2</v>
      </c>
      <c r="F38" s="150">
        <f t="shared" si="1"/>
        <v>-2.8740000000000019</v>
      </c>
      <c r="G38" s="201" t="s">
        <v>956</v>
      </c>
      <c r="H38" s="183"/>
      <c r="I38" s="184"/>
      <c r="J38" s="184"/>
      <c r="K38" s="18"/>
      <c r="Q38"/>
    </row>
    <row r="39" spans="1:17">
      <c r="A39" s="555"/>
      <c r="B39" s="205">
        <v>1</v>
      </c>
      <c r="C39" s="205">
        <v>1.98</v>
      </c>
      <c r="D39" s="205">
        <f t="shared" si="0"/>
        <v>0.98</v>
      </c>
      <c r="E39" s="154">
        <f>SUM($D$2:D39)/SUM($B$2:B39)</f>
        <v>-4.9842105263157944E-2</v>
      </c>
      <c r="F39" s="150">
        <f t="shared" si="1"/>
        <v>-1.8940000000000019</v>
      </c>
      <c r="G39" s="201" t="s">
        <v>957</v>
      </c>
      <c r="H39" s="183"/>
      <c r="I39" s="184"/>
      <c r="J39" s="184"/>
      <c r="K39" s="18"/>
      <c r="Q39"/>
    </row>
    <row r="40" spans="1:17" ht="15.75" thickBot="1">
      <c r="A40" s="563"/>
      <c r="B40" s="206">
        <v>1</v>
      </c>
      <c r="C40" s="206">
        <v>1.9</v>
      </c>
      <c r="D40" s="206">
        <f t="shared" si="0"/>
        <v>0.89999999999999991</v>
      </c>
      <c r="E40" s="193">
        <f>SUM($D$2:D40)/SUM($B$2:B40)</f>
        <v>-2.5487179487179538E-2</v>
      </c>
      <c r="F40" s="163">
        <f t="shared" si="1"/>
        <v>-0.99400000000000199</v>
      </c>
      <c r="G40" s="202" t="s">
        <v>958</v>
      </c>
      <c r="H40" s="183"/>
      <c r="I40" s="184"/>
      <c r="J40" s="184"/>
      <c r="K40" s="18"/>
      <c r="Q40"/>
    </row>
    <row r="41" spans="1:17">
      <c r="A41" s="554">
        <v>45914</v>
      </c>
      <c r="B41" s="204">
        <v>1</v>
      </c>
      <c r="C41" s="204"/>
      <c r="D41" s="204">
        <f t="shared" si="0"/>
        <v>-1</v>
      </c>
      <c r="E41" s="191">
        <f>SUM($D$2:D41)/SUM($B$2:B41)</f>
        <v>-4.9850000000000047E-2</v>
      </c>
      <c r="F41" s="161">
        <f t="shared" si="1"/>
        <v>-1.994000000000002</v>
      </c>
      <c r="G41" s="210" t="s">
        <v>958</v>
      </c>
      <c r="H41" s="183"/>
      <c r="I41" s="184"/>
      <c r="J41" s="184"/>
      <c r="K41" s="18"/>
      <c r="Q41"/>
    </row>
    <row r="42" spans="1:17">
      <c r="A42" s="555"/>
      <c r="B42" s="205">
        <v>1</v>
      </c>
      <c r="C42" s="205">
        <v>1.88</v>
      </c>
      <c r="D42" s="205">
        <f t="shared" si="0"/>
        <v>0.87999999999999989</v>
      </c>
      <c r="E42" s="154">
        <f>SUM($D$2:D42)/SUM($B$2:B42)</f>
        <v>-2.7170731707317125E-2</v>
      </c>
      <c r="F42" s="150">
        <f t="shared" si="1"/>
        <v>-1.1140000000000021</v>
      </c>
      <c r="G42" s="201" t="s">
        <v>959</v>
      </c>
      <c r="H42" s="183"/>
      <c r="I42" s="184"/>
      <c r="J42" s="184"/>
      <c r="K42" s="18"/>
      <c r="Q42"/>
    </row>
    <row r="43" spans="1:17">
      <c r="A43" s="555"/>
      <c r="B43" s="205">
        <v>1</v>
      </c>
      <c r="C43" s="205">
        <v>2</v>
      </c>
      <c r="D43" s="205">
        <f t="shared" si="0"/>
        <v>1</v>
      </c>
      <c r="E43" s="154">
        <f>SUM($D$2:D43)/SUM($B$2:B43)</f>
        <v>-2.7142857142857641E-3</v>
      </c>
      <c r="F43" s="150">
        <f t="shared" si="1"/>
        <v>-0.1140000000000021</v>
      </c>
      <c r="G43" s="201" t="s">
        <v>953</v>
      </c>
      <c r="H43" s="183"/>
      <c r="I43" s="184"/>
      <c r="J43" s="184"/>
      <c r="K43" s="18"/>
      <c r="Q43"/>
    </row>
    <row r="44" spans="1:17">
      <c r="A44" s="555"/>
      <c r="B44" s="205">
        <v>1</v>
      </c>
      <c r="C44" s="205">
        <v>1.81</v>
      </c>
      <c r="D44" s="205">
        <f t="shared" si="0"/>
        <v>0.81</v>
      </c>
      <c r="E44" s="154">
        <f>SUM($D$2:D44)/SUM($B$2:B44)</f>
        <v>1.6186046511627861E-2</v>
      </c>
      <c r="F44" s="150">
        <f t="shared" si="1"/>
        <v>0.69599999999999795</v>
      </c>
      <c r="G44" s="201" t="s">
        <v>949</v>
      </c>
      <c r="H44" s="183"/>
      <c r="I44" s="184"/>
      <c r="J44" s="184"/>
      <c r="K44" s="18"/>
      <c r="Q44"/>
    </row>
    <row r="45" spans="1:17">
      <c r="A45" s="555"/>
      <c r="B45" s="205">
        <v>1</v>
      </c>
      <c r="C45" s="205"/>
      <c r="D45" s="205">
        <f t="shared" si="0"/>
        <v>-1</v>
      </c>
      <c r="E45" s="154">
        <f>SUM($D$2:D45)/SUM($B$2:B45)</f>
        <v>-6.9090909090909558E-3</v>
      </c>
      <c r="F45" s="150">
        <f t="shared" si="1"/>
        <v>-0.30400000000000205</v>
      </c>
      <c r="G45" s="201" t="s">
        <v>952</v>
      </c>
      <c r="H45" s="183"/>
      <c r="I45" s="184"/>
      <c r="J45" s="184"/>
      <c r="K45" s="18"/>
      <c r="Q45"/>
    </row>
    <row r="46" spans="1:17" ht="15.75" thickBot="1">
      <c r="A46" s="563"/>
      <c r="B46" s="206">
        <v>1</v>
      </c>
      <c r="C46" s="206"/>
      <c r="D46" s="206">
        <f t="shared" si="0"/>
        <v>-1</v>
      </c>
      <c r="E46" s="193">
        <f>SUM($D$2:D46)/SUM($B$2:B46)</f>
        <v>-2.8977777777777824E-2</v>
      </c>
      <c r="F46" s="163">
        <f t="shared" si="1"/>
        <v>-1.304000000000002</v>
      </c>
      <c r="G46" s="202" t="s">
        <v>957</v>
      </c>
      <c r="H46" s="183"/>
      <c r="I46" s="184"/>
      <c r="J46" s="184"/>
      <c r="K46" s="18"/>
      <c r="Q46"/>
    </row>
    <row r="47" spans="1:17">
      <c r="A47" s="554">
        <v>45915</v>
      </c>
      <c r="B47" s="205">
        <v>1</v>
      </c>
      <c r="C47" s="205">
        <v>1.84</v>
      </c>
      <c r="D47" s="205">
        <f t="shared" si="0"/>
        <v>0.84000000000000008</v>
      </c>
      <c r="E47" s="154">
        <f>SUM($D$2:D47)/SUM($B$2:B47)</f>
        <v>-1.0086956521739174E-2</v>
      </c>
      <c r="F47" s="150">
        <f t="shared" si="1"/>
        <v>-0.46400000000000197</v>
      </c>
      <c r="G47" s="201" t="s">
        <v>960</v>
      </c>
      <c r="H47" s="183"/>
      <c r="I47" s="184"/>
      <c r="J47" s="184"/>
      <c r="K47" s="18"/>
      <c r="Q47"/>
    </row>
    <row r="48" spans="1:17">
      <c r="A48" s="555"/>
      <c r="B48" s="205">
        <v>1</v>
      </c>
      <c r="C48" s="205">
        <v>1.97</v>
      </c>
      <c r="D48" s="205">
        <f t="shared" si="0"/>
        <v>0.97</v>
      </c>
      <c r="E48" s="154">
        <f>SUM($D$2:D48)/SUM($B$2:B48)</f>
        <v>1.0765957446808468E-2</v>
      </c>
      <c r="F48" s="150">
        <f t="shared" si="1"/>
        <v>0.50599999999999801</v>
      </c>
      <c r="G48" s="201" t="s">
        <v>961</v>
      </c>
      <c r="H48" s="183"/>
      <c r="I48" s="184"/>
      <c r="J48" s="184"/>
      <c r="K48" s="18"/>
      <c r="Q48"/>
    </row>
    <row r="49" spans="1:17" ht="15.75" thickBot="1">
      <c r="A49" s="563"/>
      <c r="B49" s="206">
        <v>1</v>
      </c>
      <c r="C49" s="206">
        <v>1.909</v>
      </c>
      <c r="D49" s="206">
        <f t="shared" si="0"/>
        <v>0.90900000000000003</v>
      </c>
      <c r="E49" s="193">
        <f>SUM($D$2:D49)/SUM($B$2:B49)</f>
        <v>2.9479166666666626E-2</v>
      </c>
      <c r="F49" s="163">
        <f t="shared" si="1"/>
        <v>1.414999999999998</v>
      </c>
      <c r="G49" s="202" t="s">
        <v>962</v>
      </c>
      <c r="H49" s="183"/>
      <c r="I49" s="184"/>
      <c r="J49" s="184"/>
      <c r="K49" s="18"/>
      <c r="Q49"/>
    </row>
    <row r="50" spans="1:17">
      <c r="A50" s="554">
        <v>45916</v>
      </c>
      <c r="B50" s="205">
        <v>1</v>
      </c>
      <c r="C50" s="205">
        <v>1.86</v>
      </c>
      <c r="D50" s="205">
        <f t="shared" si="0"/>
        <v>0.8600000000000001</v>
      </c>
      <c r="E50" s="154">
        <f>SUM($D$2:D50)/SUM($B$2:B50)</f>
        <v>4.6428571428571389E-2</v>
      </c>
      <c r="F50" s="150">
        <f t="shared" si="1"/>
        <v>2.2749999999999981</v>
      </c>
      <c r="G50" s="272" t="s">
        <v>960</v>
      </c>
      <c r="H50" s="183"/>
      <c r="I50" s="184"/>
      <c r="J50" s="184"/>
      <c r="K50" s="18"/>
      <c r="Q50"/>
    </row>
    <row r="51" spans="1:17">
      <c r="A51" s="555"/>
      <c r="B51" s="205">
        <v>1</v>
      </c>
      <c r="C51" s="205"/>
      <c r="D51" s="205">
        <f t="shared" si="0"/>
        <v>-1</v>
      </c>
      <c r="E51" s="154">
        <f>SUM($D$2:D51)/SUM($B$2:B51)</f>
        <v>2.5499999999999964E-2</v>
      </c>
      <c r="F51" s="150">
        <f t="shared" si="1"/>
        <v>1.2749999999999981</v>
      </c>
      <c r="G51" s="201" t="s">
        <v>963</v>
      </c>
      <c r="H51" s="183"/>
      <c r="I51" s="184"/>
      <c r="J51" s="184"/>
      <c r="K51" s="18"/>
      <c r="Q51"/>
    </row>
    <row r="52" spans="1:17">
      <c r="A52" s="555"/>
      <c r="B52" s="205">
        <v>1</v>
      </c>
      <c r="C52" s="205">
        <v>1.95</v>
      </c>
      <c r="D52" s="205">
        <f t="shared" si="0"/>
        <v>0.95</v>
      </c>
      <c r="E52" s="154">
        <f>SUM($D$2:D52)/SUM($B$2:B52)</f>
        <v>4.3627450980392113E-2</v>
      </c>
      <c r="F52" s="150">
        <f t="shared" si="1"/>
        <v>2.2249999999999979</v>
      </c>
      <c r="G52" s="201" t="s">
        <v>962</v>
      </c>
      <c r="H52" s="183"/>
      <c r="I52" s="184"/>
      <c r="J52" s="184"/>
      <c r="K52" s="18"/>
      <c r="Q52"/>
    </row>
    <row r="53" spans="1:17">
      <c r="A53" s="555"/>
      <c r="B53" s="205">
        <v>1</v>
      </c>
      <c r="C53" s="205">
        <v>1.98</v>
      </c>
      <c r="D53" s="205">
        <f t="shared" si="0"/>
        <v>0.98</v>
      </c>
      <c r="E53" s="154">
        <f>SUM($D$2:D53)/SUM($B$2:B53)</f>
        <v>6.1634615384615343E-2</v>
      </c>
      <c r="F53" s="150">
        <f t="shared" si="1"/>
        <v>3.2049999999999979</v>
      </c>
      <c r="G53" s="201" t="s">
        <v>961</v>
      </c>
      <c r="H53" s="183"/>
      <c r="I53" s="184"/>
      <c r="J53" s="184"/>
      <c r="K53" s="18"/>
      <c r="Q53"/>
    </row>
    <row r="54" spans="1:17">
      <c r="A54" s="555"/>
      <c r="B54" s="205">
        <v>1</v>
      </c>
      <c r="C54" s="205">
        <v>1.87</v>
      </c>
      <c r="D54" s="205">
        <f t="shared" si="0"/>
        <v>0.87000000000000011</v>
      </c>
      <c r="E54" s="154">
        <f>SUM($D$2:D54)/SUM($B$2:B54)</f>
        <v>7.6886792452830144E-2</v>
      </c>
      <c r="F54" s="150">
        <f t="shared" si="1"/>
        <v>4.0749999999999975</v>
      </c>
      <c r="G54" s="201" t="s">
        <v>964</v>
      </c>
      <c r="H54" s="183"/>
      <c r="I54" s="184"/>
      <c r="J54" s="184"/>
      <c r="K54" s="18"/>
      <c r="Q54"/>
    </row>
    <row r="55" spans="1:17" ht="15.75" thickBot="1">
      <c r="A55" s="563"/>
      <c r="B55" s="206">
        <v>1</v>
      </c>
      <c r="C55" s="206"/>
      <c r="D55" s="206">
        <f t="shared" si="0"/>
        <v>-1</v>
      </c>
      <c r="E55" s="193">
        <f>SUM($D$2:D55)/SUM($B$2:B55)</f>
        <v>5.6944444444444402E-2</v>
      </c>
      <c r="F55" s="163">
        <f t="shared" si="1"/>
        <v>3.0749999999999975</v>
      </c>
      <c r="G55" s="202" t="s">
        <v>965</v>
      </c>
      <c r="H55" s="183"/>
      <c r="I55" s="184"/>
      <c r="J55" s="184"/>
      <c r="K55" s="18"/>
      <c r="Q55"/>
    </row>
    <row r="56" spans="1:17">
      <c r="A56" s="554">
        <v>45917</v>
      </c>
      <c r="B56" s="207">
        <v>1</v>
      </c>
      <c r="C56" s="207">
        <v>2.0099999999999998</v>
      </c>
      <c r="D56" s="207">
        <f t="shared" si="0"/>
        <v>1.0099999999999998</v>
      </c>
      <c r="E56" s="195">
        <f>SUM($D$2:D56)/SUM($B$2:B56)</f>
        <v>7.4272727272727226E-2</v>
      </c>
      <c r="F56" s="162">
        <f t="shared" si="1"/>
        <v>4.0849999999999973</v>
      </c>
      <c r="G56" s="275" t="s">
        <v>968</v>
      </c>
      <c r="H56" s="183"/>
      <c r="I56" s="184"/>
      <c r="J56" s="184"/>
      <c r="K56" s="18"/>
      <c r="Q56"/>
    </row>
    <row r="57" spans="1:17">
      <c r="A57" s="555"/>
      <c r="B57" s="205">
        <v>1</v>
      </c>
      <c r="C57" s="205">
        <v>1.87</v>
      </c>
      <c r="D57" s="205">
        <f t="shared" si="0"/>
        <v>0.87000000000000011</v>
      </c>
      <c r="E57" s="154">
        <f>SUM($D$2:D57)/SUM($B$2:B57)</f>
        <v>8.8482142857142815E-2</v>
      </c>
      <c r="F57" s="150">
        <f t="shared" si="1"/>
        <v>4.9549999999999974</v>
      </c>
      <c r="G57" s="201" t="s">
        <v>969</v>
      </c>
      <c r="H57" s="183"/>
      <c r="I57" s="184"/>
      <c r="J57" s="184"/>
      <c r="K57" s="18"/>
      <c r="Q57"/>
    </row>
    <row r="58" spans="1:17">
      <c r="A58" s="555"/>
      <c r="B58" s="205">
        <v>1</v>
      </c>
      <c r="C58" s="205"/>
      <c r="D58" s="205">
        <f t="shared" si="0"/>
        <v>-1</v>
      </c>
      <c r="E58" s="154">
        <f>SUM($D$2:D58)/SUM($B$2:B58)</f>
        <v>6.9385964912280662E-2</v>
      </c>
      <c r="F58" s="150">
        <f t="shared" si="1"/>
        <v>3.9549999999999974</v>
      </c>
      <c r="G58" s="201" t="s">
        <v>960</v>
      </c>
      <c r="H58" s="183"/>
      <c r="I58" s="184"/>
      <c r="J58" s="184"/>
      <c r="K58" s="18"/>
      <c r="Q58"/>
    </row>
    <row r="59" spans="1:17">
      <c r="A59" s="555"/>
      <c r="B59" s="205">
        <v>1</v>
      </c>
      <c r="C59" s="205">
        <v>1.93</v>
      </c>
      <c r="D59" s="205">
        <f t="shared" si="0"/>
        <v>0.92999999999999994</v>
      </c>
      <c r="E59" s="154">
        <f>SUM($D$2:D59)/SUM($B$2:B59)</f>
        <v>8.4224137931034435E-2</v>
      </c>
      <c r="F59" s="150">
        <f t="shared" si="1"/>
        <v>4.8849999999999971</v>
      </c>
      <c r="G59" s="201" t="s">
        <v>970</v>
      </c>
      <c r="H59" s="183"/>
      <c r="I59" s="184"/>
      <c r="J59" s="184"/>
      <c r="K59" s="18"/>
      <c r="Q59"/>
    </row>
    <row r="60" spans="1:17">
      <c r="A60" s="555"/>
      <c r="B60" s="205">
        <v>1</v>
      </c>
      <c r="C60" s="205"/>
      <c r="D60" s="205">
        <f t="shared" si="0"/>
        <v>-1</v>
      </c>
      <c r="E60" s="154">
        <f>SUM($D$2:D60)/SUM($B$2:B60)</f>
        <v>6.5847457627118591E-2</v>
      </c>
      <c r="F60" s="150">
        <f t="shared" si="1"/>
        <v>3.8849999999999971</v>
      </c>
      <c r="G60" s="201" t="s">
        <v>971</v>
      </c>
      <c r="H60" s="183"/>
      <c r="I60" s="184"/>
      <c r="J60" s="184"/>
      <c r="K60" s="18"/>
      <c r="Q60"/>
    </row>
    <row r="61" spans="1:17" ht="15.75" thickBot="1">
      <c r="A61" s="563"/>
      <c r="B61" s="206">
        <v>1</v>
      </c>
      <c r="C61" s="206">
        <v>1.87</v>
      </c>
      <c r="D61" s="206">
        <f t="shared" si="0"/>
        <v>0.87000000000000011</v>
      </c>
      <c r="E61" s="193">
        <f>SUM($D$2:D61)/SUM($B$2:B61)</f>
        <v>7.9249999999999959E-2</v>
      </c>
      <c r="F61" s="163">
        <f t="shared" si="1"/>
        <v>4.7549999999999972</v>
      </c>
      <c r="G61" s="202" t="s">
        <v>964</v>
      </c>
      <c r="H61" s="183"/>
      <c r="I61" s="184"/>
      <c r="J61" s="184"/>
      <c r="K61" s="18"/>
      <c r="Q61"/>
    </row>
    <row r="62" spans="1:17">
      <c r="A62" s="554">
        <v>45918</v>
      </c>
      <c r="B62" s="204">
        <v>1</v>
      </c>
      <c r="C62" s="204"/>
      <c r="D62" s="204">
        <f t="shared" si="0"/>
        <v>-1</v>
      </c>
      <c r="E62" s="191">
        <f>SUM($D$2:D62)/SUM($B$2:B62)</f>
        <v>6.1557377049180281E-2</v>
      </c>
      <c r="F62" s="161">
        <f t="shared" si="1"/>
        <v>3.7549999999999972</v>
      </c>
      <c r="G62" s="201" t="s">
        <v>962</v>
      </c>
      <c r="H62" s="183"/>
      <c r="I62" s="184"/>
      <c r="J62" s="184"/>
      <c r="K62" s="18"/>
      <c r="Q62"/>
    </row>
    <row r="63" spans="1:17">
      <c r="A63" s="555"/>
      <c r="B63" s="205">
        <v>1</v>
      </c>
      <c r="C63" s="205">
        <v>1.87</v>
      </c>
      <c r="D63" s="205">
        <f t="shared" si="0"/>
        <v>0.87000000000000011</v>
      </c>
      <c r="E63" s="154">
        <f>SUM($D$2:D63)/SUM($B$2:B63)</f>
        <v>7.4596774193548349E-2</v>
      </c>
      <c r="F63" s="150">
        <f t="shared" si="1"/>
        <v>4.6249999999999973</v>
      </c>
      <c r="G63" s="201" t="s">
        <v>972</v>
      </c>
      <c r="H63" s="183"/>
      <c r="I63" s="184"/>
      <c r="J63" s="184"/>
      <c r="K63" s="18"/>
      <c r="Q63"/>
    </row>
    <row r="64" spans="1:17">
      <c r="A64" s="555"/>
      <c r="B64" s="205">
        <v>1</v>
      </c>
      <c r="C64" s="205">
        <v>1.9</v>
      </c>
      <c r="D64" s="205">
        <f t="shared" si="0"/>
        <v>0.89999999999999991</v>
      </c>
      <c r="E64" s="154">
        <f>SUM($D$2:D64)/SUM($B$2:B64)</f>
        <v>8.7698412698412651E-2</v>
      </c>
      <c r="F64" s="150">
        <f t="shared" si="1"/>
        <v>5.5249999999999968</v>
      </c>
      <c r="G64" s="201" t="s">
        <v>973</v>
      </c>
      <c r="H64" s="183"/>
      <c r="I64" s="184"/>
      <c r="J64" s="184"/>
      <c r="K64" s="18"/>
      <c r="Q64"/>
    </row>
    <row r="65" spans="1:17">
      <c r="A65" s="555"/>
      <c r="B65" s="205">
        <v>1</v>
      </c>
      <c r="C65" s="205"/>
      <c r="D65" s="205">
        <f t="shared" si="0"/>
        <v>-1</v>
      </c>
      <c r="E65" s="154">
        <f>SUM($D$2:D65)/SUM($B$2:B65)</f>
        <v>7.070312499999995E-2</v>
      </c>
      <c r="F65" s="150">
        <f t="shared" si="1"/>
        <v>4.5249999999999968</v>
      </c>
      <c r="G65" s="201" t="s">
        <v>974</v>
      </c>
      <c r="H65" s="183"/>
      <c r="I65" s="184"/>
      <c r="J65" s="184"/>
      <c r="K65" s="18"/>
      <c r="Q65"/>
    </row>
    <row r="66" spans="1:17">
      <c r="A66" s="555"/>
      <c r="B66" s="205">
        <v>1</v>
      </c>
      <c r="C66" s="205"/>
      <c r="D66" s="205">
        <f t="shared" ref="D66:D108" si="2">(B66*C66)-B66</f>
        <v>-1</v>
      </c>
      <c r="E66" s="154">
        <f>SUM($D$2:D66)/SUM($B$2:B66)</f>
        <v>5.423076923076918E-2</v>
      </c>
      <c r="F66" s="150">
        <f t="shared" si="1"/>
        <v>3.5249999999999968</v>
      </c>
      <c r="G66" s="201" t="s">
        <v>975</v>
      </c>
      <c r="H66" s="183"/>
      <c r="I66" s="184"/>
      <c r="J66" s="184"/>
      <c r="K66" s="18"/>
      <c r="Q66"/>
    </row>
    <row r="67" spans="1:17" ht="15.75" thickBot="1">
      <c r="A67" s="563"/>
      <c r="B67" s="206">
        <v>1</v>
      </c>
      <c r="C67" s="206"/>
      <c r="D67" s="206">
        <f t="shared" si="2"/>
        <v>-1</v>
      </c>
      <c r="E67" s="193">
        <f>SUM($D$2:D67)/SUM($B$2:B67)</f>
        <v>3.8257575757575712E-2</v>
      </c>
      <c r="F67" s="163">
        <f t="shared" ref="F67:F108" si="3">F66+D67</f>
        <v>2.5249999999999968</v>
      </c>
      <c r="G67" s="202" t="s">
        <v>976</v>
      </c>
      <c r="H67" s="183"/>
      <c r="I67" s="184"/>
      <c r="J67" s="184"/>
      <c r="K67" s="18"/>
      <c r="Q67"/>
    </row>
    <row r="68" spans="1:17">
      <c r="A68" s="554">
        <v>45919</v>
      </c>
      <c r="B68" s="204">
        <v>1</v>
      </c>
      <c r="C68" s="204">
        <v>2.0099999999999998</v>
      </c>
      <c r="D68" s="204">
        <f t="shared" si="2"/>
        <v>1.0099999999999998</v>
      </c>
      <c r="E68" s="191">
        <f>SUM($D$2:D68)/SUM($B$2:B68)</f>
        <v>5.2761194029850696E-2</v>
      </c>
      <c r="F68" s="161">
        <f t="shared" si="3"/>
        <v>3.5349999999999966</v>
      </c>
      <c r="G68" s="201" t="s">
        <v>977</v>
      </c>
      <c r="H68" s="183"/>
      <c r="I68" s="184"/>
      <c r="J68" s="184"/>
      <c r="K68" s="18"/>
      <c r="Q68"/>
    </row>
    <row r="69" spans="1:17">
      <c r="A69" s="555"/>
      <c r="B69" s="205">
        <v>1</v>
      </c>
      <c r="C69" s="205">
        <v>1.615</v>
      </c>
      <c r="D69" s="205">
        <f t="shared" si="2"/>
        <v>0.61499999999999999</v>
      </c>
      <c r="E69" s="154">
        <f>SUM($D$2:D69)/SUM($B$2:B69)</f>
        <v>6.1029411764705832E-2</v>
      </c>
      <c r="F69" s="150">
        <f t="shared" si="3"/>
        <v>4.1499999999999968</v>
      </c>
      <c r="G69" s="201" t="s">
        <v>978</v>
      </c>
      <c r="H69" s="183"/>
      <c r="I69" s="184"/>
      <c r="J69" s="184"/>
      <c r="K69" s="18"/>
      <c r="Q69"/>
    </row>
    <row r="70" spans="1:17">
      <c r="A70" s="555"/>
      <c r="B70" s="205">
        <v>1</v>
      </c>
      <c r="C70" s="205">
        <v>1.92</v>
      </c>
      <c r="D70" s="205">
        <f t="shared" si="2"/>
        <v>0.91999999999999993</v>
      </c>
      <c r="E70" s="154">
        <f>SUM($D$2:D70)/SUM($B$2:B70)</f>
        <v>7.3478260869565173E-2</v>
      </c>
      <c r="F70" s="150">
        <f t="shared" si="3"/>
        <v>5.0699999999999967</v>
      </c>
      <c r="G70" s="201" t="s">
        <v>975</v>
      </c>
      <c r="H70" s="183"/>
      <c r="I70" s="184"/>
      <c r="J70" s="184"/>
      <c r="K70" s="18"/>
      <c r="Q70"/>
    </row>
    <row r="71" spans="1:17">
      <c r="A71" s="555"/>
      <c r="B71" s="205">
        <v>1</v>
      </c>
      <c r="C71" s="205">
        <v>1.84</v>
      </c>
      <c r="D71" s="205">
        <f t="shared" si="2"/>
        <v>0.84000000000000008</v>
      </c>
      <c r="E71" s="154">
        <f>SUM($D$2:D71)/SUM($B$2:B71)</f>
        <v>8.4428571428571381E-2</v>
      </c>
      <c r="F71" s="150">
        <f t="shared" si="3"/>
        <v>5.9099999999999966</v>
      </c>
      <c r="G71" s="201" t="s">
        <v>979</v>
      </c>
      <c r="H71" s="183"/>
      <c r="I71" s="184"/>
      <c r="J71" s="184"/>
      <c r="K71" s="18"/>
      <c r="Q71"/>
    </row>
    <row r="72" spans="1:17">
      <c r="A72" s="555"/>
      <c r="B72" s="205">
        <v>1</v>
      </c>
      <c r="C72" s="205">
        <v>1.909</v>
      </c>
      <c r="D72" s="205">
        <f t="shared" si="2"/>
        <v>0.90900000000000003</v>
      </c>
      <c r="E72" s="154">
        <f>SUM($D$2:D72)/SUM($B$2:B72)</f>
        <v>9.6042253521126705E-2</v>
      </c>
      <c r="F72" s="150">
        <f t="shared" si="3"/>
        <v>6.8189999999999964</v>
      </c>
      <c r="G72" s="201" t="s">
        <v>980</v>
      </c>
      <c r="H72" s="183"/>
      <c r="I72" s="184"/>
      <c r="J72" s="184"/>
      <c r="K72" s="18"/>
      <c r="Q72"/>
    </row>
    <row r="73" spans="1:17">
      <c r="A73" s="555"/>
      <c r="B73" s="205">
        <v>1</v>
      </c>
      <c r="C73" s="205">
        <v>1.98</v>
      </c>
      <c r="D73" s="205">
        <f t="shared" si="2"/>
        <v>0.98</v>
      </c>
      <c r="E73" s="154">
        <f>SUM($D$2:D73)/SUM($B$2:B73)</f>
        <v>0.10831944444444438</v>
      </c>
      <c r="F73" s="150">
        <f t="shared" si="3"/>
        <v>7.7989999999999959</v>
      </c>
      <c r="G73" s="201" t="s">
        <v>981</v>
      </c>
      <c r="H73" s="183"/>
      <c r="I73" s="184"/>
      <c r="J73" s="184"/>
      <c r="K73" s="18"/>
      <c r="Q73"/>
    </row>
    <row r="74" spans="1:17">
      <c r="A74" s="555"/>
      <c r="B74" s="205">
        <v>1</v>
      </c>
      <c r="C74" s="205">
        <v>1.909</v>
      </c>
      <c r="D74" s="205">
        <f t="shared" si="2"/>
        <v>0.90900000000000003</v>
      </c>
      <c r="E74" s="154">
        <f>SUM($D$2:D74)/SUM($B$2:B74)</f>
        <v>0.11928767123287666</v>
      </c>
      <c r="F74" s="150">
        <f t="shared" si="3"/>
        <v>8.7079999999999966</v>
      </c>
      <c r="G74" s="201" t="s">
        <v>976</v>
      </c>
      <c r="H74" s="183"/>
      <c r="I74" s="184"/>
      <c r="J74" s="184"/>
      <c r="K74" s="18"/>
      <c r="Q74"/>
    </row>
    <row r="75" spans="1:17">
      <c r="A75" s="555"/>
      <c r="B75" s="205">
        <v>1</v>
      </c>
      <c r="C75" s="205">
        <v>2.06</v>
      </c>
      <c r="D75" s="205">
        <f t="shared" si="2"/>
        <v>1.06</v>
      </c>
      <c r="E75" s="154">
        <f>SUM($D$2:D75)/SUM($B$2:B75)</f>
        <v>0.13199999999999995</v>
      </c>
      <c r="F75" s="150">
        <f t="shared" si="3"/>
        <v>9.7679999999999971</v>
      </c>
      <c r="G75" s="201" t="s">
        <v>982</v>
      </c>
      <c r="H75" s="183"/>
      <c r="I75" s="184"/>
      <c r="J75" s="184"/>
      <c r="K75" s="18"/>
      <c r="Q75"/>
    </row>
    <row r="76" spans="1:17">
      <c r="A76" s="555"/>
      <c r="B76" s="205">
        <v>1</v>
      </c>
      <c r="C76" s="205"/>
      <c r="D76" s="205">
        <f t="shared" si="2"/>
        <v>-1</v>
      </c>
      <c r="E76" s="154">
        <f>SUM($D$2:D76)/SUM($B$2:B76)</f>
        <v>0.11690666666666663</v>
      </c>
      <c r="F76" s="150">
        <f t="shared" si="3"/>
        <v>8.7679999999999971</v>
      </c>
      <c r="G76" s="201" t="s">
        <v>973</v>
      </c>
      <c r="H76" s="183"/>
      <c r="I76" s="184"/>
      <c r="J76" s="184"/>
      <c r="K76" s="18"/>
      <c r="Q76"/>
    </row>
    <row r="77" spans="1:17" ht="15.75" thickBot="1">
      <c r="A77" s="563"/>
      <c r="B77" s="206">
        <v>1</v>
      </c>
      <c r="C77" s="206">
        <v>2.13</v>
      </c>
      <c r="D77" s="206">
        <f t="shared" si="2"/>
        <v>1.1299999999999999</v>
      </c>
      <c r="E77" s="193">
        <f>SUM($D$2:D77)/SUM($B$2:B77)</f>
        <v>0.1302368421052631</v>
      </c>
      <c r="F77" s="163">
        <f t="shared" si="3"/>
        <v>9.8979999999999961</v>
      </c>
      <c r="G77" s="202" t="s">
        <v>983</v>
      </c>
      <c r="H77" s="183"/>
      <c r="I77" s="184"/>
      <c r="J77" s="184"/>
      <c r="K77" s="18"/>
      <c r="Q77"/>
    </row>
    <row r="78" spans="1:17">
      <c r="A78" s="554">
        <v>45920</v>
      </c>
      <c r="B78" s="205">
        <v>1</v>
      </c>
      <c r="C78" s="205">
        <v>1.93</v>
      </c>
      <c r="D78" s="205">
        <f t="shared" si="2"/>
        <v>0.92999999999999994</v>
      </c>
      <c r="E78" s="154">
        <f>SUM($D$2:D78)/SUM($B$2:B78)</f>
        <v>0.14062337662337657</v>
      </c>
      <c r="F78" s="150">
        <f t="shared" si="3"/>
        <v>10.827999999999996</v>
      </c>
      <c r="G78" s="201" t="s">
        <v>981</v>
      </c>
      <c r="H78" s="183"/>
      <c r="I78" s="184"/>
      <c r="J78" s="184"/>
      <c r="K78" s="18"/>
      <c r="Q78"/>
    </row>
    <row r="79" spans="1:17">
      <c r="A79" s="555"/>
      <c r="B79" s="205">
        <v>1</v>
      </c>
      <c r="C79" s="205">
        <v>1.88</v>
      </c>
      <c r="D79" s="205">
        <f t="shared" si="2"/>
        <v>0.87999999999999989</v>
      </c>
      <c r="E79" s="154">
        <f>SUM($D$2:D79)/SUM($B$2:B79)</f>
        <v>0.15010256410256403</v>
      </c>
      <c r="F79" s="150">
        <f t="shared" si="3"/>
        <v>11.707999999999995</v>
      </c>
      <c r="G79" s="201" t="s">
        <v>973</v>
      </c>
      <c r="H79" s="183"/>
      <c r="I79" s="184"/>
      <c r="J79" s="184"/>
      <c r="K79" s="18"/>
      <c r="Q79"/>
    </row>
    <row r="80" spans="1:17">
      <c r="A80" s="555"/>
      <c r="B80" s="205">
        <v>1</v>
      </c>
      <c r="C80" s="205">
        <v>1.87</v>
      </c>
      <c r="D80" s="205">
        <f t="shared" si="2"/>
        <v>0.87000000000000011</v>
      </c>
      <c r="E80" s="154">
        <f>SUM($D$2:D80)/SUM($B$2:B80)</f>
        <v>0.15921518987341768</v>
      </c>
      <c r="F80" s="150">
        <f t="shared" si="3"/>
        <v>12.577999999999996</v>
      </c>
      <c r="G80" s="201" t="s">
        <v>979</v>
      </c>
      <c r="H80" s="183"/>
      <c r="I80" s="184"/>
      <c r="J80" s="184"/>
      <c r="K80" s="18"/>
      <c r="Q80"/>
    </row>
    <row r="81" spans="1:17">
      <c r="A81" s="555"/>
      <c r="B81" s="205">
        <v>1</v>
      </c>
      <c r="C81" s="205">
        <v>1.87</v>
      </c>
      <c r="D81" s="205">
        <f t="shared" si="2"/>
        <v>0.87000000000000011</v>
      </c>
      <c r="E81" s="154">
        <f>SUM($D$2:D81)/SUM($B$2:B81)</f>
        <v>0.16809999999999997</v>
      </c>
      <c r="F81" s="37">
        <f>F80+D81</f>
        <v>13.447999999999997</v>
      </c>
      <c r="G81" s="201" t="s">
        <v>976</v>
      </c>
      <c r="H81" s="183"/>
      <c r="I81" s="184"/>
      <c r="J81" s="184"/>
      <c r="K81" s="18"/>
      <c r="Q81"/>
    </row>
    <row r="82" spans="1:17">
      <c r="A82" s="555"/>
      <c r="B82" s="205">
        <v>1</v>
      </c>
      <c r="C82" s="205"/>
      <c r="D82" s="205">
        <f t="shared" si="2"/>
        <v>-1</v>
      </c>
      <c r="E82" s="154">
        <f>SUM($D$2:D82)/SUM($B$2:B82)</f>
        <v>0.15367901234567896</v>
      </c>
      <c r="F82" s="150">
        <f>F81+D82</f>
        <v>12.447999999999997</v>
      </c>
      <c r="G82" s="201" t="s">
        <v>984</v>
      </c>
      <c r="H82" s="183"/>
      <c r="I82" s="184"/>
      <c r="J82" s="184"/>
      <c r="K82" s="18"/>
      <c r="Q82"/>
    </row>
    <row r="83" spans="1:17">
      <c r="A83" s="555"/>
      <c r="B83" s="205">
        <v>1</v>
      </c>
      <c r="C83" s="205"/>
      <c r="D83" s="205">
        <f t="shared" si="2"/>
        <v>-1</v>
      </c>
      <c r="E83" s="154">
        <f>SUM($D$2:D83)/SUM($B$2:B83)</f>
        <v>0.13960975609756093</v>
      </c>
      <c r="F83" s="150">
        <f t="shared" si="3"/>
        <v>11.447999999999997</v>
      </c>
      <c r="G83" s="201" t="s">
        <v>975</v>
      </c>
      <c r="H83" s="183"/>
      <c r="I83" s="184"/>
      <c r="J83" s="184"/>
      <c r="K83" s="18"/>
      <c r="Q83"/>
    </row>
    <row r="84" spans="1:17">
      <c r="A84" s="555"/>
      <c r="B84" s="205">
        <v>1</v>
      </c>
      <c r="C84" s="205"/>
      <c r="D84" s="205">
        <f t="shared" si="2"/>
        <v>-1</v>
      </c>
      <c r="E84" s="154">
        <f>SUM($D$2:D84)/SUM($B$2:B84)</f>
        <v>0.12587951807228911</v>
      </c>
      <c r="F84" s="150">
        <f t="shared" si="3"/>
        <v>10.447999999999997</v>
      </c>
      <c r="G84" s="201" t="s">
        <v>980</v>
      </c>
      <c r="H84" s="183"/>
      <c r="I84" s="184"/>
      <c r="J84" s="184"/>
      <c r="K84" s="18"/>
      <c r="Q84"/>
    </row>
    <row r="85" spans="1:17" ht="15.75" thickBot="1">
      <c r="A85" s="563"/>
      <c r="B85" s="206">
        <v>1</v>
      </c>
      <c r="C85" s="206">
        <v>2</v>
      </c>
      <c r="D85" s="206">
        <f t="shared" si="2"/>
        <v>1</v>
      </c>
      <c r="E85" s="193">
        <f>SUM($D$2:D85)/SUM($B$2:B85)</f>
        <v>0.13628571428571426</v>
      </c>
      <c r="F85" s="163">
        <f t="shared" si="3"/>
        <v>11.447999999999997</v>
      </c>
      <c r="G85" s="202" t="s">
        <v>982</v>
      </c>
      <c r="H85" s="183"/>
      <c r="I85" s="184"/>
      <c r="J85" s="184"/>
      <c r="K85" s="18"/>
      <c r="Q85"/>
    </row>
    <row r="86" spans="1:17">
      <c r="A86" s="554">
        <v>45921</v>
      </c>
      <c r="B86" s="165">
        <v>1</v>
      </c>
      <c r="C86" s="204"/>
      <c r="D86" s="204">
        <f t="shared" si="2"/>
        <v>-1</v>
      </c>
      <c r="E86" s="191">
        <f>SUM($D$2:D86)/SUM($B$2:B86)</f>
        <v>0.12291764705882349</v>
      </c>
      <c r="F86" s="161">
        <f t="shared" si="3"/>
        <v>10.447999999999997</v>
      </c>
      <c r="G86" s="200" t="s">
        <v>973</v>
      </c>
      <c r="H86" s="183"/>
      <c r="I86" s="184"/>
      <c r="J86" s="184"/>
      <c r="K86" s="18"/>
      <c r="Q86"/>
    </row>
    <row r="87" spans="1:17">
      <c r="A87" s="555"/>
      <c r="B87" s="167">
        <v>1</v>
      </c>
      <c r="C87" s="205"/>
      <c r="D87" s="205">
        <f t="shared" si="2"/>
        <v>-1</v>
      </c>
      <c r="E87" s="154">
        <f>SUM($D$2:D87)/SUM($B$2:B87)</f>
        <v>0.10986046511627903</v>
      </c>
      <c r="F87" s="150">
        <f t="shared" si="3"/>
        <v>9.4479999999999968</v>
      </c>
      <c r="G87" s="201" t="s">
        <v>987</v>
      </c>
      <c r="H87" s="183"/>
      <c r="I87" s="184"/>
      <c r="J87" s="184"/>
      <c r="K87" s="18"/>
      <c r="Q87"/>
    </row>
    <row r="88" spans="1:17">
      <c r="A88" s="555"/>
      <c r="B88" s="167">
        <v>1</v>
      </c>
      <c r="C88" s="205"/>
      <c r="D88" s="205">
        <f t="shared" si="2"/>
        <v>-1</v>
      </c>
      <c r="E88" s="154">
        <f>SUM($D$2:D88)/SUM($B$2:B88)</f>
        <v>9.7103448275862037E-2</v>
      </c>
      <c r="F88" s="150">
        <f t="shared" si="3"/>
        <v>8.4479999999999968</v>
      </c>
      <c r="G88" s="201" t="s">
        <v>981</v>
      </c>
      <c r="H88" s="183"/>
      <c r="I88" s="184"/>
      <c r="J88" s="184"/>
      <c r="K88" s="18"/>
      <c r="Q88"/>
    </row>
    <row r="89" spans="1:17">
      <c r="A89" s="555"/>
      <c r="B89" s="167">
        <v>1</v>
      </c>
      <c r="C89" s="205">
        <v>1.87</v>
      </c>
      <c r="D89" s="205">
        <f t="shared" si="2"/>
        <v>0.87000000000000011</v>
      </c>
      <c r="E89" s="154">
        <f>SUM($D$2:D89)/SUM($B$2:B89)</f>
        <v>0.10588636363636361</v>
      </c>
      <c r="F89" s="150">
        <f t="shared" si="3"/>
        <v>9.3179999999999978</v>
      </c>
      <c r="G89" s="201" t="s">
        <v>979</v>
      </c>
      <c r="H89" s="183"/>
      <c r="I89" s="184"/>
      <c r="J89" s="184"/>
      <c r="K89" s="18"/>
      <c r="Q89"/>
    </row>
    <row r="90" spans="1:17" ht="15.75" thickBot="1">
      <c r="A90" s="563"/>
      <c r="B90" s="170">
        <v>1</v>
      </c>
      <c r="C90" s="206">
        <v>1.64</v>
      </c>
      <c r="D90" s="206">
        <f t="shared" si="2"/>
        <v>0.6399999999999999</v>
      </c>
      <c r="E90" s="193">
        <f>SUM($D$2:D90)/SUM($B$2:B90)</f>
        <v>0.11188764044943818</v>
      </c>
      <c r="F90" s="163">
        <f t="shared" si="3"/>
        <v>9.9579999999999984</v>
      </c>
      <c r="G90" s="202" t="s">
        <v>978</v>
      </c>
      <c r="H90" s="183"/>
      <c r="I90" s="184"/>
      <c r="J90" s="184"/>
      <c r="K90" s="18"/>
      <c r="Q90"/>
    </row>
    <row r="91" spans="1:17" ht="15.75" thickBot="1">
      <c r="A91" s="524">
        <v>45922</v>
      </c>
      <c r="B91" s="222">
        <v>1</v>
      </c>
      <c r="C91" s="223">
        <v>1.98</v>
      </c>
      <c r="D91" s="223">
        <f t="shared" si="2"/>
        <v>0.98</v>
      </c>
      <c r="E91" s="224">
        <f>SUM($D$2:D91)/SUM($B$2:B91)</f>
        <v>0.12153333333333333</v>
      </c>
      <c r="F91" s="225">
        <f t="shared" si="3"/>
        <v>10.937999999999999</v>
      </c>
      <c r="G91" s="276" t="s">
        <v>988</v>
      </c>
      <c r="H91" s="183"/>
      <c r="I91" s="184"/>
      <c r="J91" s="184"/>
      <c r="K91" s="18"/>
      <c r="Q91"/>
    </row>
    <row r="92" spans="1:17">
      <c r="A92" s="554">
        <v>45923</v>
      </c>
      <c r="B92" s="167">
        <v>1</v>
      </c>
      <c r="C92" s="205">
        <v>1.75</v>
      </c>
      <c r="D92" s="205">
        <f t="shared" si="2"/>
        <v>0.75</v>
      </c>
      <c r="E92" s="154">
        <f>SUM($D$2:D92)/SUM($B$2:B92)</f>
        <v>0.12843956043956042</v>
      </c>
      <c r="F92" s="150">
        <f t="shared" si="3"/>
        <v>11.687999999999999</v>
      </c>
      <c r="G92" s="201" t="s">
        <v>990</v>
      </c>
      <c r="H92" s="183"/>
      <c r="I92" s="184"/>
      <c r="J92" s="184"/>
      <c r="K92" s="18"/>
      <c r="Q92"/>
    </row>
    <row r="93" spans="1:17">
      <c r="A93" s="555"/>
      <c r="B93" s="167">
        <v>1</v>
      </c>
      <c r="C93" s="205"/>
      <c r="D93" s="205">
        <f t="shared" si="2"/>
        <v>-1</v>
      </c>
      <c r="E93" s="154">
        <f>SUM($D$2:D93)/SUM($B$2:B93)</f>
        <v>0.11617391304347825</v>
      </c>
      <c r="F93" s="150">
        <f t="shared" si="3"/>
        <v>10.687999999999999</v>
      </c>
      <c r="G93" s="201" t="s">
        <v>991</v>
      </c>
      <c r="H93" s="183"/>
      <c r="I93" s="184"/>
      <c r="J93" s="184"/>
      <c r="K93" s="18"/>
      <c r="Q93"/>
    </row>
    <row r="94" spans="1:17">
      <c r="A94" s="555"/>
      <c r="B94" s="167">
        <v>1</v>
      </c>
      <c r="C94" s="205">
        <v>1.95</v>
      </c>
      <c r="D94" s="205">
        <f t="shared" si="2"/>
        <v>0.95</v>
      </c>
      <c r="E94" s="154">
        <f>SUM($D$2:D94)/SUM($B$2:B94)</f>
        <v>0.12513978494623654</v>
      </c>
      <c r="F94" s="150">
        <f t="shared" si="3"/>
        <v>11.637999999999998</v>
      </c>
      <c r="G94" s="201" t="s">
        <v>992</v>
      </c>
      <c r="H94" s="183"/>
      <c r="I94" s="184"/>
      <c r="J94" s="184"/>
      <c r="K94" s="18"/>
      <c r="Q94"/>
    </row>
    <row r="95" spans="1:17">
      <c r="A95" s="555"/>
      <c r="B95" s="167">
        <v>1</v>
      </c>
      <c r="C95" s="205"/>
      <c r="D95" s="205">
        <f t="shared" si="2"/>
        <v>-1</v>
      </c>
      <c r="E95" s="154">
        <f>SUM($D$2:D95)/SUM($B$2:B95)</f>
        <v>0.11317021276595743</v>
      </c>
      <c r="F95" s="150">
        <f t="shared" si="3"/>
        <v>10.637999999999998</v>
      </c>
      <c r="G95" s="272" t="s">
        <v>993</v>
      </c>
      <c r="H95" s="183"/>
      <c r="I95" s="184"/>
      <c r="J95" s="184"/>
      <c r="K95" s="18"/>
      <c r="Q95"/>
    </row>
    <row r="96" spans="1:17">
      <c r="A96" s="555"/>
      <c r="B96" s="167">
        <v>1</v>
      </c>
      <c r="C96" s="205"/>
      <c r="D96" s="205">
        <f t="shared" si="2"/>
        <v>-1</v>
      </c>
      <c r="E96" s="154">
        <f>SUM($D$2:D96)/SUM($B$2:B96)</f>
        <v>0.10145263157894735</v>
      </c>
      <c r="F96" s="150">
        <f t="shared" si="3"/>
        <v>9.6379999999999981</v>
      </c>
      <c r="G96" s="201" t="s">
        <v>994</v>
      </c>
      <c r="H96" s="183"/>
      <c r="I96" s="184"/>
      <c r="J96" s="184"/>
      <c r="K96" s="18"/>
      <c r="Q96"/>
    </row>
    <row r="97" spans="1:17" ht="15.75" thickBot="1">
      <c r="A97" s="563"/>
      <c r="B97" s="170">
        <v>1</v>
      </c>
      <c r="C97" s="206"/>
      <c r="D97" s="206">
        <f t="shared" si="2"/>
        <v>-1</v>
      </c>
      <c r="E97" s="193">
        <f>SUM($D$2:D97)/SUM($B$2:B97)</f>
        <v>8.9979166666666652E-2</v>
      </c>
      <c r="F97" s="163">
        <f t="shared" si="3"/>
        <v>8.6379999999999981</v>
      </c>
      <c r="G97" s="202" t="s">
        <v>995</v>
      </c>
      <c r="H97" s="183"/>
      <c r="I97" s="184"/>
      <c r="J97" s="184"/>
      <c r="K97" s="18"/>
      <c r="Q97"/>
    </row>
    <row r="98" spans="1:17">
      <c r="A98" s="561">
        <v>45924</v>
      </c>
      <c r="B98" s="165">
        <v>1</v>
      </c>
      <c r="C98" s="204"/>
      <c r="D98" s="204">
        <f t="shared" si="2"/>
        <v>-1</v>
      </c>
      <c r="E98" s="191">
        <f>SUM($D$2:D98)/SUM($B$2:B98)</f>
        <v>7.8742268041237087E-2</v>
      </c>
      <c r="F98" s="161">
        <f t="shared" si="3"/>
        <v>7.6379999999999981</v>
      </c>
      <c r="G98" s="200" t="s">
        <v>991</v>
      </c>
      <c r="H98" s="183"/>
      <c r="I98" s="184"/>
      <c r="J98" s="184"/>
      <c r="K98" s="18"/>
      <c r="Q98"/>
    </row>
    <row r="99" spans="1:17">
      <c r="A99" s="562"/>
      <c r="B99" s="167">
        <v>1</v>
      </c>
      <c r="C99" s="205">
        <v>1.833</v>
      </c>
      <c r="D99" s="205">
        <f t="shared" si="2"/>
        <v>0.83299999999999996</v>
      </c>
      <c r="E99" s="154">
        <f>SUM($D$2:D99)/SUM($B$2:B99)</f>
        <v>8.6438775510204069E-2</v>
      </c>
      <c r="F99" s="150">
        <f t="shared" si="3"/>
        <v>8.4709999999999983</v>
      </c>
      <c r="G99" s="201" t="s">
        <v>996</v>
      </c>
      <c r="H99" s="183"/>
      <c r="I99" s="184"/>
      <c r="J99" s="184"/>
      <c r="K99" s="18"/>
      <c r="Q99"/>
    </row>
    <row r="100" spans="1:17">
      <c r="A100" s="562"/>
      <c r="B100" s="167">
        <v>1</v>
      </c>
      <c r="C100" s="205">
        <v>2</v>
      </c>
      <c r="D100" s="205">
        <f t="shared" si="2"/>
        <v>1</v>
      </c>
      <c r="E100" s="154">
        <f>SUM($D$2:D100)/SUM($B$2:B100)</f>
        <v>9.566666666666665E-2</v>
      </c>
      <c r="F100" s="150">
        <f t="shared" si="3"/>
        <v>9.4709999999999983</v>
      </c>
      <c r="G100" s="201" t="s">
        <v>993</v>
      </c>
      <c r="H100" s="183"/>
      <c r="I100" s="184"/>
      <c r="J100" s="184"/>
      <c r="K100" s="18"/>
      <c r="Q100"/>
    </row>
    <row r="101" spans="1:17">
      <c r="A101" s="562"/>
      <c r="B101" s="167">
        <v>1</v>
      </c>
      <c r="C101" s="205">
        <v>2.06</v>
      </c>
      <c r="D101" s="205">
        <f t="shared" si="2"/>
        <v>1.06</v>
      </c>
      <c r="E101" s="154">
        <f>SUM($D$2:D101)/SUM($B$2:B101)</f>
        <v>0.10530999999999999</v>
      </c>
      <c r="F101" s="150">
        <f t="shared" si="3"/>
        <v>10.530999999999999</v>
      </c>
      <c r="G101" s="201" t="s">
        <v>997</v>
      </c>
      <c r="H101" s="183"/>
      <c r="I101" s="184"/>
      <c r="J101" s="184"/>
      <c r="K101" s="18"/>
      <c r="Q101"/>
    </row>
    <row r="102" spans="1:17" ht="15.75" thickBot="1">
      <c r="A102" s="575"/>
      <c r="B102" s="170">
        <v>1</v>
      </c>
      <c r="C102" s="206"/>
      <c r="D102" s="206">
        <f t="shared" si="2"/>
        <v>-1</v>
      </c>
      <c r="E102" s="193">
        <f>SUM($D$2:D102)/SUM($B$2:B102)</f>
        <v>9.4366336633663353E-2</v>
      </c>
      <c r="F102" s="163">
        <f t="shared" si="3"/>
        <v>9.5309999999999988</v>
      </c>
      <c r="G102" s="202" t="s">
        <v>988</v>
      </c>
      <c r="H102" s="183"/>
      <c r="I102" s="184"/>
      <c r="J102" s="184"/>
      <c r="K102" s="18"/>
      <c r="Q102"/>
    </row>
    <row r="103" spans="1:17">
      <c r="A103" s="561">
        <v>45925</v>
      </c>
      <c r="B103" s="165">
        <v>1</v>
      </c>
      <c r="C103" s="204">
        <v>1.88</v>
      </c>
      <c r="D103" s="204">
        <f t="shared" si="2"/>
        <v>0.87999999999999989</v>
      </c>
      <c r="E103" s="191">
        <f>SUM($D$2:D103)/SUM($B$2:B103)</f>
        <v>0.10206862745098037</v>
      </c>
      <c r="F103" s="161">
        <f t="shared" si="3"/>
        <v>10.410999999999998</v>
      </c>
      <c r="G103" s="200" t="s">
        <v>991</v>
      </c>
      <c r="H103" s="183"/>
      <c r="I103" s="184"/>
      <c r="J103" s="184"/>
      <c r="K103" s="18"/>
      <c r="Q103"/>
    </row>
    <row r="104" spans="1:17">
      <c r="A104" s="562"/>
      <c r="B104" s="167">
        <v>1</v>
      </c>
      <c r="C104" s="205">
        <v>1.8</v>
      </c>
      <c r="D104" s="205">
        <f t="shared" si="2"/>
        <v>0.8</v>
      </c>
      <c r="E104" s="154">
        <f>SUM($D$2:D104)/SUM($B$2:B104)</f>
        <v>0.10884466019417474</v>
      </c>
      <c r="F104" s="150">
        <f t="shared" si="3"/>
        <v>11.210999999999999</v>
      </c>
      <c r="G104" s="201" t="s">
        <v>990</v>
      </c>
      <c r="H104" s="183"/>
      <c r="I104" s="184"/>
      <c r="J104" s="184"/>
      <c r="K104" s="18"/>
      <c r="Q104"/>
    </row>
    <row r="105" spans="1:17">
      <c r="A105" s="562"/>
      <c r="B105" s="167">
        <v>1</v>
      </c>
      <c r="C105" s="205"/>
      <c r="D105" s="205">
        <f t="shared" si="2"/>
        <v>-1</v>
      </c>
      <c r="E105" s="154">
        <f>SUM($D$2:D105)/SUM($B$2:B105)</f>
        <v>9.818269230769229E-2</v>
      </c>
      <c r="F105" s="150">
        <f t="shared" si="3"/>
        <v>10.210999999999999</v>
      </c>
      <c r="G105" s="201" t="s">
        <v>993</v>
      </c>
      <c r="H105" s="183"/>
      <c r="I105" s="184"/>
      <c r="J105" s="184"/>
      <c r="K105" s="18"/>
      <c r="Q105"/>
    </row>
    <row r="106" spans="1:17">
      <c r="A106" s="562"/>
      <c r="B106" s="167">
        <v>1</v>
      </c>
      <c r="C106" s="205">
        <v>1.98</v>
      </c>
      <c r="D106" s="205">
        <f t="shared" si="2"/>
        <v>0.98</v>
      </c>
      <c r="E106" s="154">
        <f>SUM($D$2:D106)/SUM($B$2:B106)</f>
        <v>0.10658095238095237</v>
      </c>
      <c r="F106" s="150">
        <f t="shared" si="3"/>
        <v>11.190999999999999</v>
      </c>
      <c r="G106" s="201" t="s">
        <v>998</v>
      </c>
      <c r="H106" s="183"/>
      <c r="I106" s="184"/>
      <c r="J106" s="184"/>
      <c r="K106" s="18"/>
      <c r="Q106"/>
    </row>
    <row r="107" spans="1:17">
      <c r="A107" s="562"/>
      <c r="B107" s="167">
        <v>1</v>
      </c>
      <c r="C107" s="205"/>
      <c r="D107" s="205">
        <f t="shared" si="2"/>
        <v>-1</v>
      </c>
      <c r="E107" s="154">
        <f>SUM($D$2:D107)/SUM($B$2:B107)</f>
        <v>9.6141509433962255E-2</v>
      </c>
      <c r="F107" s="150">
        <f t="shared" si="3"/>
        <v>10.190999999999999</v>
      </c>
      <c r="G107" s="201" t="s">
        <v>999</v>
      </c>
      <c r="H107" s="183"/>
      <c r="I107" s="184"/>
      <c r="J107" s="184"/>
      <c r="K107" s="18"/>
      <c r="Q107"/>
    </row>
    <row r="108" spans="1:17" ht="15.75" thickBot="1">
      <c r="A108" s="562"/>
      <c r="B108" s="170">
        <v>1</v>
      </c>
      <c r="C108" s="206">
        <v>2.0299999999999998</v>
      </c>
      <c r="D108" s="206">
        <f t="shared" si="2"/>
        <v>1.0299999999999998</v>
      </c>
      <c r="E108" s="193">
        <f>SUM($D$2:D108)/SUM($B$2:B108)</f>
        <v>0.10486915887850466</v>
      </c>
      <c r="F108" s="163">
        <f t="shared" si="3"/>
        <v>11.220999999999998</v>
      </c>
      <c r="G108" s="202" t="s">
        <v>1000</v>
      </c>
      <c r="H108" s="183"/>
      <c r="I108" s="184"/>
      <c r="J108" s="184"/>
      <c r="K108" s="18"/>
      <c r="Q108"/>
    </row>
    <row r="109" spans="1:17">
      <c r="A109" s="554">
        <v>45926</v>
      </c>
      <c r="B109" s="216">
        <v>1</v>
      </c>
      <c r="C109" s="216"/>
      <c r="D109" s="216">
        <f>(B109*C109)-B109</f>
        <v>-1</v>
      </c>
      <c r="E109" s="96">
        <f>SUM($D$2:D109)/SUM($B$2:B109)</f>
        <v>9.463888888888887E-2</v>
      </c>
      <c r="F109" s="97">
        <f>F108+D109</f>
        <v>10.220999999999998</v>
      </c>
      <c r="G109" s="217" t="s">
        <v>1001</v>
      </c>
      <c r="H109" s="183"/>
      <c r="I109" s="184"/>
      <c r="J109" s="184"/>
      <c r="K109" s="18"/>
      <c r="Q109"/>
    </row>
    <row r="110" spans="1:17">
      <c r="A110" s="555"/>
      <c r="B110" s="41">
        <v>1</v>
      </c>
      <c r="C110" s="41"/>
      <c r="D110" s="41">
        <f>(B110*C110)-B110</f>
        <v>-1</v>
      </c>
      <c r="E110" s="47">
        <f>SUM($D$2:D110)/SUM($B$2:B110)</f>
        <v>8.4596330275229337E-2</v>
      </c>
      <c r="F110" s="37">
        <f>F109+D110</f>
        <v>9.2209999999999983</v>
      </c>
      <c r="G110" s="129" t="s">
        <v>1002</v>
      </c>
      <c r="H110" s="183"/>
      <c r="I110" s="184"/>
      <c r="J110" s="184"/>
      <c r="K110" s="18"/>
      <c r="Q110"/>
    </row>
    <row r="111" spans="1:17">
      <c r="A111" s="555"/>
      <c r="B111" s="41">
        <v>1</v>
      </c>
      <c r="C111" s="41">
        <v>1.93</v>
      </c>
      <c r="D111" s="41">
        <f>(B111*C111)-B111</f>
        <v>0.92999999999999994</v>
      </c>
      <c r="E111" s="47">
        <f>SUM($D$2:D111)/SUM($B$2:B111)</f>
        <v>9.2281818181818159E-2</v>
      </c>
      <c r="F111" s="37">
        <f>F110+D111</f>
        <v>10.150999999999998</v>
      </c>
      <c r="G111" s="129" t="s">
        <v>1003</v>
      </c>
      <c r="H111" s="183"/>
      <c r="I111" s="184"/>
      <c r="J111" s="184"/>
      <c r="K111" s="18"/>
      <c r="Q111"/>
    </row>
    <row r="112" spans="1:17">
      <c r="A112" s="555"/>
      <c r="B112" s="41">
        <v>1</v>
      </c>
      <c r="C112" s="41">
        <v>2.06</v>
      </c>
      <c r="D112" s="41">
        <f>(B112*C112)-B112</f>
        <v>1.06</v>
      </c>
      <c r="E112" s="47">
        <f>SUM($D$2:D112)/SUM($B$2:B112)</f>
        <v>0.10099999999999999</v>
      </c>
      <c r="F112" s="37">
        <f>F111+D112</f>
        <v>11.210999999999999</v>
      </c>
      <c r="G112" s="129" t="s">
        <v>1004</v>
      </c>
      <c r="H112" s="183"/>
      <c r="I112" s="184"/>
      <c r="J112" s="184"/>
      <c r="K112" s="18"/>
      <c r="Q112"/>
    </row>
    <row r="113" spans="1:17">
      <c r="A113" s="555"/>
      <c r="B113" s="41">
        <v>1</v>
      </c>
      <c r="C113" s="41">
        <v>1.87</v>
      </c>
      <c r="D113" s="41">
        <f>(B113*C113)-B113</f>
        <v>0.87000000000000011</v>
      </c>
      <c r="E113" s="47">
        <f>SUM($D$2:D113)/SUM($B$2:B113)</f>
        <v>0.10786607142857142</v>
      </c>
      <c r="F113" s="37">
        <f>F112+D113</f>
        <v>12.081</v>
      </c>
      <c r="G113" s="129" t="s">
        <v>1005</v>
      </c>
      <c r="H113" s="183"/>
      <c r="I113" s="184"/>
      <c r="J113" s="184"/>
      <c r="K113" s="18"/>
      <c r="Q113"/>
    </row>
    <row r="114" spans="1:17">
      <c r="A114" s="555"/>
      <c r="B114" s="41">
        <v>1</v>
      </c>
      <c r="C114" s="41">
        <v>2.0099999999999998</v>
      </c>
      <c r="D114" s="41">
        <f>(B114*C114)-B114</f>
        <v>1.0099999999999998</v>
      </c>
      <c r="E114" s="47">
        <f>SUM($D$2:D114)/SUM($B$2:B114)</f>
        <v>0.11584955752212389</v>
      </c>
      <c r="F114" s="37">
        <f>F113+D114</f>
        <v>13.090999999999999</v>
      </c>
      <c r="G114" s="129" t="s">
        <v>1006</v>
      </c>
      <c r="H114" s="183"/>
      <c r="I114" s="184"/>
      <c r="J114" s="184"/>
      <c r="K114" s="18"/>
      <c r="Q114"/>
    </row>
    <row r="115" spans="1:17" ht="15.75" thickBot="1">
      <c r="A115" s="563"/>
      <c r="B115" s="218">
        <v>1</v>
      </c>
      <c r="C115" s="206">
        <v>1.97</v>
      </c>
      <c r="D115" s="206">
        <f>(B115*C115)-B115</f>
        <v>0.97</v>
      </c>
      <c r="E115" s="193">
        <f>SUM($D$2:D115)/SUM($B$2:B115)</f>
        <v>0.12334210526315789</v>
      </c>
      <c r="F115" s="150">
        <f>F114+D115</f>
        <v>14.061</v>
      </c>
      <c r="G115" s="202" t="s">
        <v>1007</v>
      </c>
      <c r="H115" s="183"/>
      <c r="I115" s="184"/>
      <c r="J115" s="184"/>
      <c r="K115" s="18"/>
      <c r="Q115"/>
    </row>
    <row r="116" spans="1:17">
      <c r="A116" s="554">
        <v>45927</v>
      </c>
      <c r="B116" s="165">
        <v>1</v>
      </c>
      <c r="C116" s="204"/>
      <c r="D116" s="204">
        <f>(B116*C116)-B116</f>
        <v>-1</v>
      </c>
      <c r="E116" s="191">
        <f>SUM($D$2:D116)/SUM($B$2:B116)</f>
        <v>0.11357391304347826</v>
      </c>
      <c r="F116" s="161">
        <f>F115+D116</f>
        <v>13.061</v>
      </c>
      <c r="G116" s="166" t="s">
        <v>1008</v>
      </c>
      <c r="H116" s="183"/>
      <c r="I116" s="184"/>
      <c r="J116" s="184"/>
      <c r="K116" s="18"/>
      <c r="Q116"/>
    </row>
    <row r="117" spans="1:17">
      <c r="A117" s="555"/>
      <c r="B117" s="167">
        <v>1</v>
      </c>
      <c r="C117" s="205">
        <v>1.88</v>
      </c>
      <c r="D117" s="205">
        <f>(B117*C117)-B117</f>
        <v>0.87999999999999989</v>
      </c>
      <c r="E117" s="154">
        <f>SUM($D$2:D117)/SUM($B$2:B117)</f>
        <v>0.12018103448275862</v>
      </c>
      <c r="F117" s="150">
        <f>F116+D117</f>
        <v>13.940999999999999</v>
      </c>
      <c r="G117" s="189" t="s">
        <v>1009</v>
      </c>
      <c r="H117" s="183"/>
      <c r="I117" s="184"/>
      <c r="J117" s="184"/>
      <c r="K117" s="18"/>
      <c r="Q117"/>
    </row>
    <row r="118" spans="1:17">
      <c r="A118" s="555"/>
      <c r="B118" s="167">
        <v>1</v>
      </c>
      <c r="C118" s="205">
        <v>1.77</v>
      </c>
      <c r="D118" s="205">
        <f>(B118*C118)-B118</f>
        <v>0.77</v>
      </c>
      <c r="E118" s="154">
        <f>SUM($D$2:D118)/SUM($B$2:B118)</f>
        <v>0.12573504273504271</v>
      </c>
      <c r="F118" s="150">
        <f>F117+D118</f>
        <v>14.710999999999999</v>
      </c>
      <c r="G118" s="189" t="s">
        <v>1002</v>
      </c>
      <c r="H118" s="183"/>
      <c r="I118" s="184"/>
      <c r="J118" s="184"/>
      <c r="K118" s="18"/>
      <c r="Q118"/>
    </row>
    <row r="119" spans="1:17">
      <c r="A119" s="555"/>
      <c r="B119" s="167">
        <v>1</v>
      </c>
      <c r="C119" s="205">
        <v>2</v>
      </c>
      <c r="D119" s="205">
        <f>(B119*C119)-B119</f>
        <v>1</v>
      </c>
      <c r="E119" s="154">
        <f>SUM($D$2:D119)/SUM($B$2:B119)</f>
        <v>0.13314406779661014</v>
      </c>
      <c r="F119" s="150">
        <f>F118+D119</f>
        <v>15.710999999999999</v>
      </c>
      <c r="G119" s="189" t="s">
        <v>1006</v>
      </c>
      <c r="H119" s="183"/>
      <c r="I119" s="184"/>
      <c r="J119" s="184"/>
      <c r="K119" s="18"/>
      <c r="Q119"/>
    </row>
    <row r="120" spans="1:17">
      <c r="A120" s="555"/>
      <c r="B120" s="167">
        <v>1</v>
      </c>
      <c r="C120" s="205"/>
      <c r="D120" s="205">
        <f>(B120*C120)-B120</f>
        <v>-1</v>
      </c>
      <c r="E120" s="154">
        <f>SUM($D$2:D120)/SUM($B$2:B120)</f>
        <v>0.12362184873949579</v>
      </c>
      <c r="F120" s="150">
        <f>F119+D120</f>
        <v>14.710999999999999</v>
      </c>
      <c r="G120" s="189" t="s">
        <v>1007</v>
      </c>
      <c r="H120" s="183"/>
      <c r="I120" s="184"/>
      <c r="J120" s="184"/>
      <c r="K120" s="18"/>
      <c r="Q120"/>
    </row>
    <row r="121" spans="1:17">
      <c r="A121" s="555"/>
      <c r="B121" s="167">
        <v>1</v>
      </c>
      <c r="C121" s="205">
        <v>1.83</v>
      </c>
      <c r="D121" s="205">
        <f>(B121*C121)-B121</f>
        <v>0.83000000000000007</v>
      </c>
      <c r="E121" s="154">
        <f>SUM($D$2:D121)/SUM($B$2:B121)</f>
        <v>0.12950833333333331</v>
      </c>
      <c r="F121" s="150">
        <f>F120+D121</f>
        <v>15.540999999999999</v>
      </c>
      <c r="G121" s="189" t="s">
        <v>1005</v>
      </c>
      <c r="H121" s="183"/>
      <c r="I121" s="184"/>
      <c r="J121" s="184"/>
      <c r="K121" s="18"/>
      <c r="Q121"/>
    </row>
    <row r="122" spans="1:17">
      <c r="A122" s="555"/>
      <c r="B122" s="167">
        <v>1</v>
      </c>
      <c r="C122" s="205">
        <v>1.96</v>
      </c>
      <c r="D122" s="205">
        <f>(B122*C122)-B122</f>
        <v>0.96</v>
      </c>
      <c r="E122" s="154">
        <f>SUM($D$2:D122)/SUM($B$2:B122)</f>
        <v>0.13637190082644626</v>
      </c>
      <c r="F122" s="150">
        <f>F121+D122</f>
        <v>16.500999999999998</v>
      </c>
      <c r="G122" s="189" t="s">
        <v>1010</v>
      </c>
      <c r="H122" s="183"/>
      <c r="I122" s="184"/>
      <c r="J122" s="184"/>
      <c r="K122" s="18"/>
      <c r="Q122"/>
    </row>
    <row r="123" spans="1:17" ht="15.75" thickBot="1">
      <c r="A123" s="563"/>
      <c r="B123" s="170">
        <v>1</v>
      </c>
      <c r="C123" s="206">
        <v>2.06</v>
      </c>
      <c r="D123" s="206">
        <f>(B123*C123)-B123</f>
        <v>1.06</v>
      </c>
      <c r="E123" s="193">
        <f>SUM($D$2:D123)/SUM($B$2:B123)</f>
        <v>0.14394262295081964</v>
      </c>
      <c r="F123" s="163">
        <f>F122+D123</f>
        <v>17.560999999999996</v>
      </c>
      <c r="G123" s="194" t="s">
        <v>1011</v>
      </c>
      <c r="H123" s="183"/>
      <c r="I123" s="184"/>
      <c r="J123" s="184"/>
      <c r="K123" s="18"/>
      <c r="Q123"/>
    </row>
    <row r="124" spans="1:17">
      <c r="A124" s="576">
        <v>45928</v>
      </c>
      <c r="B124" s="179">
        <v>1</v>
      </c>
      <c r="C124" s="207">
        <v>1.87</v>
      </c>
      <c r="D124" s="207">
        <f>(B124*C124)-B124</f>
        <v>0.87000000000000011</v>
      </c>
      <c r="E124" s="195">
        <f>SUM($D$2:D124)/SUM($B$2:B124)</f>
        <v>0.14984552845528454</v>
      </c>
      <c r="F124" s="162">
        <f>F123+D124</f>
        <v>18.430999999999997</v>
      </c>
      <c r="G124" s="214" t="s">
        <v>1009</v>
      </c>
      <c r="H124" s="183"/>
      <c r="I124" s="184"/>
      <c r="J124" s="184"/>
      <c r="K124" s="18"/>
      <c r="Q124"/>
    </row>
    <row r="125" spans="1:17">
      <c r="A125" s="577"/>
      <c r="B125" s="167">
        <v>1</v>
      </c>
      <c r="C125" s="205"/>
      <c r="D125" s="205">
        <f>(B125*C125)-B125</f>
        <v>-1</v>
      </c>
      <c r="E125" s="154">
        <f>SUM($D$2:D125)/SUM($B$2:B125)</f>
        <v>0.14057258064516126</v>
      </c>
      <c r="F125" s="150">
        <f>F124+D125</f>
        <v>17.430999999999997</v>
      </c>
      <c r="G125" s="189" t="s">
        <v>1013</v>
      </c>
      <c r="H125" s="183"/>
      <c r="I125" s="184"/>
      <c r="J125" s="184"/>
      <c r="K125" s="18"/>
      <c r="Q125"/>
    </row>
    <row r="126" spans="1:17">
      <c r="A126" s="577"/>
      <c r="B126" s="167">
        <v>1</v>
      </c>
      <c r="C126" s="205">
        <v>1.81</v>
      </c>
      <c r="D126" s="205">
        <f>(B126*C126)-B126</f>
        <v>0.81</v>
      </c>
      <c r="E126" s="154">
        <f>SUM($D$2:D126)/SUM($B$2:B126)</f>
        <v>0.14592799999999997</v>
      </c>
      <c r="F126" s="150">
        <f>F125+D126</f>
        <v>18.240999999999996</v>
      </c>
      <c r="G126" s="189" t="s">
        <v>1014</v>
      </c>
      <c r="H126" s="183"/>
      <c r="I126" s="184"/>
      <c r="J126" s="184"/>
      <c r="K126" s="18"/>
      <c r="Q126"/>
    </row>
    <row r="127" spans="1:17">
      <c r="A127" s="577"/>
      <c r="B127" s="167">
        <v>1</v>
      </c>
      <c r="C127" s="205">
        <v>1.87</v>
      </c>
      <c r="D127" s="205">
        <f>(B127*C127)-B127</f>
        <v>0.87000000000000011</v>
      </c>
      <c r="E127" s="154">
        <f>SUM($D$2:D127)/SUM($B$2:B127)</f>
        <v>0.15167460317460316</v>
      </c>
      <c r="F127" s="150">
        <f>F126+D127</f>
        <v>19.110999999999997</v>
      </c>
      <c r="G127" s="189" t="s">
        <v>1001</v>
      </c>
      <c r="H127" s="183"/>
      <c r="I127" s="184"/>
      <c r="J127" s="184"/>
      <c r="K127" s="18"/>
      <c r="Q127"/>
    </row>
    <row r="128" spans="1:17">
      <c r="A128" s="577"/>
      <c r="B128" s="167">
        <v>1</v>
      </c>
      <c r="C128" s="205">
        <v>1.98</v>
      </c>
      <c r="D128" s="205">
        <f>(B128*C128)-B128</f>
        <v>0.98</v>
      </c>
      <c r="E128" s="154">
        <f>SUM($D$2:D128)/SUM($B$2:B128)</f>
        <v>0.15819685039370077</v>
      </c>
      <c r="F128" s="150">
        <f>F127+D128</f>
        <v>20.090999999999998</v>
      </c>
      <c r="G128" s="189" t="s">
        <v>1006</v>
      </c>
      <c r="H128" s="183"/>
      <c r="I128" s="184"/>
      <c r="J128" s="184"/>
      <c r="K128" s="18"/>
      <c r="Q128"/>
    </row>
    <row r="129" spans="1:17">
      <c r="A129" s="577"/>
      <c r="B129" s="167">
        <v>1</v>
      </c>
      <c r="C129" s="205">
        <v>2.02</v>
      </c>
      <c r="D129" s="205">
        <f>(B129*C129)-B129</f>
        <v>1.02</v>
      </c>
      <c r="E129" s="154">
        <f>SUM($D$2:D129)/SUM($B$2:B129)</f>
        <v>0.16492968749999998</v>
      </c>
      <c r="F129" s="150">
        <f>F128+D129</f>
        <v>21.110999999999997</v>
      </c>
      <c r="G129" s="189" t="s">
        <v>1011</v>
      </c>
      <c r="H129" s="183"/>
      <c r="I129" s="184"/>
      <c r="J129" s="184"/>
      <c r="K129" s="18"/>
      <c r="Q129"/>
    </row>
    <row r="130" spans="1:17" ht="15.75" thickBot="1">
      <c r="A130" s="578"/>
      <c r="B130" s="170">
        <v>1</v>
      </c>
      <c r="C130" s="206">
        <v>2</v>
      </c>
      <c r="D130" s="206">
        <f>(B130*C130)-B130</f>
        <v>1</v>
      </c>
      <c r="E130" s="193">
        <f>SUM($D$2:D130)/SUM($B$2:B130)</f>
        <v>0.17140310077519377</v>
      </c>
      <c r="F130" s="212">
        <f>F129+D130</f>
        <v>22.110999999999997</v>
      </c>
      <c r="G130" s="194" t="s">
        <v>1007</v>
      </c>
      <c r="H130" s="183"/>
      <c r="I130" s="184"/>
      <c r="J130" s="184"/>
      <c r="K130" s="18"/>
      <c r="Q130"/>
    </row>
    <row r="131" spans="1:17">
      <c r="A131" s="554">
        <v>45930</v>
      </c>
      <c r="B131" s="103">
        <v>1</v>
      </c>
      <c r="C131" s="41"/>
      <c r="D131" s="41">
        <f>(B131*C131)-B131</f>
        <v>-1</v>
      </c>
      <c r="E131" s="47">
        <f>SUM($D$2:D131)/SUM($B$2:B131)</f>
        <v>0.16239230769230767</v>
      </c>
      <c r="F131" s="37">
        <f>F130+D131</f>
        <v>21.110999999999997</v>
      </c>
      <c r="G131" s="129" t="s">
        <v>1015</v>
      </c>
      <c r="H131" s="2"/>
      <c r="K131" s="18"/>
      <c r="Q131"/>
    </row>
    <row r="132" spans="1:17" ht="15.75" thickBot="1">
      <c r="A132" s="563"/>
      <c r="B132" s="105">
        <v>1</v>
      </c>
      <c r="C132" s="218"/>
      <c r="D132" s="218">
        <f>(B132*C132)-B132</f>
        <v>-1</v>
      </c>
      <c r="E132" s="59">
        <f>SUM($D$2:D132)/SUM($B$2:B132)</f>
        <v>0.15351908396946562</v>
      </c>
      <c r="F132" s="38">
        <f>F131+D132</f>
        <v>20.110999999999997</v>
      </c>
      <c r="G132" s="141" t="s">
        <v>1016</v>
      </c>
      <c r="H132" s="2"/>
      <c r="K132" s="18"/>
      <c r="Q132"/>
    </row>
    <row r="133" spans="1:17">
      <c r="A133" s="554">
        <v>45931</v>
      </c>
      <c r="B133" s="41">
        <v>1</v>
      </c>
      <c r="C133" s="41">
        <v>2.0699999999999998</v>
      </c>
      <c r="D133" s="41">
        <f>(B133*C133)-B133</f>
        <v>1.0699999999999998</v>
      </c>
      <c r="E133" s="47">
        <f>SUM($D$2:D133)/SUM($B$2:B133)</f>
        <v>0.16046212121212119</v>
      </c>
      <c r="F133" s="37">
        <f>F132+D133</f>
        <v>21.180999999999997</v>
      </c>
      <c r="G133" s="129" t="s">
        <v>1015</v>
      </c>
      <c r="H133" s="2"/>
      <c r="K133" s="18"/>
      <c r="Q133"/>
    </row>
    <row r="134" spans="1:17" ht="15.75" thickBot="1">
      <c r="A134" s="563"/>
      <c r="B134" s="218">
        <v>1</v>
      </c>
      <c r="C134" s="218">
        <v>2.2200000000000002</v>
      </c>
      <c r="D134" s="218">
        <f>(B134*C134)-B134</f>
        <v>1.2200000000000002</v>
      </c>
      <c r="E134" s="59">
        <f>SUM($D$2:D134)/SUM($B$2:B134)</f>
        <v>0.1684285714285714</v>
      </c>
      <c r="F134" s="38">
        <f>F133+D134</f>
        <v>22.400999999999996</v>
      </c>
      <c r="G134" s="141" t="s">
        <v>1016</v>
      </c>
      <c r="H134" s="2"/>
      <c r="K134" s="18"/>
      <c r="Q134"/>
    </row>
    <row r="135" spans="1:17">
      <c r="A135" s="554">
        <v>45932</v>
      </c>
      <c r="B135" s="41">
        <v>1</v>
      </c>
      <c r="C135" s="41"/>
      <c r="D135" s="41">
        <f>(B135*C135)-B135</f>
        <v>-1</v>
      </c>
      <c r="E135" s="47">
        <f>SUM($D$2:D135)/SUM($B$2:B135)</f>
        <v>0.15970895522388057</v>
      </c>
      <c r="F135" s="37">
        <f>F134+D135</f>
        <v>21.400999999999996</v>
      </c>
      <c r="G135" s="129" t="s">
        <v>1015</v>
      </c>
      <c r="H135" s="2"/>
      <c r="K135" s="18"/>
      <c r="Q135"/>
    </row>
    <row r="136" spans="1:17">
      <c r="A136" s="563"/>
      <c r="B136" s="218">
        <v>1</v>
      </c>
      <c r="C136" s="218"/>
      <c r="D136" s="218">
        <f>(B136*C136)-B136</f>
        <v>-1</v>
      </c>
      <c r="E136" s="59">
        <f>SUM($D$2:D136)/SUM($B$2:B136)</f>
        <v>0.15111851851851849</v>
      </c>
      <c r="F136" s="38">
        <f>F135+D136</f>
        <v>20.400999999999996</v>
      </c>
      <c r="G136" s="141" t="s">
        <v>1016</v>
      </c>
      <c r="H136" s="2"/>
      <c r="K136" s="18"/>
      <c r="Q136"/>
    </row>
    <row r="137" spans="1:17" s="184" customFormat="1">
      <c r="A137" s="524">
        <v>45934</v>
      </c>
      <c r="B137" s="222">
        <v>1</v>
      </c>
      <c r="C137" s="223">
        <v>1.97</v>
      </c>
      <c r="D137" s="223">
        <f>(B137*C137)-B137</f>
        <v>0.97</v>
      </c>
      <c r="E137" s="224">
        <f>SUM($D$2:D137)/SUM($B$2:B137)</f>
        <v>0.1571397058823529</v>
      </c>
      <c r="F137" s="225">
        <f>F136+D137</f>
        <v>21.370999999999995</v>
      </c>
      <c r="G137" s="274" t="s">
        <v>1017</v>
      </c>
      <c r="H137" s="183"/>
      <c r="K137" s="234"/>
    </row>
    <row r="138" spans="1:17" s="184" customFormat="1">
      <c r="A138" s="524">
        <v>45936</v>
      </c>
      <c r="B138" s="222">
        <v>1</v>
      </c>
      <c r="C138" s="223"/>
      <c r="D138" s="223">
        <f>(B138*C138)-B138</f>
        <v>-1</v>
      </c>
      <c r="E138" s="224">
        <f>SUM($D$2:D138)/SUM($B$2:B138)</f>
        <v>0.14869343065693427</v>
      </c>
      <c r="F138" s="225">
        <f t="shared" ref="F138:F144" si="4">F137+D138</f>
        <v>20.370999999999995</v>
      </c>
      <c r="G138" s="226" t="s">
        <v>1018</v>
      </c>
      <c r="H138" s="183"/>
      <c r="K138" s="234"/>
    </row>
    <row r="139" spans="1:17" s="184" customFormat="1">
      <c r="A139" s="524">
        <v>45937</v>
      </c>
      <c r="B139" s="222">
        <v>1</v>
      </c>
      <c r="C139" s="223"/>
      <c r="D139" s="223">
        <f>(B139*C139)-B139</f>
        <v>-1</v>
      </c>
      <c r="E139" s="224">
        <f>SUM($D$2:D139)/SUM($B$2:B139)</f>
        <v>0.14036956521739127</v>
      </c>
      <c r="F139" s="225">
        <f t="shared" si="4"/>
        <v>19.370999999999995</v>
      </c>
      <c r="G139" s="226" t="s">
        <v>1019</v>
      </c>
      <c r="H139" s="183"/>
      <c r="K139" s="234"/>
    </row>
    <row r="140" spans="1:17" s="184" customFormat="1">
      <c r="A140" s="554">
        <v>45938</v>
      </c>
      <c r="B140" s="165">
        <v>1</v>
      </c>
      <c r="C140" s="204"/>
      <c r="D140" s="204">
        <f>(B140*C140)-B140</f>
        <v>-1</v>
      </c>
      <c r="E140" s="191">
        <f>SUM($D$2:D140)/SUM($B$2:B140)</f>
        <v>0.13216546762589926</v>
      </c>
      <c r="F140" s="161">
        <f t="shared" si="4"/>
        <v>18.370999999999995</v>
      </c>
      <c r="G140" s="169" t="s">
        <v>965</v>
      </c>
      <c r="H140" s="183"/>
      <c r="K140" s="234"/>
    </row>
    <row r="141" spans="1:17" s="184" customFormat="1">
      <c r="A141" s="555"/>
      <c r="B141" s="167">
        <v>1</v>
      </c>
      <c r="C141" s="205">
        <v>1.92</v>
      </c>
      <c r="D141" s="205">
        <f>(B141*C141)-B141</f>
        <v>0.91999999999999993</v>
      </c>
      <c r="E141" s="154">
        <f>SUM($D$2:D141)/SUM($B$2:B141)</f>
        <v>0.13779285714285713</v>
      </c>
      <c r="F141" s="150">
        <f t="shared" si="4"/>
        <v>19.290999999999997</v>
      </c>
      <c r="G141" s="155" t="s">
        <v>928</v>
      </c>
      <c r="H141" s="183"/>
      <c r="K141" s="234"/>
    </row>
    <row r="142" spans="1:17" s="184" customFormat="1">
      <c r="A142" s="563"/>
      <c r="B142" s="170">
        <v>1</v>
      </c>
      <c r="C142" s="206"/>
      <c r="D142" s="206">
        <f>(B142*C142)-B142</f>
        <v>-1</v>
      </c>
      <c r="E142" s="193">
        <f>SUM($D$2:D142)/SUM($B$2:B142)</f>
        <v>0.12972340425531911</v>
      </c>
      <c r="F142" s="163">
        <f t="shared" si="4"/>
        <v>18.290999999999997</v>
      </c>
      <c r="G142" s="194" t="s">
        <v>1019</v>
      </c>
      <c r="H142" s="183"/>
      <c r="K142" s="234"/>
    </row>
    <row r="143" spans="1:17" s="184" customFormat="1">
      <c r="A143" s="524">
        <v>45942</v>
      </c>
      <c r="B143" s="222">
        <v>1</v>
      </c>
      <c r="C143" s="225">
        <v>1.97</v>
      </c>
      <c r="D143" s="225">
        <f t="shared" ref="D143" si="5">(B143*C143)-B143</f>
        <v>0.97</v>
      </c>
      <c r="E143" s="224">
        <f>SUM($D$2:D143)/SUM($B$2:B143)</f>
        <v>0.13564084507042251</v>
      </c>
      <c r="F143" s="225">
        <f t="shared" si="4"/>
        <v>19.260999999999996</v>
      </c>
      <c r="G143" s="226" t="s">
        <v>1020</v>
      </c>
      <c r="H143" s="183"/>
      <c r="K143" s="234"/>
    </row>
    <row r="144" spans="1:17" s="184" customFormat="1">
      <c r="A144" s="524">
        <v>45946</v>
      </c>
      <c r="B144" s="251">
        <v>1</v>
      </c>
      <c r="C144" s="251"/>
      <c r="D144" s="251">
        <f>(B144*C144)-B144</f>
        <v>-1</v>
      </c>
      <c r="E144" s="252">
        <f>SUM($D$2:D144)/SUM($B$2:B144)</f>
        <v>0.12769930069930066</v>
      </c>
      <c r="F144" s="253">
        <f t="shared" si="4"/>
        <v>18.260999999999996</v>
      </c>
      <c r="G144" s="279" t="s">
        <v>1021</v>
      </c>
      <c r="H144" s="183"/>
      <c r="K144" s="234"/>
    </row>
    <row r="145" spans="1:18">
      <c r="A145" s="521"/>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1022</v>
      </c>
      <c r="C148" s="556" t="s">
        <v>1023</v>
      </c>
      <c r="D148" s="557"/>
      <c r="E148" s="558"/>
      <c r="H148" s="559">
        <f>100</f>
        <v>100</v>
      </c>
      <c r="I148" s="560"/>
      <c r="J148" s="16" t="s">
        <v>1024</v>
      </c>
      <c r="K148" s="559">
        <v>80.89</v>
      </c>
      <c r="L148" s="560"/>
      <c r="M148" s="16" t="s">
        <v>1024</v>
      </c>
      <c r="N148" s="19"/>
      <c r="O148" s="138"/>
      <c r="P148" s="58"/>
    </row>
    <row r="149" spans="1:18" ht="15" customHeight="1">
      <c r="A149">
        <f>COUNT(B2:B145)</f>
        <v>143</v>
      </c>
      <c r="B149" s="1"/>
      <c r="C149" s="156">
        <f>I149</f>
        <v>5</v>
      </c>
      <c r="D149" s="573">
        <v>1.32</v>
      </c>
      <c r="E149" s="157">
        <f>C149*D149-C149</f>
        <v>1.6000000000000005</v>
      </c>
      <c r="F149" s="15"/>
      <c r="G149" s="147" t="s">
        <v>1025</v>
      </c>
      <c r="H149" s="75">
        <f>H152/100</f>
        <v>1</v>
      </c>
      <c r="I149" s="149">
        <f>H149*5</f>
        <v>5</v>
      </c>
      <c r="J149" s="3" t="s">
        <v>1026</v>
      </c>
      <c r="K149" s="75">
        <f>K152/100</f>
        <v>0.99151</v>
      </c>
      <c r="L149" s="149">
        <f>K149*5</f>
        <v>4.9575500000000003</v>
      </c>
      <c r="M149" s="3" t="s">
        <v>1026</v>
      </c>
    </row>
    <row r="150" spans="1:18" ht="15" customHeight="1">
      <c r="A150" t="s">
        <v>1027</v>
      </c>
      <c r="B150" s="99"/>
      <c r="C150" s="135">
        <f>E150/(D149-1)</f>
        <v>9.3749999999999982</v>
      </c>
      <c r="D150" s="574"/>
      <c r="E150" s="136">
        <v>3</v>
      </c>
      <c r="F150" s="15"/>
      <c r="G150" s="147" t="s">
        <v>1028</v>
      </c>
      <c r="H150" s="127">
        <f>SUM(H2:H145)</f>
        <v>0</v>
      </c>
      <c r="I150" s="148"/>
      <c r="J150" s="3" t="s">
        <v>1029</v>
      </c>
      <c r="K150" s="127">
        <f>D146</f>
        <v>18.260999999999996</v>
      </c>
      <c r="L150" s="148"/>
      <c r="M150" s="3" t="s">
        <v>1029</v>
      </c>
    </row>
    <row r="151" spans="1:18">
      <c r="A151" s="18">
        <f>COUNT(C2:C145)/A149</f>
        <v>0.58741258741258739</v>
      </c>
      <c r="B151" s="18"/>
      <c r="D151" s="15">
        <f>1/A151</f>
        <v>1.7023809523809523</v>
      </c>
      <c r="E151" s="15"/>
      <c r="F151" s="15"/>
      <c r="G151" s="147" t="s">
        <v>1030</v>
      </c>
      <c r="H151" s="569">
        <f>(H150-I150)</f>
        <v>0</v>
      </c>
      <c r="I151" s="570"/>
      <c r="J151" s="128"/>
      <c r="K151" s="569">
        <f>(K150-L150)</f>
        <v>18.260999999999996</v>
      </c>
      <c r="L151" s="570"/>
      <c r="M151" s="128"/>
    </row>
    <row r="152" spans="1:18">
      <c r="A152" t="s">
        <v>4</v>
      </c>
      <c r="G152" s="147" t="s">
        <v>1031</v>
      </c>
      <c r="H152" s="571">
        <f>H148+H151</f>
        <v>100</v>
      </c>
      <c r="I152" s="572"/>
      <c r="J152" s="128">
        <f>130-H152</f>
        <v>30</v>
      </c>
      <c r="K152" s="571">
        <f>K148+K151</f>
        <v>99.150999999999996</v>
      </c>
      <c r="L152" s="572"/>
      <c r="M152" s="128"/>
      <c r="O152" s="235">
        <v>74.147999999999996</v>
      </c>
      <c r="P152" s="18"/>
    </row>
    <row r="153" spans="1:18">
      <c r="A153" s="18">
        <f>D146/B146</f>
        <v>0.12769930069930066</v>
      </c>
      <c r="F153" s="158"/>
      <c r="G153" s="147" t="s">
        <v>1032</v>
      </c>
      <c r="H153" s="45">
        <f>(H152-H148)/H148</f>
        <v>0</v>
      </c>
      <c r="I153" s="46">
        <f>B146/H148</f>
        <v>1.43</v>
      </c>
      <c r="J153" t="s">
        <v>1033</v>
      </c>
      <c r="K153" s="45">
        <f>(K152-K148)/K148</f>
        <v>0.22575101990357269</v>
      </c>
      <c r="L153" s="46">
        <f>B146/K148</f>
        <v>1.767832859438744</v>
      </c>
      <c r="M153" t="s">
        <v>1033</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6" t="s">
        <v>468</v>
      </c>
      <c r="B171" s="132" t="s">
        <v>1</v>
      </c>
      <c r="C171" s="527"/>
      <c r="E171" s="134" t="s">
        <v>4</v>
      </c>
    </row>
    <row r="173" spans="1:37">
      <c r="D173" s="7" t="s">
        <v>3</v>
      </c>
    </row>
    <row r="174" spans="1:37">
      <c r="B174" s="21" t="s">
        <v>1036</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470</v>
      </c>
      <c r="B197" s="140">
        <f>SUM(B2:B16)</f>
        <v>15</v>
      </c>
      <c r="C197" s="140"/>
      <c r="D197" s="140">
        <f>SUM(D2:D16)</f>
        <v>-3.4500000000000006</v>
      </c>
      <c r="E197" s="144">
        <f t="shared" ref="E197:E198" si="7">D197/B197</f>
        <v>-0.23000000000000004</v>
      </c>
      <c r="F197" s="18"/>
      <c r="G197" s="221" t="s">
        <v>469</v>
      </c>
    </row>
    <row r="198" spans="1:7">
      <c r="A198" s="139" t="s">
        <v>471</v>
      </c>
      <c r="B198" s="140">
        <f>SUM(B17:B46)</f>
        <v>30</v>
      </c>
      <c r="C198" s="140"/>
      <c r="D198" s="140">
        <f>SUM(D17:D46)</f>
        <v>2.145999999999999</v>
      </c>
      <c r="E198" s="144">
        <f t="shared" si="7"/>
        <v>7.1533333333333296E-2</v>
      </c>
      <c r="G198" s="220"/>
    </row>
    <row r="199" spans="1:7">
      <c r="A199" s="139" t="s">
        <v>472</v>
      </c>
      <c r="B199" s="140">
        <f>SUM(B47:B90)</f>
        <v>44</v>
      </c>
      <c r="C199" s="140"/>
      <c r="D199" s="140">
        <f>SUM(D47:D90)</f>
        <v>11.262000000000004</v>
      </c>
      <c r="E199" s="144">
        <f t="shared" ref="E199" si="8">D199/B199</f>
        <v>0.25595454545454555</v>
      </c>
      <c r="G199" s="220"/>
    </row>
    <row r="200" spans="1:7">
      <c r="A200" s="139" t="s">
        <v>474</v>
      </c>
      <c r="B200" s="140">
        <f>SUM(B91:B145)</f>
        <v>54</v>
      </c>
      <c r="C200" s="140"/>
      <c r="D200" s="140">
        <f>SUM(D91:D145)</f>
        <v>8.3030000000000008</v>
      </c>
      <c r="E200" s="144">
        <f t="shared" ref="E200" si="9">D200/B200</f>
        <v>0.15375925925925926</v>
      </c>
      <c r="G200" s="220"/>
    </row>
    <row r="201" spans="1:7">
      <c r="A201" s="139" t="s">
        <v>475</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485</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1037</v>
      </c>
      <c r="D1" t="s">
        <v>1038</v>
      </c>
      <c r="E1" s="175" t="s">
        <v>1039</v>
      </c>
      <c r="G1" s="233" t="s">
        <v>1040</v>
      </c>
      <c r="H1" s="175" t="s">
        <v>1039</v>
      </c>
      <c r="M1" t="s">
        <v>1041</v>
      </c>
      <c r="N1" s="588" t="s">
        <v>1042</v>
      </c>
      <c r="O1" s="588"/>
      <c r="P1" s="588"/>
      <c r="Q1" s="588"/>
      <c r="R1" s="588"/>
      <c r="S1" s="588"/>
      <c r="T1" s="88" t="s">
        <v>1043</v>
      </c>
      <c r="U1" s="240" t="s">
        <v>5</v>
      </c>
      <c r="V1" s="217" t="s">
        <v>1044</v>
      </c>
    </row>
    <row r="2" spans="1:22">
      <c r="A2" s="522" t="s">
        <v>1045</v>
      </c>
      <c r="B2" s="171">
        <v>0.6</v>
      </c>
      <c r="C2" s="171"/>
      <c r="D2" s="180">
        <f>26/61</f>
        <v>0.42622950819672129</v>
      </c>
      <c r="E2" s="176">
        <f>B2*D2</f>
        <v>0.25573770491803277</v>
      </c>
      <c r="F2" s="18"/>
      <c r="G2" s="180">
        <f>15/62</f>
        <v>0.24193548387096775</v>
      </c>
      <c r="H2" s="176">
        <f>B2*G2</f>
        <v>0.14516129032258066</v>
      </c>
      <c r="M2" t="s">
        <v>1046</v>
      </c>
      <c r="N2" s="58">
        <v>2</v>
      </c>
      <c r="T2" s="241">
        <v>100</v>
      </c>
      <c r="U2" s="239">
        <v>2.5099999999999998</v>
      </c>
      <c r="V2" s="242"/>
    </row>
    <row r="3" spans="1:22">
      <c r="A3" s="522" t="s">
        <v>1047</v>
      </c>
      <c r="B3" s="171">
        <v>0.4</v>
      </c>
      <c r="C3" s="171"/>
      <c r="D3" s="180">
        <f>9/15</f>
        <v>0.6</v>
      </c>
      <c r="E3" s="177">
        <f t="shared" ref="E3" si="0">B3*D3</f>
        <v>0.24</v>
      </c>
      <c r="F3" s="18"/>
      <c r="G3" s="180">
        <f>6/15</f>
        <v>0.4</v>
      </c>
      <c r="H3" s="177">
        <f>B3*G3</f>
        <v>0.16000000000000003</v>
      </c>
      <c r="M3" t="s">
        <v>1048</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1049</v>
      </c>
      <c r="M4" t="s">
        <v>1050</v>
      </c>
      <c r="N4" s="19">
        <f>1-N3</f>
        <v>0.4</v>
      </c>
      <c r="T4" s="236"/>
      <c r="U4" s="236"/>
      <c r="V4" s="236"/>
    </row>
    <row r="5" spans="1:22">
      <c r="C5" s="164"/>
      <c r="F5" s="18"/>
      <c r="J5" s="172">
        <f>1 - J4</f>
        <v>0.62954263513887831</v>
      </c>
      <c r="K5" s="174" t="s">
        <v>1051</v>
      </c>
      <c r="M5" t="s">
        <v>1035</v>
      </c>
      <c r="N5" s="19">
        <f>(N2*N3-N4)/N2</f>
        <v>0.39999999999999997</v>
      </c>
      <c r="T5" s="236"/>
      <c r="U5" s="236"/>
      <c r="V5" s="236"/>
    </row>
    <row r="6" spans="1:22">
      <c r="A6" s="522" t="s">
        <v>1052</v>
      </c>
      <c r="B6" s="171">
        <v>0.7</v>
      </c>
      <c r="D6" s="176">
        <f>E4</f>
        <v>0.49573770491803276</v>
      </c>
      <c r="E6" s="178">
        <f>B6*D6</f>
        <v>0.34701639344262292</v>
      </c>
      <c r="G6" s="176">
        <f>H4</f>
        <v>0.30516129032258066</v>
      </c>
      <c r="H6" s="178">
        <f>B6*G6</f>
        <v>0.21361290322580645</v>
      </c>
      <c r="M6" t="s">
        <v>1053</v>
      </c>
      <c r="N6" s="19">
        <f>N5/10</f>
        <v>3.9999999999999994E-2</v>
      </c>
      <c r="T6" s="236"/>
      <c r="U6" s="236"/>
      <c r="V6" s="236"/>
    </row>
    <row r="7" spans="1:22">
      <c r="A7" s="522" t="s">
        <v>1054</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1039</v>
      </c>
      <c r="G10" t="str">
        <f>G1</f>
        <v>Cleveland</v>
      </c>
      <c r="H10" s="175" t="s">
        <v>1039</v>
      </c>
      <c r="J10" s="18">
        <f xml:space="preserve"> (1 - E11) * (1 - H11)</f>
        <v>0.760876</v>
      </c>
      <c r="K10" s="173" t="s">
        <v>1049</v>
      </c>
      <c r="T10" s="236"/>
      <c r="U10" s="236"/>
      <c r="V10" s="236"/>
    </row>
    <row r="11" spans="1:22">
      <c r="D11" s="18"/>
      <c r="E11" s="44">
        <v>0.14699999999999999</v>
      </c>
      <c r="G11" s="18"/>
      <c r="H11" s="44">
        <v>0.108</v>
      </c>
      <c r="J11" s="172">
        <f>1 - J10</f>
        <v>0.239124</v>
      </c>
      <c r="K11" s="174" t="s">
        <v>1051</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1055</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1056</v>
      </c>
      <c r="B1" s="80" t="s">
        <v>1057</v>
      </c>
      <c r="C1" s="80" t="s">
        <v>1058</v>
      </c>
      <c r="D1" s="81" t="s">
        <v>1059</v>
      </c>
      <c r="E1" s="81" t="s">
        <v>1060</v>
      </c>
      <c r="F1" s="82" t="s">
        <v>1061</v>
      </c>
      <c r="G1" s="82" t="s">
        <v>1062</v>
      </c>
      <c r="H1" s="82" t="s">
        <v>1063</v>
      </c>
      <c r="I1" s="83" t="s">
        <v>1064</v>
      </c>
      <c r="J1" s="81" t="s">
        <v>1065</v>
      </c>
      <c r="K1" s="80" t="s">
        <v>1066</v>
      </c>
      <c r="L1" s="84" t="s">
        <v>1067</v>
      </c>
      <c r="M1" s="85" t="s">
        <v>1068</v>
      </c>
      <c r="N1" s="85" t="s">
        <v>1069</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59">
        <f>P6</f>
        <v>700</v>
      </c>
      <c r="T4" s="560"/>
      <c r="U4" s="16" t="s">
        <v>1070</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9" t="s">
        <v>1071</v>
      </c>
      <c r="P5" s="589"/>
      <c r="R5" s="17" t="s">
        <v>1025</v>
      </c>
      <c r="S5" s="75">
        <f>L2</f>
        <v>7</v>
      </c>
      <c r="T5" s="76">
        <f>S5*10</f>
        <v>70</v>
      </c>
      <c r="U5" s="3" t="s">
        <v>1026</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1072</v>
      </c>
      <c r="P6" s="29">
        <v>700</v>
      </c>
      <c r="R6" s="17" t="s">
        <v>1028</v>
      </c>
      <c r="S6" s="46">
        <v>0</v>
      </c>
      <c r="T6" s="60"/>
      <c r="U6" s="3" t="s">
        <v>1029</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1073</v>
      </c>
      <c r="P7" s="30">
        <v>45951</v>
      </c>
      <c r="R7" s="17" t="s">
        <v>1030</v>
      </c>
      <c r="S7" s="559">
        <f>(S6-T6)</f>
        <v>0</v>
      </c>
      <c r="T7" s="591"/>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1074</v>
      </c>
      <c r="P8" s="31">
        <v>1</v>
      </c>
      <c r="R8" s="17" t="s">
        <v>1031</v>
      </c>
      <c r="S8" s="592">
        <f>S4+S7</f>
        <v>700</v>
      </c>
      <c r="T8" s="593"/>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1075</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1076</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1077</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1078</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9" t="s">
        <v>1079</v>
      </c>
      <c r="P13" s="589"/>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1080</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1081</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0" t="s">
        <v>1082</v>
      </c>
      <c r="P17" s="590"/>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1083</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1084</v>
      </c>
      <c r="B1" s="56" t="s">
        <v>1085</v>
      </c>
      <c r="C1" s="56" t="s">
        <v>1086</v>
      </c>
      <c r="D1" s="56" t="s">
        <v>1087</v>
      </c>
      <c r="E1" s="56" t="s">
        <v>1086</v>
      </c>
    </row>
    <row r="2" spans="1:7">
      <c r="A2" s="49" t="s">
        <v>485</v>
      </c>
      <c r="B2" s="61">
        <f>SUM(B4:B8)</f>
        <v>297.69890755043576</v>
      </c>
      <c r="C2" s="63">
        <f>SUM(C4:C8)</f>
        <v>0.99999999999999989</v>
      </c>
      <c r="D2" s="62" t="e">
        <f>#REF!+0</f>
        <v>#REF!</v>
      </c>
      <c r="E2" s="63" t="e">
        <f>(D2-B2)/B2</f>
        <v>#REF!</v>
      </c>
      <c r="F2" s="50"/>
    </row>
    <row r="3" spans="1:7">
      <c r="B3" s="50"/>
      <c r="D3" s="50"/>
    </row>
    <row r="4" spans="1:7">
      <c r="A4" t="s">
        <v>1088</v>
      </c>
      <c r="B4" s="50">
        <v>5.4938695562496047</v>
      </c>
      <c r="C4" s="18">
        <f t="shared" ref="C4:C7" si="0">B4/$B$2</f>
        <v>1.8454449838109805E-2</v>
      </c>
      <c r="D4" s="50" t="e">
        <f t="shared" ref="D4:D7" si="1">$D$2*C4</f>
        <v>#REF!</v>
      </c>
      <c r="E4" s="98"/>
      <c r="F4" s="50"/>
    </row>
    <row r="5" spans="1:7">
      <c r="A5" t="s">
        <v>1089</v>
      </c>
      <c r="B5" s="50">
        <v>5.7229409898235017</v>
      </c>
      <c r="C5" s="18">
        <f t="shared" si="0"/>
        <v>1.9223923382567093E-2</v>
      </c>
      <c r="D5" s="50" t="e">
        <f t="shared" si="1"/>
        <v>#REF!</v>
      </c>
      <c r="E5" s="98"/>
      <c r="F5" s="50"/>
    </row>
    <row r="6" spans="1:7">
      <c r="A6" t="s">
        <v>1090</v>
      </c>
      <c r="B6" s="50">
        <v>29.972097004362656</v>
      </c>
      <c r="C6" s="18">
        <f t="shared" si="0"/>
        <v>0.10067923074015588</v>
      </c>
      <c r="D6" s="50" t="e">
        <f t="shared" si="1"/>
        <v>#REF!</v>
      </c>
      <c r="E6" s="98"/>
      <c r="F6" s="50"/>
    </row>
    <row r="7" spans="1:7">
      <c r="A7" t="s">
        <v>1091</v>
      </c>
      <c r="B7" s="50">
        <v>256.51</v>
      </c>
      <c r="C7" s="18">
        <f t="shared" si="0"/>
        <v>0.86164239603916715</v>
      </c>
      <c r="D7" s="50" t="e">
        <f t="shared" si="1"/>
        <v>#REF!</v>
      </c>
      <c r="E7" s="18"/>
      <c r="F7" s="50"/>
    </row>
    <row r="8" spans="1:7">
      <c r="B8" s="50"/>
      <c r="D8" s="50"/>
    </row>
    <row r="9" spans="1:7">
      <c r="A9" t="s">
        <v>1092</v>
      </c>
      <c r="B9" s="51">
        <f>B2-SUM(B4:B8)</f>
        <v>0</v>
      </c>
      <c r="C9" s="52"/>
      <c r="D9" s="51" t="e">
        <f>D2-SUM(D4:D8)</f>
        <v>#REF!</v>
      </c>
    </row>
    <row r="10" spans="1:7">
      <c r="B10" s="50"/>
      <c r="D10" s="50"/>
      <c r="E10" s="18">
        <v>0.8</v>
      </c>
      <c r="F10" s="53" t="s">
        <v>1093</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1036</v>
      </c>
      <c r="B1" s="4" t="s">
        <v>2</v>
      </c>
      <c r="C1" s="5" t="s">
        <v>3</v>
      </c>
      <c r="D1" s="6" t="s">
        <v>4</v>
      </c>
      <c r="E1" s="6" t="s">
        <v>5</v>
      </c>
      <c r="F1" s="100"/>
      <c r="G1" s="112" t="s">
        <v>1036</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1094</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2026-03-31T13:24:54Z</dcterms:modified>
  <cp:category/>
  <cp:contentStatus/>
</cp:coreProperties>
</file>