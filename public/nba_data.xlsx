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7A9A6423-77BD-47A8-9101-803042581B57}"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565"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87" i="17" l="1"/>
  <c r="C1087" i="17"/>
  <c r="C1082" i="17"/>
  <c r="C1081" i="17"/>
  <c r="J1080" i="17"/>
  <c r="I1080" i="17"/>
  <c r="C1080" i="17"/>
  <c r="K1079" i="17"/>
  <c r="C1079" i="17"/>
  <c r="K1078" i="17"/>
  <c r="C1078" i="17"/>
  <c r="K1077" i="17"/>
  <c r="C1077" i="17"/>
  <c r="K1076" i="17"/>
  <c r="K1080" i="17" s="1"/>
  <c r="C1074" i="17"/>
  <c r="C1073" i="17"/>
  <c r="C1072" i="17"/>
  <c r="C1071" i="17"/>
  <c r="C1070" i="17"/>
  <c r="C1069" i="17"/>
  <c r="D1046" i="17"/>
  <c r="F1045" i="17"/>
  <c r="E1040" i="17"/>
  <c r="E1039" i="17"/>
  <c r="E1038" i="17"/>
  <c r="E1037" i="17"/>
  <c r="E1036" i="17"/>
  <c r="I1040" i="17" s="1"/>
  <c r="L1040" i="17" s="1"/>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I1035" i="17" s="1"/>
  <c r="L1035" i="17" s="1"/>
  <c r="E1011" i="17"/>
  <c r="E1010" i="17"/>
  <c r="E1009" i="17"/>
  <c r="E1008" i="17"/>
  <c r="E1007" i="17"/>
  <c r="I1011" i="17" s="1"/>
  <c r="L1011" i="17" s="1"/>
  <c r="E1006" i="17"/>
  <c r="E1005" i="17"/>
  <c r="E1004" i="17"/>
  <c r="E1003" i="17"/>
  <c r="E1002" i="17"/>
  <c r="E1001" i="17"/>
  <c r="E1000" i="17"/>
  <c r="E999" i="17"/>
  <c r="E998" i="17"/>
  <c r="E997" i="17"/>
  <c r="E996" i="17"/>
  <c r="E995" i="17"/>
  <c r="E994" i="17"/>
  <c r="E993" i="17"/>
  <c r="E992" i="17"/>
  <c r="E991" i="17"/>
  <c r="I993" i="17" s="1"/>
  <c r="L993" i="17" s="1"/>
  <c r="E990" i="17"/>
  <c r="E989" i="17"/>
  <c r="E988" i="17"/>
  <c r="E987" i="17"/>
  <c r="E986" i="17"/>
  <c r="E985" i="17"/>
  <c r="E984" i="17"/>
  <c r="E983" i="17"/>
  <c r="E982" i="17"/>
  <c r="E981" i="17"/>
  <c r="E980" i="17"/>
  <c r="E979" i="17"/>
  <c r="E978" i="17"/>
  <c r="E977" i="17"/>
  <c r="E976" i="17"/>
  <c r="I990" i="17" s="1"/>
  <c r="L990" i="17" s="1"/>
  <c r="E975" i="17"/>
  <c r="E974" i="17"/>
  <c r="E973" i="17"/>
  <c r="E972" i="17"/>
  <c r="E971" i="17"/>
  <c r="E970" i="17"/>
  <c r="E969" i="17"/>
  <c r="E968" i="17"/>
  <c r="E967" i="17"/>
  <c r="I975" i="17" s="1"/>
  <c r="L975" i="17" s="1"/>
  <c r="E966" i="17"/>
  <c r="E965" i="17"/>
  <c r="E964" i="17"/>
  <c r="E963" i="17"/>
  <c r="E962" i="17"/>
  <c r="E961" i="17"/>
  <c r="E960" i="17"/>
  <c r="E959" i="17"/>
  <c r="E958" i="17"/>
  <c r="E957" i="17"/>
  <c r="E956" i="17"/>
  <c r="E955" i="17"/>
  <c r="I966" i="17" s="1"/>
  <c r="L966" i="17" s="1"/>
  <c r="E954" i="17"/>
  <c r="E953" i="17"/>
  <c r="E952" i="17"/>
  <c r="E951" i="17"/>
  <c r="E950" i="17"/>
  <c r="E949" i="17"/>
  <c r="E948" i="17"/>
  <c r="E947" i="17"/>
  <c r="E946" i="17"/>
  <c r="E945" i="17"/>
  <c r="I954" i="17" s="1"/>
  <c r="L954" i="17" s="1"/>
  <c r="E944" i="17"/>
  <c r="E943" i="17"/>
  <c r="E942" i="17"/>
  <c r="E941" i="17"/>
  <c r="E1087" i="17" s="1"/>
  <c r="F1087" i="17" s="1"/>
  <c r="E940" i="17"/>
  <c r="E939" i="17"/>
  <c r="E938" i="17"/>
  <c r="E937" i="17"/>
  <c r="E936" i="17"/>
  <c r="E935" i="17"/>
  <c r="E934" i="17"/>
  <c r="E933" i="17"/>
  <c r="I944" i="17" s="1"/>
  <c r="L944" i="17" s="1"/>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I912" i="17" s="1"/>
  <c r="L912" i="17" s="1"/>
  <c r="E906" i="17"/>
  <c r="E905" i="17"/>
  <c r="E904" i="17"/>
  <c r="E903" i="17"/>
  <c r="E902" i="17"/>
  <c r="E901" i="17"/>
  <c r="E900" i="17"/>
  <c r="E899" i="17"/>
  <c r="E898" i="17"/>
  <c r="E897" i="17"/>
  <c r="E896" i="17"/>
  <c r="E895" i="17"/>
  <c r="I906" i="17" s="1"/>
  <c r="L906" i="17" s="1"/>
  <c r="E894" i="17"/>
  <c r="E893" i="17"/>
  <c r="E892" i="17"/>
  <c r="E891" i="17"/>
  <c r="E890" i="17"/>
  <c r="E889" i="17"/>
  <c r="E888" i="17"/>
  <c r="E887" i="17"/>
  <c r="E886" i="17"/>
  <c r="I894" i="17" s="1"/>
  <c r="L894" i="17" s="1"/>
  <c r="E885" i="17"/>
  <c r="E884" i="17"/>
  <c r="E883" i="17"/>
  <c r="E882" i="17"/>
  <c r="E881" i="17"/>
  <c r="E880" i="17"/>
  <c r="E879" i="17"/>
  <c r="E878" i="17"/>
  <c r="E877" i="17"/>
  <c r="E876" i="17"/>
  <c r="E875" i="17"/>
  <c r="E874" i="17"/>
  <c r="E873" i="17"/>
  <c r="E872" i="17"/>
  <c r="E871" i="17"/>
  <c r="I885" i="17" s="1"/>
  <c r="L885" i="17" s="1"/>
  <c r="E870" i="17"/>
  <c r="E869" i="17"/>
  <c r="E868" i="17"/>
  <c r="E867" i="17"/>
  <c r="E866" i="17"/>
  <c r="E865" i="17"/>
  <c r="E864" i="17"/>
  <c r="E863" i="17"/>
  <c r="E862" i="17"/>
  <c r="E861" i="17"/>
  <c r="I870" i="17" s="1"/>
  <c r="L870" i="17" s="1"/>
  <c r="E860" i="17"/>
  <c r="E859" i="17"/>
  <c r="E858" i="17"/>
  <c r="E857" i="17"/>
  <c r="E856" i="17"/>
  <c r="E855" i="17"/>
  <c r="E854" i="17"/>
  <c r="E853" i="17"/>
  <c r="E852" i="17"/>
  <c r="E851" i="17"/>
  <c r="E850" i="17"/>
  <c r="E849" i="17"/>
  <c r="E848" i="17"/>
  <c r="E847" i="17"/>
  <c r="E846" i="17"/>
  <c r="E845" i="17"/>
  <c r="E844" i="17"/>
  <c r="E843" i="17"/>
  <c r="I850" i="17" s="1"/>
  <c r="L850" i="17" s="1"/>
  <c r="E842" i="17"/>
  <c r="E841" i="17"/>
  <c r="E840" i="17"/>
  <c r="E839" i="17"/>
  <c r="E838" i="17"/>
  <c r="E837" i="17"/>
  <c r="E836" i="17"/>
  <c r="E835" i="17"/>
  <c r="E834" i="17"/>
  <c r="E833" i="17"/>
  <c r="E832" i="17"/>
  <c r="E831" i="17"/>
  <c r="E830" i="17"/>
  <c r="E829" i="17"/>
  <c r="I842" i="17" s="1"/>
  <c r="L842" i="17" s="1"/>
  <c r="E828" i="17"/>
  <c r="E827" i="17"/>
  <c r="E826" i="17"/>
  <c r="E825" i="17"/>
  <c r="E824" i="17"/>
  <c r="E823" i="17"/>
  <c r="E822" i="17"/>
  <c r="I828" i="17" s="1"/>
  <c r="L828" i="17" s="1"/>
  <c r="E821" i="17"/>
  <c r="E820" i="17"/>
  <c r="E819" i="17"/>
  <c r="E818" i="17"/>
  <c r="E817" i="17"/>
  <c r="E816" i="17"/>
  <c r="E815" i="17"/>
  <c r="E814" i="17"/>
  <c r="E813" i="17"/>
  <c r="I821" i="17" s="1"/>
  <c r="L821" i="17" s="1"/>
  <c r="E812" i="17"/>
  <c r="E811" i="17"/>
  <c r="E810" i="17"/>
  <c r="E809" i="17"/>
  <c r="E808" i="17"/>
  <c r="I812" i="17" s="1"/>
  <c r="L812" i="17" s="1"/>
  <c r="E807" i="17"/>
  <c r="E806" i="17"/>
  <c r="E805" i="17"/>
  <c r="E804" i="17"/>
  <c r="E803" i="17"/>
  <c r="I807" i="17" s="1"/>
  <c r="L807" i="17" s="1"/>
  <c r="E802" i="17"/>
  <c r="E801" i="17"/>
  <c r="E800" i="17"/>
  <c r="E799" i="17"/>
  <c r="E798" i="17"/>
  <c r="E797" i="17"/>
  <c r="E796" i="17"/>
  <c r="E795" i="17"/>
  <c r="E794" i="17"/>
  <c r="E793" i="17"/>
  <c r="E792" i="17"/>
  <c r="E791" i="17"/>
  <c r="E790" i="17"/>
  <c r="I793" i="17" s="1"/>
  <c r="L793" i="17" s="1"/>
  <c r="E789" i="17"/>
  <c r="E788" i="17"/>
  <c r="E787" i="17"/>
  <c r="E786" i="17"/>
  <c r="E785" i="17"/>
  <c r="I789" i="17" s="1"/>
  <c r="L789" i="17" s="1"/>
  <c r="E784" i="17"/>
  <c r="E783" i="17"/>
  <c r="E782" i="17"/>
  <c r="E781" i="17"/>
  <c r="E780" i="17"/>
  <c r="E779" i="17"/>
  <c r="E778" i="17"/>
  <c r="E777" i="17"/>
  <c r="E776" i="17"/>
  <c r="E775" i="17"/>
  <c r="I784" i="17" s="1"/>
  <c r="L784" i="17" s="1"/>
  <c r="E774" i="17"/>
  <c r="E773" i="17"/>
  <c r="E772" i="17"/>
  <c r="E771" i="17"/>
  <c r="E770" i="17"/>
  <c r="E769" i="17"/>
  <c r="E768" i="17"/>
  <c r="E767" i="17"/>
  <c r="E766" i="17"/>
  <c r="I774" i="17" s="1"/>
  <c r="L774" i="17" s="1"/>
  <c r="E765" i="17"/>
  <c r="E764" i="17"/>
  <c r="I765" i="17" s="1"/>
  <c r="L765" i="17" s="1"/>
  <c r="E763" i="17"/>
  <c r="E762" i="17"/>
  <c r="E761" i="17"/>
  <c r="E760" i="17"/>
  <c r="E759" i="17"/>
  <c r="E758" i="17"/>
  <c r="E757" i="17"/>
  <c r="E756" i="17"/>
  <c r="E755" i="17"/>
  <c r="E754" i="17"/>
  <c r="E753" i="17"/>
  <c r="E752" i="17"/>
  <c r="E751" i="17"/>
  <c r="E750" i="17"/>
  <c r="E749" i="17"/>
  <c r="E748" i="17"/>
  <c r="E747" i="17"/>
  <c r="E746" i="17"/>
  <c r="E745" i="17"/>
  <c r="I756" i="17" s="1"/>
  <c r="L756" i="17" s="1"/>
  <c r="E744" i="17"/>
  <c r="E743" i="17"/>
  <c r="E742" i="17"/>
  <c r="E741" i="17"/>
  <c r="E740" i="17"/>
  <c r="E739" i="17"/>
  <c r="E738" i="17"/>
  <c r="E737" i="17"/>
  <c r="I744" i="17" s="1"/>
  <c r="L744" i="17" s="1"/>
  <c r="E736" i="17"/>
  <c r="E735" i="17"/>
  <c r="E734" i="17"/>
  <c r="E733" i="17"/>
  <c r="E732" i="17"/>
  <c r="E731" i="17"/>
  <c r="E730" i="17"/>
  <c r="E729" i="17"/>
  <c r="E728" i="17"/>
  <c r="E727" i="17"/>
  <c r="E726" i="17"/>
  <c r="E725" i="17"/>
  <c r="I736" i="17" s="1"/>
  <c r="L736" i="17" s="1"/>
  <c r="E724" i="17"/>
  <c r="E723" i="17"/>
  <c r="E722" i="17"/>
  <c r="E721" i="17"/>
  <c r="I724" i="17" s="1"/>
  <c r="L724" i="17" s="1"/>
  <c r="E720" i="17"/>
  <c r="E719" i="17"/>
  <c r="E718" i="17"/>
  <c r="E717" i="17"/>
  <c r="E716" i="17"/>
  <c r="E715" i="17"/>
  <c r="E714" i="17"/>
  <c r="E713" i="17"/>
  <c r="E712" i="17"/>
  <c r="E711" i="17"/>
  <c r="E710" i="17"/>
  <c r="E709" i="17"/>
  <c r="I720" i="17" s="1"/>
  <c r="L720" i="17" s="1"/>
  <c r="E708" i="17"/>
  <c r="E707" i="17"/>
  <c r="E706" i="17"/>
  <c r="E705" i="17"/>
  <c r="E704" i="17"/>
  <c r="E703" i="17"/>
  <c r="E702" i="17"/>
  <c r="I708" i="17" s="1"/>
  <c r="L708" i="17" s="1"/>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I691" i="17" s="1"/>
  <c r="L691" i="17" s="1"/>
  <c r="E677" i="17"/>
  <c r="E676" i="17"/>
  <c r="E675" i="17"/>
  <c r="E674" i="17"/>
  <c r="E673" i="17"/>
  <c r="E672" i="17"/>
  <c r="E671" i="17"/>
  <c r="E670" i="17"/>
  <c r="E669" i="17"/>
  <c r="E668" i="17"/>
  <c r="E667" i="17"/>
  <c r="E666" i="17"/>
  <c r="E665" i="17"/>
  <c r="E664" i="17"/>
  <c r="I677" i="17" s="1"/>
  <c r="L677" i="17" s="1"/>
  <c r="E663" i="17"/>
  <c r="E662" i="17"/>
  <c r="E661" i="17"/>
  <c r="E660" i="17"/>
  <c r="E659" i="17"/>
  <c r="E658" i="17"/>
  <c r="E657" i="17"/>
  <c r="E656" i="17"/>
  <c r="E655" i="17"/>
  <c r="E654" i="17"/>
  <c r="E653" i="17"/>
  <c r="E652" i="17"/>
  <c r="E651" i="17"/>
  <c r="E650" i="17"/>
  <c r="E649" i="17"/>
  <c r="E648" i="17"/>
  <c r="E647" i="17"/>
  <c r="E646" i="17"/>
  <c r="I663" i="17" s="1"/>
  <c r="L663" i="17" s="1"/>
  <c r="E645" i="17"/>
  <c r="E644" i="17"/>
  <c r="E643" i="17"/>
  <c r="E642" i="17"/>
  <c r="E641" i="17"/>
  <c r="C640" i="17"/>
  <c r="E639" i="17"/>
  <c r="E638" i="17"/>
  <c r="E637" i="17"/>
  <c r="E636" i="17"/>
  <c r="E635" i="17"/>
  <c r="E634" i="17"/>
  <c r="E633" i="17"/>
  <c r="E632" i="17"/>
  <c r="E631" i="17"/>
  <c r="E630" i="17"/>
  <c r="E629" i="17"/>
  <c r="E628" i="17"/>
  <c r="E627" i="17"/>
  <c r="E626" i="17"/>
  <c r="E625" i="17"/>
  <c r="I639" i="17" s="1"/>
  <c r="L639" i="17" s="1"/>
  <c r="E624" i="17"/>
  <c r="E623" i="17"/>
  <c r="E622" i="17"/>
  <c r="E621" i="17"/>
  <c r="E620" i="17"/>
  <c r="E619" i="17"/>
  <c r="E618" i="17"/>
  <c r="E617" i="17"/>
  <c r="E616" i="17"/>
  <c r="I624" i="17" s="1"/>
  <c r="L624" i="17" s="1"/>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I594" i="17" s="1"/>
  <c r="L594" i="17" s="1"/>
  <c r="E580" i="17"/>
  <c r="E579" i="17"/>
  <c r="E578" i="17"/>
  <c r="E577" i="17"/>
  <c r="E576" i="17"/>
  <c r="E575" i="17"/>
  <c r="E574" i="17"/>
  <c r="E573" i="17"/>
  <c r="E572" i="17"/>
  <c r="E571" i="17"/>
  <c r="E570" i="17"/>
  <c r="E569" i="17"/>
  <c r="I580" i="17" s="1"/>
  <c r="L580" i="17" s="1"/>
  <c r="E568" i="17"/>
  <c r="E567" i="17"/>
  <c r="E566" i="17"/>
  <c r="E565" i="17"/>
  <c r="E564" i="17"/>
  <c r="E563" i="17"/>
  <c r="E562" i="17"/>
  <c r="E561" i="17"/>
  <c r="E560" i="17"/>
  <c r="E559" i="17"/>
  <c r="E558" i="17"/>
  <c r="E557" i="17"/>
  <c r="E556" i="17"/>
  <c r="E555" i="17"/>
  <c r="E554" i="17"/>
  <c r="E553" i="17"/>
  <c r="E552" i="17"/>
  <c r="I568" i="17" s="1"/>
  <c r="L568" i="17" s="1"/>
  <c r="E551" i="17"/>
  <c r="E550" i="17"/>
  <c r="E549" i="17"/>
  <c r="E548" i="17"/>
  <c r="E547" i="17"/>
  <c r="E546" i="17"/>
  <c r="E545" i="17"/>
  <c r="E544" i="17"/>
  <c r="E543" i="17"/>
  <c r="E542" i="17"/>
  <c r="E541" i="17"/>
  <c r="E540" i="17"/>
  <c r="I551" i="17" s="1"/>
  <c r="L551" i="17" s="1"/>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I539" i="17" s="1"/>
  <c r="L539" i="17" s="1"/>
  <c r="E513" i="17"/>
  <c r="E512" i="17"/>
  <c r="E511" i="17"/>
  <c r="E510" i="17"/>
  <c r="E509" i="17"/>
  <c r="E508" i="17"/>
  <c r="E507" i="17"/>
  <c r="E506" i="17"/>
  <c r="E505" i="17"/>
  <c r="E504" i="17"/>
  <c r="E503" i="17"/>
  <c r="C502" i="17"/>
  <c r="E502" i="17" s="1"/>
  <c r="C501" i="17"/>
  <c r="E500" i="17"/>
  <c r="E499" i="17"/>
  <c r="E498" i="17"/>
  <c r="E497" i="17"/>
  <c r="E496" i="17"/>
  <c r="E495" i="17"/>
  <c r="E494" i="17"/>
  <c r="E493" i="17"/>
  <c r="E492" i="17"/>
  <c r="E491" i="17"/>
  <c r="E490" i="17"/>
  <c r="E489" i="17"/>
  <c r="E488" i="17"/>
  <c r="E487" i="17"/>
  <c r="I500" i="17" s="1"/>
  <c r="L500" i="17" s="1"/>
  <c r="E486" i="17"/>
  <c r="E485" i="17"/>
  <c r="E484" i="17"/>
  <c r="E483" i="17"/>
  <c r="E482" i="17"/>
  <c r="E481" i="17"/>
  <c r="E480" i="17"/>
  <c r="E479" i="17"/>
  <c r="E478" i="17"/>
  <c r="E477" i="17"/>
  <c r="E476" i="17"/>
  <c r="E475" i="17"/>
  <c r="E474" i="17"/>
  <c r="E473" i="17"/>
  <c r="E472" i="17"/>
  <c r="E471" i="17"/>
  <c r="E470" i="17"/>
  <c r="E469" i="17"/>
  <c r="E468" i="17"/>
  <c r="I486" i="17" s="1"/>
  <c r="L486" i="17" s="1"/>
  <c r="E467" i="17"/>
  <c r="E466" i="17"/>
  <c r="E465" i="17"/>
  <c r="E464" i="17"/>
  <c r="E463" i="17"/>
  <c r="E462" i="17"/>
  <c r="E461" i="17"/>
  <c r="E460" i="17"/>
  <c r="E459" i="17"/>
  <c r="E458" i="17"/>
  <c r="I467" i="17" s="1"/>
  <c r="L467" i="17" s="1"/>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I457" i="17" s="1"/>
  <c r="L457" i="17" s="1"/>
  <c r="E433" i="17"/>
  <c r="E432" i="17"/>
  <c r="E431" i="17"/>
  <c r="E430" i="17"/>
  <c r="E429" i="17"/>
  <c r="E428" i="17"/>
  <c r="I433" i="17" s="1"/>
  <c r="L433" i="17" s="1"/>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I417" i="17" s="1"/>
  <c r="L417" i="17" s="1"/>
  <c r="E401" i="17"/>
  <c r="E400" i="17"/>
  <c r="E399" i="17"/>
  <c r="E398" i="17"/>
  <c r="E397" i="17"/>
  <c r="E396" i="17"/>
  <c r="E395" i="17"/>
  <c r="E394" i="17"/>
  <c r="E393" i="17"/>
  <c r="E392" i="17"/>
  <c r="E391" i="17"/>
  <c r="E390" i="17"/>
  <c r="E389" i="17"/>
  <c r="E388" i="17"/>
  <c r="E387" i="17"/>
  <c r="I401" i="17" s="1"/>
  <c r="L401" i="17" s="1"/>
  <c r="E386" i="17"/>
  <c r="E385" i="17"/>
  <c r="E384" i="17"/>
  <c r="E383" i="17"/>
  <c r="E382" i="17"/>
  <c r="E381" i="17"/>
  <c r="E380" i="17"/>
  <c r="E379" i="17"/>
  <c r="E378" i="17"/>
  <c r="E377" i="17"/>
  <c r="I386" i="17" s="1"/>
  <c r="L386" i="17" s="1"/>
  <c r="E376" i="17"/>
  <c r="E375" i="17"/>
  <c r="E374" i="17"/>
  <c r="E373" i="17"/>
  <c r="E372" i="17"/>
  <c r="I376" i="17" s="1"/>
  <c r="L376" i="17" s="1"/>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I362" i="17" s="1"/>
  <c r="L362" i="17" s="1"/>
  <c r="E347" i="17"/>
  <c r="E346" i="17"/>
  <c r="E345" i="17"/>
  <c r="E344" i="17"/>
  <c r="E343" i="17"/>
  <c r="E342" i="17"/>
  <c r="E341" i="17"/>
  <c r="E340" i="17"/>
  <c r="E339" i="17"/>
  <c r="E338" i="17"/>
  <c r="E337" i="17"/>
  <c r="E336" i="17"/>
  <c r="E335" i="17"/>
  <c r="E334" i="17"/>
  <c r="E333" i="17"/>
  <c r="E332" i="17"/>
  <c r="E331" i="17"/>
  <c r="E330" i="17"/>
  <c r="I347" i="17" s="1"/>
  <c r="L347" i="17" s="1"/>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I329" i="17" s="1"/>
  <c r="L329" i="17" s="1"/>
  <c r="E306" i="17"/>
  <c r="E305" i="17"/>
  <c r="E304" i="17"/>
  <c r="E303" i="17"/>
  <c r="E302" i="17"/>
  <c r="E301" i="17"/>
  <c r="E300" i="17"/>
  <c r="E299" i="17"/>
  <c r="E298" i="17"/>
  <c r="E297" i="17"/>
  <c r="E296" i="17"/>
  <c r="E295" i="17"/>
  <c r="E294" i="17"/>
  <c r="I306" i="17" s="1"/>
  <c r="L306" i="17" s="1"/>
  <c r="E293" i="17"/>
  <c r="E292" i="17"/>
  <c r="E291" i="17"/>
  <c r="E290" i="17"/>
  <c r="E289" i="17"/>
  <c r="E288" i="17"/>
  <c r="E287" i="17"/>
  <c r="E286" i="17"/>
  <c r="E285" i="17"/>
  <c r="E284" i="17"/>
  <c r="E283" i="17"/>
  <c r="E282" i="17"/>
  <c r="E281" i="17"/>
  <c r="E280" i="17"/>
  <c r="E279" i="17"/>
  <c r="E278" i="17"/>
  <c r="E277" i="17"/>
  <c r="E276" i="17"/>
  <c r="I293" i="17" s="1"/>
  <c r="L293" i="17" s="1"/>
  <c r="E275" i="17"/>
  <c r="E274" i="17"/>
  <c r="E273" i="17"/>
  <c r="E272" i="17"/>
  <c r="E271" i="17"/>
  <c r="E270" i="17"/>
  <c r="E269" i="17"/>
  <c r="E268" i="17"/>
  <c r="E267" i="17"/>
  <c r="E266" i="17"/>
  <c r="E265" i="17"/>
  <c r="E264" i="17"/>
  <c r="E263" i="17"/>
  <c r="E262" i="17"/>
  <c r="E261" i="17"/>
  <c r="E260" i="17"/>
  <c r="E259" i="17"/>
  <c r="I275" i="17" s="1"/>
  <c r="L275" i="17" s="1"/>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I238" i="17" s="1"/>
  <c r="L238" i="17" s="1"/>
  <c r="E227" i="17"/>
  <c r="E226" i="17"/>
  <c r="E225" i="17"/>
  <c r="E224" i="17"/>
  <c r="E223" i="17"/>
  <c r="E222" i="17"/>
  <c r="E221" i="17"/>
  <c r="E220" i="17"/>
  <c r="E219" i="17"/>
  <c r="E218" i="17"/>
  <c r="E217" i="17"/>
  <c r="E216" i="17"/>
  <c r="I227" i="17" s="1"/>
  <c r="L227" i="17" s="1"/>
  <c r="E215" i="17"/>
  <c r="E214" i="17"/>
  <c r="E213" i="17"/>
  <c r="E212" i="17"/>
  <c r="E211" i="17"/>
  <c r="E210" i="17"/>
  <c r="E209" i="17"/>
  <c r="E208" i="17"/>
  <c r="E207" i="17"/>
  <c r="E206" i="17"/>
  <c r="E205" i="17"/>
  <c r="E204" i="17"/>
  <c r="E203" i="17"/>
  <c r="E202" i="17"/>
  <c r="E201" i="17"/>
  <c r="E200" i="17"/>
  <c r="E199" i="17"/>
  <c r="E198" i="17"/>
  <c r="I215" i="17" s="1"/>
  <c r="L215" i="17" s="1"/>
  <c r="E197" i="17"/>
  <c r="E196" i="17"/>
  <c r="E195" i="17"/>
  <c r="E194" i="17"/>
  <c r="E193" i="17"/>
  <c r="E192" i="17"/>
  <c r="E191" i="17"/>
  <c r="E190" i="17"/>
  <c r="E189" i="17"/>
  <c r="E188" i="17"/>
  <c r="E187" i="17"/>
  <c r="E186" i="17"/>
  <c r="E185" i="17"/>
  <c r="E184" i="17"/>
  <c r="E183" i="17"/>
  <c r="E182" i="17"/>
  <c r="E181" i="17"/>
  <c r="E180" i="17"/>
  <c r="I197" i="17" s="1"/>
  <c r="L197" i="17" s="1"/>
  <c r="E179" i="17"/>
  <c r="E178" i="17"/>
  <c r="E177" i="17"/>
  <c r="E176" i="17"/>
  <c r="E175" i="17"/>
  <c r="I179" i="17" s="1"/>
  <c r="L179" i="17" s="1"/>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I162" i="17" s="1"/>
  <c r="L162" i="17" s="1"/>
  <c r="E149" i="17"/>
  <c r="E148" i="17"/>
  <c r="E147" i="17"/>
  <c r="E146" i="17"/>
  <c r="E145" i="17"/>
  <c r="E144" i="17"/>
  <c r="E143" i="17"/>
  <c r="E142" i="17"/>
  <c r="E141" i="17"/>
  <c r="E140" i="17"/>
  <c r="I149" i="17" s="1"/>
  <c r="L149" i="17" s="1"/>
  <c r="E139" i="17"/>
  <c r="E138" i="17"/>
  <c r="E137" i="17"/>
  <c r="E136" i="17"/>
  <c r="E135" i="17"/>
  <c r="E134" i="17"/>
  <c r="E133" i="17"/>
  <c r="E132" i="17"/>
  <c r="E131" i="17"/>
  <c r="E130" i="17"/>
  <c r="E129" i="17"/>
  <c r="I139" i="17" s="1"/>
  <c r="L139" i="17" s="1"/>
  <c r="E128" i="17"/>
  <c r="E127" i="17"/>
  <c r="E126" i="17"/>
  <c r="E125" i="17"/>
  <c r="E124" i="17"/>
  <c r="E123" i="17"/>
  <c r="E122" i="17"/>
  <c r="E121" i="17"/>
  <c r="E120" i="17"/>
  <c r="I128" i="17" s="1"/>
  <c r="L128" i="17" s="1"/>
  <c r="E119" i="17"/>
  <c r="E118" i="17"/>
  <c r="E117" i="17"/>
  <c r="E116" i="17"/>
  <c r="E115" i="17"/>
  <c r="E114" i="17"/>
  <c r="E113" i="17"/>
  <c r="E112" i="17"/>
  <c r="E111" i="17"/>
  <c r="E110" i="17"/>
  <c r="I119" i="17" s="1"/>
  <c r="L119" i="17" s="1"/>
  <c r="E109" i="17"/>
  <c r="E108" i="17"/>
  <c r="E107" i="17"/>
  <c r="E106" i="17"/>
  <c r="E105" i="17"/>
  <c r="E104" i="17"/>
  <c r="E103" i="17"/>
  <c r="E102" i="17"/>
  <c r="E101" i="17"/>
  <c r="E100" i="17"/>
  <c r="I109" i="17" s="1"/>
  <c r="L109" i="17" s="1"/>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I87" i="17" s="1"/>
  <c r="L87" i="17" s="1"/>
  <c r="E72" i="17"/>
  <c r="E71" i="17"/>
  <c r="E70" i="17"/>
  <c r="E69" i="17"/>
  <c r="E68" i="17"/>
  <c r="E67" i="17"/>
  <c r="E66" i="17"/>
  <c r="E65" i="17"/>
  <c r="E64" i="17"/>
  <c r="I72" i="17" s="1"/>
  <c r="L72" i="17" s="1"/>
  <c r="E63" i="17"/>
  <c r="E62" i="17"/>
  <c r="E61" i="17"/>
  <c r="E60" i="17"/>
  <c r="E59" i="17"/>
  <c r="E58" i="17"/>
  <c r="E57" i="17"/>
  <c r="E56" i="17"/>
  <c r="E55" i="17"/>
  <c r="E54" i="17"/>
  <c r="E53" i="17"/>
  <c r="E52" i="17"/>
  <c r="E51" i="17"/>
  <c r="E50" i="17"/>
  <c r="I63" i="17" s="1"/>
  <c r="L63" i="17" s="1"/>
  <c r="E49" i="17"/>
  <c r="E48" i="17"/>
  <c r="E47" i="17"/>
  <c r="E46" i="17"/>
  <c r="E45" i="17"/>
  <c r="E44" i="17"/>
  <c r="E43" i="17"/>
  <c r="I49" i="17" s="1"/>
  <c r="L49" i="17" s="1"/>
  <c r="E42" i="17"/>
  <c r="E41" i="17"/>
  <c r="E40" i="17"/>
  <c r="E39" i="17"/>
  <c r="E38" i="17"/>
  <c r="E37" i="17"/>
  <c r="E36" i="17"/>
  <c r="E35" i="17"/>
  <c r="E34" i="17"/>
  <c r="E33" i="17"/>
  <c r="E32" i="17"/>
  <c r="E31" i="17"/>
  <c r="E30" i="17"/>
  <c r="E29" i="17"/>
  <c r="E28" i="17"/>
  <c r="E27" i="17"/>
  <c r="E26" i="17"/>
  <c r="I42" i="17" s="1"/>
  <c r="L42" i="17" s="1"/>
  <c r="E25" i="17"/>
  <c r="E24" i="17"/>
  <c r="E23" i="17"/>
  <c r="E22" i="17"/>
  <c r="E21" i="17"/>
  <c r="E20" i="17"/>
  <c r="E19" i="17"/>
  <c r="E18" i="17"/>
  <c r="E17" i="17"/>
  <c r="I25" i="17" s="1"/>
  <c r="L25" i="17" s="1"/>
  <c r="E16" i="17"/>
  <c r="E15" i="17"/>
  <c r="E14" i="17"/>
  <c r="E13" i="17"/>
  <c r="E12" i="17"/>
  <c r="E11" i="17"/>
  <c r="E10" i="17"/>
  <c r="E9" i="17"/>
  <c r="E8" i="17"/>
  <c r="E7" i="17"/>
  <c r="E6" i="17"/>
  <c r="E5" i="17"/>
  <c r="E4" i="17"/>
  <c r="E3" i="17"/>
  <c r="E2" i="17"/>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E1069" i="17" l="1"/>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K238"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J87"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I16" i="17"/>
  <c r="F16" i="17"/>
  <c r="F15" i="17"/>
  <c r="F14" i="17"/>
  <c r="F13" i="17"/>
  <c r="F12" i="17"/>
  <c r="F11" i="17"/>
  <c r="F10" i="17"/>
  <c r="F9" i="17"/>
  <c r="F8" i="17"/>
  <c r="F7" i="17"/>
  <c r="F6" i="17"/>
  <c r="F5" i="17"/>
  <c r="F4" i="17"/>
  <c r="F3" i="17"/>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F2" i="17"/>
  <c r="E1070" i="17"/>
  <c r="F1070" i="17" s="1"/>
  <c r="J162" i="17"/>
  <c r="I99" i="17"/>
  <c r="L99" i="17" s="1"/>
  <c r="E1071" i="17"/>
  <c r="F1071" i="17" s="1"/>
  <c r="J238" i="17"/>
  <c r="I174" i="17"/>
  <c r="L174" i="17" s="1"/>
  <c r="E1072" i="17"/>
  <c r="J362" i="17"/>
  <c r="I258" i="17"/>
  <c r="L258" i="17" s="1"/>
  <c r="E1073" i="17"/>
  <c r="F1073" i="17" s="1"/>
  <c r="J417" i="17"/>
  <c r="I371" i="17"/>
  <c r="L371" i="17" s="1"/>
  <c r="E1074" i="17"/>
  <c r="F1074" i="17" s="1"/>
  <c r="J500" i="17"/>
  <c r="I427" i="17"/>
  <c r="L427" i="17" s="1"/>
  <c r="C1075" i="17"/>
  <c r="B1045" i="17"/>
  <c r="B1047" i="17" s="1"/>
  <c r="E1047" i="17" s="1"/>
  <c r="C1042" i="17"/>
  <c r="J1049" i="17" s="1"/>
  <c r="E501" i="17"/>
  <c r="I615" i="17"/>
  <c r="L615" i="17" s="1"/>
  <c r="C1076" i="17"/>
  <c r="E640" i="17"/>
  <c r="E1077" i="17"/>
  <c r="F1077" i="17" s="1"/>
  <c r="J756" i="17"/>
  <c r="I701" i="17"/>
  <c r="L701" i="17" s="1"/>
  <c r="E1078" i="17"/>
  <c r="F1078" i="17" s="1"/>
  <c r="J793" i="17"/>
  <c r="I763" i="17"/>
  <c r="L763" i="17" s="1"/>
  <c r="E1079" i="17"/>
  <c r="F1079" i="17" s="1"/>
  <c r="J850" i="17"/>
  <c r="I802" i="17"/>
  <c r="L802" i="17" s="1"/>
  <c r="E1080" i="17"/>
  <c r="F1080" i="17" s="1"/>
  <c r="J929" i="17"/>
  <c r="I860" i="17"/>
  <c r="L860" i="17" s="1"/>
  <c r="K1040" i="17"/>
  <c r="I929" i="17"/>
  <c r="L929" i="17" s="1"/>
  <c r="E1081" i="17"/>
  <c r="F1081" i="17" s="1"/>
  <c r="J993" i="17"/>
  <c r="I932" i="17"/>
  <c r="L932" i="17" s="1"/>
  <c r="E1082" i="17"/>
  <c r="F1082" i="17" s="1"/>
  <c r="J1040" i="17"/>
  <c r="I1006" i="17"/>
  <c r="L1006" i="17" s="1"/>
  <c r="C1085" i="17"/>
  <c r="C1086" i="17"/>
  <c r="K912" i="17" l="1"/>
  <c r="I645" i="17"/>
  <c r="L645" i="17" s="1"/>
  <c r="E1076" i="17"/>
  <c r="F1076" i="17" s="1"/>
  <c r="J691" i="17"/>
  <c r="E1075" i="17"/>
  <c r="F1075" i="17" s="1"/>
  <c r="J594" i="17"/>
  <c r="I513" i="17"/>
  <c r="L513" i="17" s="1"/>
  <c r="E1042" i="17"/>
  <c r="F1040" i="17"/>
  <c r="F1039" i="17"/>
  <c r="F1038" i="17"/>
  <c r="F1037" i="17"/>
  <c r="F1036" i="17"/>
  <c r="F1035" i="17"/>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K639" i="17"/>
  <c r="E1086" i="17"/>
  <c r="F1086" i="17" s="1"/>
  <c r="F1072" i="17"/>
  <c r="G501" i="17"/>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I1046" i="17"/>
  <c r="I1047" i="17" s="1"/>
  <c r="I1048" i="17" s="1"/>
  <c r="L16" i="17"/>
  <c r="E1085" i="17"/>
  <c r="F1085" i="17" s="1"/>
  <c r="F1069" i="17"/>
  <c r="J1050" i="17" l="1"/>
  <c r="I1050" i="17"/>
  <c r="I1049" i="17"/>
  <c r="L1048" i="17"/>
  <c r="J1045" i="17"/>
  <c r="I1045" i="17" s="1"/>
  <c r="B1049" i="17"/>
  <c r="K1042" i="17"/>
  <c r="J1042" i="17"/>
  <c r="I1042" i="17"/>
  <c r="G10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<sst xmlns="http://schemas.openxmlformats.org/spreadsheetml/2006/main" count="2528" uniqueCount="976">
  <si>
    <t>Fecha</t>
  </si>
  <si>
    <t>Jugada</t>
  </si>
  <si>
    <t>Cuota</t>
  </si>
  <si>
    <t>Beneficio Neto</t>
  </si>
  <si>
    <t>Yield</t>
  </si>
  <si>
    <t>$</t>
  </si>
  <si>
    <t>Diario</t>
  </si>
  <si>
    <t>Semanal</t>
  </si>
  <si>
    <t>Mensual</t>
  </si>
  <si>
    <t>Unidades</t>
  </si>
  <si>
    <t>Los Angeles Lakers</t>
  </si>
  <si>
    <t>Washington Wizards</t>
  </si>
  <si>
    <t>San Antonio Spurs</t>
  </si>
  <si>
    <t>New Orleans Pelicans</t>
  </si>
  <si>
    <t>Atlanta Hawks</t>
  </si>
  <si>
    <t>Charlotte Hornets</t>
  </si>
  <si>
    <t>Miami Heat</t>
  </si>
  <si>
    <t>Dallas Mavericks</t>
  </si>
  <si>
    <t>LA Clippers</t>
  </si>
  <si>
    <t>Los Angeles Lakers @ Charlotte Hornets</t>
  </si>
  <si>
    <t>Washington Wizards @ Detroit Pistons</t>
  </si>
  <si>
    <t>San Antonio Spurs @ Chicago Bulls</t>
  </si>
  <si>
    <t>Milwaukee Bucks @ Dallas Mavericks</t>
  </si>
  <si>
    <t>New Orleans Pelicans @ Phoenix Suns</t>
  </si>
  <si>
    <t>Atlanta Hawks @ LA Clippers</t>
  </si>
  <si>
    <t>Toronto Raptors</t>
  </si>
  <si>
    <t>Memphis Grizzlies</t>
  </si>
  <si>
    <t>Golden State Warriors</t>
  </si>
  <si>
    <t>Brooklyn Nets</t>
  </si>
  <si>
    <t>New York Knicks</t>
  </si>
  <si>
    <t>Oklahoma City Thunder</t>
  </si>
  <si>
    <t>Toronto Raptors @ Brooklyn Nets</t>
  </si>
  <si>
    <t>Memphis Grizzlies @ New York Knicks</t>
  </si>
  <si>
    <t>Golden State Warriors @ Oklahoma City Thunder</t>
  </si>
  <si>
    <t>Milwaukee Bucks</t>
  </si>
  <si>
    <t>Chicago Bulls</t>
  </si>
  <si>
    <t>Phoenix Suns</t>
  </si>
  <si>
    <t>Boston Celtics</t>
  </si>
  <si>
    <t>Sacramento Kings</t>
  </si>
  <si>
    <t>Milwaukee Bucks @ Charlotte Hornets</t>
  </si>
  <si>
    <t>Chicago Bulls @ Detroit Pistons</t>
  </si>
  <si>
    <t>Memphis Grizzlies @ Boston Celtics</t>
  </si>
  <si>
    <t>Portland Trail Blazers @ New Orleans Pelicans</t>
  </si>
  <si>
    <t>Phoenix Suns @ Dallas Mavericks</t>
  </si>
  <si>
    <t>Los Angeles Lakers @ Oklahoma City Thunder</t>
  </si>
  <si>
    <t>Atlanta Hawks @ Sacramento Kings</t>
  </si>
  <si>
    <t>Cleveland Cavaliers</t>
  </si>
  <si>
    <t>Utah Jazz</t>
  </si>
  <si>
    <t>Toronto Raptors @ Cleveland Cavaliers</t>
  </si>
  <si>
    <t>Indiana Pacers @ Phoenix Suns</t>
  </si>
  <si>
    <t>Atlanta Hawks @ Utah Jazz</t>
  </si>
  <si>
    <t>Philadelphia 76ers</t>
  </si>
  <si>
    <t>Portland Trail Blazers</t>
  </si>
  <si>
    <t>Houston Rockets</t>
  </si>
  <si>
    <t>Miami Heat @ New York Knicks</t>
  </si>
  <si>
    <t>Portland Trail Blazers @ Houston Rockets</t>
  </si>
  <si>
    <t>Los Angeles Lakers @ New Orleans Pelicans</t>
  </si>
  <si>
    <t>LA Clippers @ Dallas Mavericks</t>
  </si>
  <si>
    <t>Golden State Warriors @ San Antonio Spurs</t>
  </si>
  <si>
    <t>Denver Nuggets</t>
  </si>
  <si>
    <t>Indiana Pacers</t>
  </si>
  <si>
    <t>Memphis Grizzlies @ Cleveland Cavaliers</t>
  </si>
  <si>
    <t>Oklahoma City Thunder @ Charlotte Hornets</t>
  </si>
  <si>
    <t>Los Angeles Lakers @ Milwaukee Bucks</t>
  </si>
  <si>
    <t>Orlando Magic</t>
  </si>
  <si>
    <t>LA Clippers @ Boston Celtics</t>
  </si>
  <si>
    <t>Orlando Magic @ Houston Rockets</t>
  </si>
  <si>
    <t>Golden State Warriors @ New Orleans Pelicans</t>
  </si>
  <si>
    <t>Portland Trail Blazers @ Dallas Mavericks</t>
  </si>
  <si>
    <t>Atlanta Hawks @ Phoenix Suns</t>
  </si>
  <si>
    <t>Milwaukee Bucks @ Cleveland Cavaliers</t>
  </si>
  <si>
    <t>Indiana Pacers @ Detroit Pistons</t>
  </si>
  <si>
    <t>LA Clippers @ Philadelphia 76ers</t>
  </si>
  <si>
    <t>Dallas Mavericks @ Minnesota Timberwolves</t>
  </si>
  <si>
    <t>Oklahoma City Thunder @ New Orleans Pelicans</t>
  </si>
  <si>
    <t>Golden State Warriors @ Orlando Magic</t>
  </si>
  <si>
    <t>Boston Celtics @ Brooklyn Nets</t>
  </si>
  <si>
    <t>Detroit Pistons @ Atlanta Hawks</t>
  </si>
  <si>
    <t>Memphis Grizzlies @ San Antonio Spurs</t>
  </si>
  <si>
    <t>Houston Rockets @ Cleveland Cavaliers</t>
  </si>
  <si>
    <t>Charlotte Hornets @ Indiana Pacers</t>
  </si>
  <si>
    <t>Sacramento Kings @ Oklahoma City Thunder</t>
  </si>
  <si>
    <t>LA Clippers @ Orlando Magic</t>
  </si>
  <si>
    <t>Sacramento Kings @ Memphis Grizzlies</t>
  </si>
  <si>
    <t>Philadelphia 76ers @ Milwaukee Bucks</t>
  </si>
  <si>
    <t>Atlanta Hawks @ San Antonio Spurs</t>
  </si>
  <si>
    <t>Indiana Pacers @ Cleveland Cavaliers</t>
  </si>
  <si>
    <t>Minnesota Timberwolves @ Phoenix Suns</t>
  </si>
  <si>
    <t>Portland Trail Blazers @ Golden State Warriors</t>
  </si>
  <si>
    <t>LA Clippers @ Charlotte Hornets</t>
  </si>
  <si>
    <t>Atlanta Hawks @ New Orleans Pelicans</t>
  </si>
  <si>
    <t>Detroit Pistons @ Milwaukee Bucks</t>
  </si>
  <si>
    <t>Memphis Grizzlies @ Dallas Mavericks</t>
  </si>
  <si>
    <t>Charlotte Hornets @ Atlanta Hawks</t>
  </si>
  <si>
    <t>LA Clippers @ Cleveland Cavaliers</t>
  </si>
  <si>
    <t>Portland Trail Blazers @ Oklahoma City Thunder</t>
  </si>
  <si>
    <t>San Antonio Spurs @ Phoenix Suns</t>
  </si>
  <si>
    <t>Detroit Pistons</t>
  </si>
  <si>
    <t>Detroit Pistons @ Indiana Pacers</t>
  </si>
  <si>
    <t>Portland Trail Blazers @ Milwaukee Bucks</t>
  </si>
  <si>
    <t>Houston Rockets @ Phoenix Suns</t>
  </si>
  <si>
    <t>Minnesota Timberwolves @ Sacramento Kings</t>
  </si>
  <si>
    <t>Atlanta Hawks @ Washington Wizards</t>
  </si>
  <si>
    <t>Orlando Magic @ Philadelphia 76ers</t>
  </si>
  <si>
    <t>Minnesota Timberwolves</t>
  </si>
  <si>
    <t>Detroit Pistons @ Boston Celtics</t>
  </si>
  <si>
    <t>Indiana Pacers @ Toronto Raptors</t>
  </si>
  <si>
    <t>Minnesota Timberwolves @ Oklahoma City Thunder</t>
  </si>
  <si>
    <t>Memphis Grizzlies @ New Orleans Pelicans</t>
  </si>
  <si>
    <t>Houston Rockets @ Golden State Warriors</t>
  </si>
  <si>
    <t>Phoenix Suns @ Sacramento Kings</t>
  </si>
  <si>
    <t>Cleveland Cavaliers @ Atlanta Hawks</t>
  </si>
  <si>
    <t>Philadelphia 76ers @ Brooklyn Nets</t>
  </si>
  <si>
    <t>Orlando Magic @ Detroit Pistons</t>
  </si>
  <si>
    <t>San Antonio Spurs @ Denver Nuggets</t>
  </si>
  <si>
    <t>Dallas Mavericks @ Los Angeles Lakers</t>
  </si>
  <si>
    <t>Memphis Grizzlies @ LA Clippers</t>
  </si>
  <si>
    <t>Boston Celtics @ Minnesota Timberwolves</t>
  </si>
  <si>
    <t>Toronto Raptors @ Charlotte Hornets</t>
  </si>
  <si>
    <t>Brooklyn Nets @ Milwaukee Bucks</t>
  </si>
  <si>
    <t>New Orleans Pelicans @ Golden State Warriors</t>
  </si>
  <si>
    <t>Houston Rockets @ Utah Jazz</t>
  </si>
  <si>
    <t>Atlanta Hawks @ Philadelphia 76ers</t>
  </si>
  <si>
    <t>San Antonio Spurs @ Minnesota Timberwolves</t>
  </si>
  <si>
    <t>Memphis Grizzlies @ Sacramento Kings</t>
  </si>
  <si>
    <t>Entrenamiento</t>
  </si>
  <si>
    <t>Atlanta Hawks @ Detroit Pistons</t>
  </si>
  <si>
    <t>Cleveland Cavaliers @ Indiana Pacers</t>
  </si>
  <si>
    <t>Milwaukee Bucks @ Washington Wizards</t>
  </si>
  <si>
    <t>Charlotte Hornets @ Brooklyn Nets</t>
  </si>
  <si>
    <t>Chicago Bulls @ Orlando Magic</t>
  </si>
  <si>
    <t>Phoenix Suns @ Los Angeles Lakers</t>
  </si>
  <si>
    <t>Washington Wizards @ Philadelphia 76ers</t>
  </si>
  <si>
    <t>Portland Trail Blazers @ Toronto Raptors</t>
  </si>
  <si>
    <t>New York Knicks @ Boston Celtics</t>
  </si>
  <si>
    <t>Minnesota Timberwolves @ New Orleans Pelicans</t>
  </si>
  <si>
    <t>Oklahoma City Thunder @ Golden State Warriors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</si>
  <si>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</si>
  <si>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</si>
  <si>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</si>
  <si>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</si>
  <si>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</si>
  <si>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</si>
  <si>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</si>
  <si>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</si>
  <si>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</si>
  <si>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</si>
  <si>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</si>
  <si>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</si>
  <si>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</si>
  <si>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</si>
  <si>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</si>
  <si>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</si>
  <si>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</si>
  <si>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</si>
  <si>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New Orleans Pelicans @ Brooklyn Nets</t>
  </si>
  <si>
    <t>Golden State Warriors @ Cleveland Cavaliers</t>
  </si>
  <si>
    <t>Milwaukee Bucks @ Detroit Pistons</t>
  </si>
  <si>
    <t>LA Clippers @ Minnesota Timberwolves</t>
  </si>
  <si>
    <t>Houston Rockets @ Dallas Mavericks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</si>
  <si>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</si>
  <si>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</si>
  <si>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</si>
  <si>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</si>
  <si>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</si>
  <si>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</si>
  <si>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</si>
  <si>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</si>
  <si>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</si>
  <si>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</si>
  <si>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</si>
  <si>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</si>
  <si>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</si>
  <si>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</si>
  <si>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</si>
  <si>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</si>
  <si>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</si>
  <si>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</si>
  <si>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</si>
  <si>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</si>
  <si>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</si>
  <si>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</si>
  <si>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Dallas Mavericks @ Utah Jazz</t>
  </si>
  <si>
    <t>Houston Rockets @ Denver Nuggets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</si>
  <si>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</si>
  <si>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</si>
  <si>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</si>
  <si>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</si>
  <si>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</si>
  <si>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</si>
  <si>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</si>
  <si>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</si>
  <si>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</si>
  <si>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</si>
  <si>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</si>
  <si>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</si>
  <si>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</si>
  <si>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</si>
  <si>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</si>
  <si>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</si>
  <si>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</si>
  <si>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</si>
  <si>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</si>
  <si>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</si>
  <si>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</si>
  <si>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</si>
  <si>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</si>
  <si>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</si>
  <si>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</si>
  <si>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</si>
  <si>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</si>
  <si>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</si>
  <si>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</si>
  <si>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</si>
  <si>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</si>
  <si>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</si>
  <si>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</si>
  <si>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</si>
  <si>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</si>
  <si>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</si>
  <si>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</si>
  <si>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</si>
  <si>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</si>
  <si>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</si>
  <si>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</si>
  <si>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</si>
  <si>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</si>
  <si>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</si>
  <si>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</si>
  <si>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</si>
  <si>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</si>
  <si>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</si>
  <si>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</si>
  <si>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</si>
  <si>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</si>
  <si>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</si>
  <si>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</si>
  <si>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</si>
  <si>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</si>
  <si>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</si>
  <si>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</si>
  <si>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</si>
  <si>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</si>
  <si>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</si>
  <si>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</si>
  <si>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</si>
  <si>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</si>
  <si>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</si>
  <si>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</si>
  <si>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</si>
  <si>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</si>
  <si>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</si>
  <si>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</si>
  <si>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</si>
  <si>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</si>
  <si>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</si>
  <si>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</si>
  <si>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</si>
  <si>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</si>
  <si>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</si>
  <si>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</si>
  <si>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</si>
  <si>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</si>
  <si>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</si>
  <si>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</si>
  <si>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</si>
  <si>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</si>
  <si>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</si>
  <si>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</si>
  <si>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</si>
  <si>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</si>
  <si>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</si>
  <si>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</si>
  <si>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</si>
  <si>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</si>
  <si>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</si>
  <si>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</si>
  <si>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</si>
  <si>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</si>
  <si>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</si>
  <si>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</si>
  <si>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</si>
  <si>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</si>
  <si>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</si>
  <si>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</si>
  <si>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</si>
  <si>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</si>
  <si>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</si>
  <si>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</si>
  <si>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</si>
  <si>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</si>
  <si>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</si>
  <si>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</si>
  <si>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</si>
  <si>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</si>
  <si>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</si>
  <si>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</si>
  <si>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</si>
  <si>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</si>
  <si>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</si>
  <si>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</si>
  <si>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</si>
  <si>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</si>
  <si>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</si>
  <si>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</si>
  <si>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</si>
  <si>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</si>
  <si>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</si>
  <si>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</si>
  <si>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</si>
  <si>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</si>
  <si>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</si>
  <si>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</si>
  <si>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</si>
  <si>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</si>
  <si>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</si>
  <si>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</si>
  <si>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</si>
  <si>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</si>
  <si>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</si>
  <si>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</si>
  <si>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</si>
  <si>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</si>
  <si>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</si>
  <si>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</si>
  <si>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</si>
  <si>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</si>
  <si>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</si>
  <si>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</si>
  <si>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</si>
  <si>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</si>
  <si>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</si>
  <si>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</si>
  <si>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</si>
  <si>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</si>
  <si>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</si>
  <si>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</si>
  <si>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</si>
  <si>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</si>
  <si>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</si>
  <si>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</si>
  <si>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</si>
  <si>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</si>
  <si>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</si>
  <si>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</si>
  <si>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</si>
  <si>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</si>
  <si>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</si>
  <si>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</si>
  <si>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</si>
  <si>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</si>
  <si>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</si>
  <si>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</si>
  <si>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</si>
  <si>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</si>
  <si>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</si>
  <si>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</si>
  <si>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</si>
  <si>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</si>
  <si>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</si>
  <si>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</si>
  <si>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</si>
  <si>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</si>
  <si>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</si>
  <si>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</si>
  <si>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</si>
  <si>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</si>
  <si>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</si>
  <si>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</si>
  <si>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</si>
  <si>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</si>
  <si>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</si>
  <si>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</si>
  <si>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</si>
  <si>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</si>
  <si>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</si>
  <si>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</si>
  <si>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</si>
  <si>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</si>
  <si>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</si>
  <si>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</si>
  <si>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</si>
  <si>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</si>
  <si>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</si>
  <si>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</si>
  <si>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</si>
  <si>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</si>
  <si>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</si>
  <si>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</si>
  <si>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</si>
  <si>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</si>
  <si>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</si>
  <si>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</si>
  <si>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</si>
  <si>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</si>
  <si>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</si>
  <si>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</si>
  <si>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</si>
  <si>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</si>
  <si>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</si>
  <si>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</si>
  <si>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</si>
  <si>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</si>
  <si>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</si>
  <si>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</si>
  <si>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</si>
  <si>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</si>
  <si>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</si>
  <si>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</si>
  <si>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</si>
  <si>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</si>
  <si>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</si>
  <si>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</si>
  <si>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</si>
  <si>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</si>
  <si>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</si>
  <si>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</si>
  <si>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</si>
  <si>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</si>
  <si>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</si>
  <si>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</si>
  <si>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</si>
  <si>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</si>
  <si>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</si>
  <si>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</si>
  <si>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</si>
  <si>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</si>
  <si>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</si>
  <si>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</si>
  <si>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</si>
  <si>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</si>
  <si>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</si>
  <si>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</si>
  <si>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</si>
  <si>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</si>
  <si>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</si>
  <si>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</si>
  <si>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</si>
  <si>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</si>
  <si>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</si>
  <si>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</si>
  <si>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</si>
  <si>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</si>
  <si>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</si>
  <si>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</si>
  <si>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</si>
  <si>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</si>
  <si>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</si>
  <si>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</si>
  <si>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</si>
  <si>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</si>
  <si>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</si>
  <si>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</si>
  <si>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</si>
  <si>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</si>
  <si>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</si>
  <si>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</si>
  <si>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</si>
  <si>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</si>
  <si>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</si>
  <si>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</si>
  <si>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LA Clippers @ Golden State Warriors</t>
  </si>
  <si>
    <t>Houston Rockets @ Toronto Raptors</t>
  </si>
  <si>
    <t>Cleveland Cavaliers @ Boston Celtics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</si>
  <si>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</si>
  <si>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</si>
  <si>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</si>
  <si>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</si>
  <si>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</si>
  <si>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</si>
  <si>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</si>
  <si>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</si>
  <si>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</si>
  <si>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</si>
  <si>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</si>
  <si>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</si>
  <si>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</si>
  <si>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</si>
  <si>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</si>
  <si>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</si>
  <si>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</si>
  <si>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</si>
  <si>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</si>
  <si>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</si>
  <si>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</si>
  <si>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</si>
  <si>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Utah Jazz @ Charlotte Hornets</t>
  </si>
  <si>
    <t>Atlanta Hawks @ Cleveland Cavaliers</t>
  </si>
  <si>
    <t>Memphis Grizzlies @ Toronto Raptors</t>
  </si>
  <si>
    <t>Chicago Bulls @ New York Knicks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</si>
  <si>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</si>
  <si>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</si>
  <si>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</si>
  <si>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</si>
  <si>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</si>
  <si>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</si>
  <si>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</si>
  <si>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</si>
  <si>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</si>
  <si>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</si>
  <si>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</si>
  <si>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</si>
  <si>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</si>
  <si>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</si>
  <si>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</si>
  <si>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</si>
  <si>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</si>
  <si>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</si>
  <si>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</si>
  <si>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</si>
  <si>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</si>
  <si>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</si>
  <si>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</si>
  <si>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</si>
  <si>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</si>
  <si>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</si>
  <si>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</si>
  <si>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</si>
  <si>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</si>
  <si>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</si>
  <si>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</si>
  <si>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</si>
  <si>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</si>
  <si>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</si>
  <si>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</si>
  <si>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</si>
  <si>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</si>
  <si>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</si>
  <si>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</si>
  <si>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</si>
  <si>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</si>
  <si>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</si>
  <si>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</si>
  <si>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Portland Trail Blazers @ Orlando Magic</t>
  </si>
  <si>
    <t>Cleveland Cavaliers @ Miami Heat</t>
  </si>
  <si>
    <t>Minnesota Timberwolves @ Utah Jazz</t>
  </si>
  <si>
    <t>Indiana Pacers @ Utah Jazz</t>
  </si>
  <si>
    <t>Washington Wizards @ Houston Rockets</t>
  </si>
  <si>
    <t>Denver Nuggets @ LA Clippers</t>
  </si>
  <si>
    <t>Philadelphia 76ers @ Detroit Pistons</t>
  </si>
  <si>
    <t>Charlotte Hornets @ Milwaukee Bucks</t>
  </si>
  <si>
    <t>Toronto Raptors @ Indiana Pacers</t>
  </si>
  <si>
    <t>Sacramento Kings @ San Antonio Spurs</t>
  </si>
  <si>
    <t>Chicago Bulls @ Utah Jazz</t>
  </si>
  <si>
    <t>Chicago Bulls @ Denver Nuggets</t>
  </si>
  <si>
    <t>Utah Jazz @ Los Angeles Lakers</t>
  </si>
  <si>
    <t>Golden State Warriors @ Miami Heat</t>
  </si>
  <si>
    <t>Washington Wizards @ Minnesota Timberwolves</t>
  </si>
  <si>
    <t>Denver Nuggets @ New Orleans Pelicans</t>
  </si>
  <si>
    <t>New York Knicks @ Dallas Mavericks</t>
  </si>
  <si>
    <t>Chicago Bulls @ Portland Trail Blazers</t>
  </si>
  <si>
    <t>Brooklyn Nets @ Boston Celtics</t>
  </si>
  <si>
    <t>Washington Wizards @ Toronto Raptors</t>
  </si>
  <si>
    <t>Denver Nuggets @ Houston Rockets</t>
  </si>
  <si>
    <t>New York Knicks @ Orlando Magic</t>
  </si>
  <si>
    <t>Washington Wizards @ Chicago Bulls</t>
  </si>
  <si>
    <t>Miami Heat @ Philadelphia 76ers</t>
  </si>
  <si>
    <t>Orlando Magic @ Boston Celtics</t>
  </si>
  <si>
    <t>Brooklyn Nets @ Toronto Raptors</t>
  </si>
  <si>
    <t>Cleveland Cavaliers @ Toronto Raptors</t>
  </si>
  <si>
    <t>New York Knicks @ Brooklyn Nets</t>
  </si>
  <si>
    <t>Dallas Mavericks @ Miami Heat</t>
  </si>
  <si>
    <t>Denver Nuggets @ Memphis Grizzlies</t>
  </si>
  <si>
    <t>Chicago Bulls @ New Orleans Pelicans</t>
  </si>
  <si>
    <t>LA Clippers @ Los Angeles Lakers</t>
  </si>
  <si>
    <t>New York Knicks @ Charlotte Hornets</t>
  </si>
  <si>
    <t>Milwaukee Bucks @ Miami Heat</t>
  </si>
  <si>
    <t>San Antonio Spurs @ Portland Trail Blazers</t>
  </si>
  <si>
    <t>Milwaukee Bucks @ New York Knicks</t>
  </si>
  <si>
    <t>Phoenix Suns @ Oklahoma City Thunder</t>
  </si>
  <si>
    <t>Detroit Pistons @ Miami Heat</t>
  </si>
  <si>
    <t>Denver Nuggets @ Phoenix Suns</t>
  </si>
  <si>
    <t>Dallas Mavericks @ LA Clippers</t>
  </si>
  <si>
    <t>Boston Celtics @ Cleveland Cavaliers</t>
  </si>
  <si>
    <t>Toronto Raptors @ New York Knicks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</si>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</sst>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24">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
      <left/>
      <right style="thin">
        <color indexed="64"/>
      </right>
      <top style="medium">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style="medium">
        <color rgb="FF000000"/>
      </left>
      <right/>
      <top/>
      <bottom style="thin">
        <color rgb="FF000000"/>
      </bottom>
      <diagonal/>
    </border>
    <border>
      <left style="medium">
        <color rgb="FF000000"/>
      </left>
      <right/>
      <top style="thin">
        <color rgb="FF000000"/>
      </top>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624">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0" fontId="0" fillId="0" borderId="0" xfId="0" applyAlignment="1">
      <alignment wrapText="1"/>
    </xf>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0" fontId="11" fillId="0" borderId="0" xfId="0" applyFont="1" applyAlignment="1">
      <alignment horizontal="center"/>
    </xf>
    <xf numFmtId="169" fontId="0" fillId="0" borderId="58" xfId="0" applyNumberFormat="1" applyBorder="1" applyAlignment="1">
      <alignment vertical="center"/>
    </xf>
    <xf numFmtId="169" fontId="0" fillId="0" borderId="39" xfId="0" applyNumberFormat="1" applyBorder="1" applyAlignment="1">
      <alignment vertical="center"/>
    </xf>
    <xf numFmtId="169" fontId="0" fillId="0" borderId="58"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173" fontId="0" fillId="0" borderId="35" xfId="0" applyNumberFormat="1" applyBorder="1" applyAlignment="1">
      <alignment horizontal="center"/>
    </xf>
    <xf numFmtId="173" fontId="0" fillId="0" borderId="42"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173" fontId="0" fillId="0" borderId="115" xfId="0" applyNumberFormat="1" applyBorder="1" applyAlignment="1">
      <alignment horizontal="center"/>
    </xf>
    <xf numFmtId="173" fontId="0" fillId="0" borderId="116" xfId="0" applyNumberFormat="1" applyBorder="1" applyAlignment="1">
      <alignment horizontal="center"/>
    </xf>
    <xf numFmtId="173" fontId="0" fillId="0" borderId="117" xfId="0" applyNumberFormat="1" applyBorder="1" applyAlignment="1">
      <alignment horizontal="center"/>
    </xf>
    <xf numFmtId="173" fontId="0" fillId="0" borderId="118" xfId="0" applyNumberFormat="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xf numFmtId="166" fontId="0" fillId="0" borderId="119" xfId="0" applyNumberFormat="1" applyBorder="1" applyAlignment="1">
      <alignment horizontal="center" vertical="center"/>
    </xf>
    <xf numFmtId="165" fontId="0" fillId="0" borderId="56" xfId="0" applyNumberFormat="1" applyBorder="1" applyAlignment="1">
      <alignment horizontal="center" vertical="center"/>
    </xf>
    <xf numFmtId="0" fontId="0" fillId="0" borderId="57" xfId="0" applyBorder="1" applyAlignment="1">
      <alignment horizontal="center"/>
    </xf>
    <xf numFmtId="165" fontId="0" fillId="0" borderId="94" xfId="0" applyNumberFormat="1" applyBorder="1" applyAlignment="1">
      <alignment horizontal="right" vertical="center"/>
    </xf>
    <xf numFmtId="165" fontId="0" fillId="0" borderId="92" xfId="0" applyNumberFormat="1" applyBorder="1" applyAlignment="1">
      <alignment horizontal="right" vertical="center"/>
    </xf>
    <xf numFmtId="0" fontId="0" fillId="0" borderId="93" xfId="0" applyBorder="1"/>
    <xf numFmtId="165" fontId="0" fillId="0" borderId="63" xfId="0" applyNumberFormat="1" applyBorder="1" applyAlignment="1">
      <alignment horizontal="right" vertical="center"/>
    </xf>
    <xf numFmtId="0" fontId="0" fillId="0" borderId="52" xfId="0" applyBorder="1"/>
    <xf numFmtId="165" fontId="0" fillId="0" borderId="69" xfId="0" applyNumberFormat="1" applyBorder="1" applyAlignment="1">
      <alignment horizontal="right" vertical="center"/>
    </xf>
    <xf numFmtId="165" fontId="0" fillId="0" borderId="64" xfId="0" applyNumberFormat="1" applyBorder="1" applyAlignment="1">
      <alignment horizontal="right" vertical="center"/>
    </xf>
    <xf numFmtId="165" fontId="0" fillId="0" borderId="21" xfId="0" applyNumberFormat="1" applyBorder="1" applyAlignment="1">
      <alignment horizontal="right" vertical="center"/>
    </xf>
    <xf numFmtId="10" fontId="9" fillId="0" borderId="69" xfId="0" applyNumberFormat="1" applyFont="1" applyBorder="1"/>
    <xf numFmtId="0" fontId="0" fillId="0" borderId="83" xfId="0" applyBorder="1"/>
    <xf numFmtId="169" fontId="0" fillId="0" borderId="120" xfId="0" applyNumberFormat="1" applyBorder="1" applyAlignment="1">
      <alignment horizontal="right" vertical="center"/>
    </xf>
    <xf numFmtId="169" fontId="0" fillId="0" borderId="121" xfId="0" applyNumberFormat="1" applyBorder="1" applyAlignment="1">
      <alignment horizontal="right" vertical="center"/>
    </xf>
    <xf numFmtId="165" fontId="0" fillId="0" borderId="68" xfId="0" applyNumberFormat="1" applyBorder="1" applyAlignment="1">
      <alignment horizontal="right" vertical="center"/>
    </xf>
    <xf numFmtId="0" fontId="0" fillId="0" borderId="70" xfId="0" applyBorder="1"/>
    <xf numFmtId="10" fontId="9" fillId="0" borderId="92" xfId="0" applyNumberFormat="1" applyFont="1" applyBorder="1"/>
    <xf numFmtId="10" fontId="9" fillId="0" borderId="21"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9" xfId="0" applyNumberFormat="1" applyBorder="1" applyAlignment="1">
      <alignment horizontal="right" vertical="center"/>
    </xf>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165" fontId="0" fillId="0" borderId="27" xfId="0" applyNumberFormat="1"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9" fontId="0" fillId="0" borderId="4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22" xfId="0" applyNumberFormat="1" applyBorder="1" applyAlignment="1">
      <alignment horizontal="right" vertical="center"/>
    </xf>
    <xf numFmtId="165" fontId="0" fillId="0" borderId="112" xfId="0" applyNumberFormat="1" applyBorder="1" applyAlignment="1">
      <alignment horizontal="right" vertical="center"/>
    </xf>
    <xf numFmtId="165" fontId="0" fillId="0" borderId="123" xfId="0" applyNumberFormat="1" applyBorder="1" applyAlignment="1">
      <alignment horizontal="right" vertical="center"/>
    </xf>
    <xf numFmtId="0" fontId="0" fillId="0" borderId="110" xfId="0" applyBorder="1"/>
    <xf numFmtId="165" fontId="0" fillId="0" borderId="41" xfId="0" applyNumberFormat="1" applyBorder="1" applyAlignment="1">
      <alignment horizontal="right" vertical="center"/>
    </xf>
    <xf numFmtId="165" fontId="0" fillId="0" borderId="34" xfId="0" applyNumberFormat="1" applyBorder="1" applyAlignment="1">
      <alignment horizontal="right" vertical="center"/>
    </xf>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165" fontId="0" fillId="0" borderId="25" xfId="0" applyNumberFormat="1" applyBorder="1" applyAlignment="1">
      <alignment horizontal="right" vertical="center"/>
    </xf>
    <xf numFmtId="165" fontId="0" fillId="0" borderId="81" xfId="0" applyNumberFormat="1" applyBorder="1" applyAlignment="1">
      <alignment horizontal="right" vertical="center"/>
    </xf>
    <xf numFmtId="10" fontId="9" fillId="0" borderId="81" xfId="0" applyNumberFormat="1" applyFont="1" applyBorder="1"/>
    <xf numFmtId="0" fontId="0" fillId="4" borderId="0" xfId="0" applyFill="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0" fontId="20" fillId="4" borderId="114" xfId="0" applyFont="1" applyFill="1" applyBorder="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10" fillId="0" borderId="86" xfId="0" applyNumberFormat="1" applyFon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10" fillId="0" borderId="87"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0" fontId="0" fillId="0" borderId="0" xfId="0" applyAlignment="1">
      <alignment wrapText="1"/>
    </xf>
    <xf numFmtId="173" fontId="8" fillId="0" borderId="0" xfId="0" applyNumberFormat="1" applyFont="1"/>
    <xf numFmtId="0" fontId="8" fillId="0" borderId="0" xfId="0" applyFont="1" applyAlignment="1">
      <alignment horizontal="left"/>
    </xf>
  </cellXfs>
  <cellStyles count="3">
    <cellStyle name="Euro" xfId="1" xr:uid="{00000000-0005-0000-0000-000000000000}"/>
    <cellStyle name="Normal" xfId="0" builtinId="0"/>
    <cellStyle name="Percent 2" xfId="2" xr:uid="{00000000-0005-0000-0000-000002000000}"/>
  </cellStyles>
  <dxfs count="11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NBA!$G$2:$G$757</c:f>
              <c:numCache>
                <c:formatCode>#,##0.00;[Red]#,##0.00</c:formatCode>
                <c:ptCount val="756"/>
                <c:pt idx="0">
                  <c:v>2.2412000000000005</c:v>
                </c:pt>
                <c:pt idx="1">
                  <c:v>4.5811999999999999</c:v>
                </c:pt>
                <c:pt idx="2">
                  <c:v>6.9211999999999989</c:v>
                </c:pt>
                <c:pt idx="3">
                  <c:v>4.3211999999999993</c:v>
                </c:pt>
                <c:pt idx="4">
                  <c:v>1.7211999999999992</c:v>
                </c:pt>
                <c:pt idx="5">
                  <c:v>3.5515999999999988</c:v>
                </c:pt>
                <c:pt idx="6">
                  <c:v>5.6263999999999985</c:v>
                </c:pt>
                <c:pt idx="7">
                  <c:v>3.0263999999999984</c:v>
                </c:pt>
                <c:pt idx="8">
                  <c:v>0.42639999999999834</c:v>
                </c:pt>
                <c:pt idx="9">
                  <c:v>2.0019999999999984</c:v>
                </c:pt>
                <c:pt idx="10">
                  <c:v>3.5775999999999986</c:v>
                </c:pt>
                <c:pt idx="11">
                  <c:v>5.1531999999999982</c:v>
                </c:pt>
                <c:pt idx="12">
                  <c:v>6.7287999999999979</c:v>
                </c:pt>
                <c:pt idx="13">
                  <c:v>4.1287999999999982</c:v>
                </c:pt>
                <c:pt idx="14">
                  <c:v>1.5287999999999982</c:v>
                </c:pt>
                <c:pt idx="15">
                  <c:v>-2.3712000000000018</c:v>
                </c:pt>
                <c:pt idx="16">
                  <c:v>0.92429999999999835</c:v>
                </c:pt>
                <c:pt idx="17">
                  <c:v>-2.9757000000000016</c:v>
                </c:pt>
                <c:pt idx="18">
                  <c:v>-6.8757000000000019</c:v>
                </c:pt>
                <c:pt idx="19">
                  <c:v>-3.8961000000000019</c:v>
                </c:pt>
                <c:pt idx="20">
                  <c:v>-0.38610000000000255</c:v>
                </c:pt>
                <c:pt idx="21">
                  <c:v>-4.2861000000000029</c:v>
                </c:pt>
                <c:pt idx="22">
                  <c:v>-1.922700000000003</c:v>
                </c:pt>
                <c:pt idx="23">
                  <c:v>0.44069999999999698</c:v>
                </c:pt>
                <c:pt idx="24">
                  <c:v>-1.509300000000003</c:v>
                </c:pt>
                <c:pt idx="25">
                  <c:v>-3.4593000000000029</c:v>
                </c:pt>
                <c:pt idx="26">
                  <c:v>-1.9500000000000031</c:v>
                </c:pt>
                <c:pt idx="27">
                  <c:v>-0.42120000000000291</c:v>
                </c:pt>
                <c:pt idx="28">
                  <c:v>-2.3712000000000026</c:v>
                </c:pt>
                <c:pt idx="29">
                  <c:v>-0.54015000000000257</c:v>
                </c:pt>
                <c:pt idx="30">
                  <c:v>0.72734999999999728</c:v>
                </c:pt>
                <c:pt idx="31">
                  <c:v>2.4823499999999967</c:v>
                </c:pt>
                <c:pt idx="32">
                  <c:v>4.2373499999999966</c:v>
                </c:pt>
                <c:pt idx="33">
                  <c:v>2.2873499999999964</c:v>
                </c:pt>
                <c:pt idx="34">
                  <c:v>0.33734999999999649</c:v>
                </c:pt>
                <c:pt idx="35">
                  <c:v>1.5190499999999965</c:v>
                </c:pt>
                <c:pt idx="36">
                  <c:v>1.5190499999999965</c:v>
                </c:pt>
                <c:pt idx="37">
                  <c:v>2.7007499999999967</c:v>
                </c:pt>
                <c:pt idx="38">
                  <c:v>3.8824499999999968</c:v>
                </c:pt>
                <c:pt idx="39">
                  <c:v>1.9324499999999969</c:v>
                </c:pt>
                <c:pt idx="40">
                  <c:v>3.1141499999999969</c:v>
                </c:pt>
                <c:pt idx="41">
                  <c:v>10.143149999999995</c:v>
                </c:pt>
                <c:pt idx="42">
                  <c:v>2.3331499999999954</c:v>
                </c:pt>
                <c:pt idx="43">
                  <c:v>9.3621499999999944</c:v>
                </c:pt>
                <c:pt idx="44">
                  <c:v>16.391149999999993</c:v>
                </c:pt>
                <c:pt idx="45">
                  <c:v>21.124009999999991</c:v>
                </c:pt>
                <c:pt idx="46">
                  <c:v>25.85686999999999</c:v>
                </c:pt>
                <c:pt idx="47">
                  <c:v>30.589729999999989</c:v>
                </c:pt>
                <c:pt idx="48">
                  <c:v>33.028729999999989</c:v>
                </c:pt>
                <c:pt idx="49">
                  <c:v>30.318729999999988</c:v>
                </c:pt>
                <c:pt idx="50">
                  <c:v>27.608729999999987</c:v>
                </c:pt>
                <c:pt idx="51">
                  <c:v>29.733369999999987</c:v>
                </c:pt>
                <c:pt idx="52">
                  <c:v>27.023369999999986</c:v>
                </c:pt>
                <c:pt idx="53">
                  <c:v>29.104649999999985</c:v>
                </c:pt>
                <c:pt idx="54">
                  <c:v>26.394649999999984</c:v>
                </c:pt>
                <c:pt idx="55">
                  <c:v>28.833649999999984</c:v>
                </c:pt>
                <c:pt idx="56">
                  <c:v>26.123649999999984</c:v>
                </c:pt>
                <c:pt idx="57">
                  <c:v>27.765909999999984</c:v>
                </c:pt>
                <c:pt idx="58">
                  <c:v>29.419009999999986</c:v>
                </c:pt>
                <c:pt idx="59">
                  <c:v>26.709009999999985</c:v>
                </c:pt>
                <c:pt idx="60">
                  <c:v>28.351269999999985</c:v>
                </c:pt>
                <c:pt idx="61">
                  <c:v>25.641269999999984</c:v>
                </c:pt>
                <c:pt idx="62">
                  <c:v>20.801269999999985</c:v>
                </c:pt>
                <c:pt idx="63">
                  <c:v>24.750709999999984</c:v>
                </c:pt>
                <c:pt idx="64">
                  <c:v>29.590709999999984</c:v>
                </c:pt>
                <c:pt idx="65">
                  <c:v>24.750709999999984</c:v>
                </c:pt>
                <c:pt idx="66">
                  <c:v>19.910709999999984</c:v>
                </c:pt>
                <c:pt idx="67">
                  <c:v>15.070709999999984</c:v>
                </c:pt>
                <c:pt idx="68">
                  <c:v>10.230709999999984</c:v>
                </c:pt>
                <c:pt idx="69">
                  <c:v>5.3907099999999843</c:v>
                </c:pt>
                <c:pt idx="70">
                  <c:v>0.55070999999998449</c:v>
                </c:pt>
                <c:pt idx="71">
                  <c:v>3.2925899999999846</c:v>
                </c:pt>
                <c:pt idx="72">
                  <c:v>5.7045099999999849</c:v>
                </c:pt>
                <c:pt idx="73">
                  <c:v>7.9937899999999846</c:v>
                </c:pt>
                <c:pt idx="74">
                  <c:v>10.283069999999984</c:v>
                </c:pt>
                <c:pt idx="75">
                  <c:v>13.024949999999984</c:v>
                </c:pt>
                <c:pt idx="76">
                  <c:v>10.104949999999985</c:v>
                </c:pt>
                <c:pt idx="77">
                  <c:v>12.732949999999985</c:v>
                </c:pt>
                <c:pt idx="78">
                  <c:v>9.8129499999999847</c:v>
                </c:pt>
                <c:pt idx="79">
                  <c:v>12.143109999999986</c:v>
                </c:pt>
                <c:pt idx="80">
                  <c:v>14.406109999999986</c:v>
                </c:pt>
                <c:pt idx="81">
                  <c:v>16.353749999999984</c:v>
                </c:pt>
                <c:pt idx="82">
                  <c:v>18.397749999999984</c:v>
                </c:pt>
                <c:pt idx="83">
                  <c:v>20.222749999999984</c:v>
                </c:pt>
                <c:pt idx="84">
                  <c:v>22.179149999999982</c:v>
                </c:pt>
                <c:pt idx="85">
                  <c:v>24.18810999999998</c:v>
                </c:pt>
                <c:pt idx="86">
                  <c:v>21.168109999999981</c:v>
                </c:pt>
                <c:pt idx="87">
                  <c:v>23.67470999999998</c:v>
                </c:pt>
                <c:pt idx="88">
                  <c:v>25.994069999999979</c:v>
                </c:pt>
                <c:pt idx="89">
                  <c:v>22.97406999999998</c:v>
                </c:pt>
                <c:pt idx="90">
                  <c:v>19.95406999999998</c:v>
                </c:pt>
                <c:pt idx="91">
                  <c:v>16.934069999999981</c:v>
                </c:pt>
                <c:pt idx="92">
                  <c:v>19.25342999999998</c:v>
                </c:pt>
                <c:pt idx="93">
                  <c:v>16.233429999999981</c:v>
                </c:pt>
                <c:pt idx="94">
                  <c:v>18.063549999999982</c:v>
                </c:pt>
                <c:pt idx="95">
                  <c:v>19.951049999999981</c:v>
                </c:pt>
                <c:pt idx="96">
                  <c:v>16.931049999999981</c:v>
                </c:pt>
                <c:pt idx="97">
                  <c:v>19.07222999999998</c:v>
                </c:pt>
                <c:pt idx="98">
                  <c:v>22.16447999999998</c:v>
                </c:pt>
                <c:pt idx="99">
                  <c:v>18.174479999999981</c:v>
                </c:pt>
                <c:pt idx="100">
                  <c:v>21.302639999999982</c:v>
                </c:pt>
                <c:pt idx="101">
                  <c:v>17.31263999999998</c:v>
                </c:pt>
                <c:pt idx="102">
                  <c:v>13.32263999999998</c:v>
                </c:pt>
                <c:pt idx="103">
                  <c:v>9.3326399999999801</c:v>
                </c:pt>
                <c:pt idx="104">
                  <c:v>11.786489999999979</c:v>
                </c:pt>
                <c:pt idx="105">
                  <c:v>7.796489999999979</c:v>
                </c:pt>
                <c:pt idx="106">
                  <c:v>10.469789999999978</c:v>
                </c:pt>
                <c:pt idx="107">
                  <c:v>6.4797899999999782</c:v>
                </c:pt>
                <c:pt idx="108">
                  <c:v>3.8597899999999781</c:v>
                </c:pt>
                <c:pt idx="109">
                  <c:v>1.239789999999978</c:v>
                </c:pt>
                <c:pt idx="110">
                  <c:v>-1.3802100000000221</c:v>
                </c:pt>
                <c:pt idx="111">
                  <c:v>0.71054999999997825</c:v>
                </c:pt>
                <c:pt idx="112">
                  <c:v>-1.9094500000000219</c:v>
                </c:pt>
                <c:pt idx="113">
                  <c:v>0.18130999999997854</c:v>
                </c:pt>
                <c:pt idx="114">
                  <c:v>-2.4386900000000216</c:v>
                </c:pt>
                <c:pt idx="115">
                  <c:v>-5.0586900000000217</c:v>
                </c:pt>
                <c:pt idx="116">
                  <c:v>-3.4080900000000218</c:v>
                </c:pt>
                <c:pt idx="117">
                  <c:v>-6.0280900000000219</c:v>
                </c:pt>
                <c:pt idx="118">
                  <c:v>-11.808090000000021</c:v>
                </c:pt>
                <c:pt idx="119">
                  <c:v>-6.6060900000000222</c:v>
                </c:pt>
                <c:pt idx="120">
                  <c:v>-1.4040900000000232</c:v>
                </c:pt>
                <c:pt idx="121">
                  <c:v>3.7979099999999759</c:v>
                </c:pt>
                <c:pt idx="122">
                  <c:v>8.999909999999975</c:v>
                </c:pt>
                <c:pt idx="123">
                  <c:v>12.496809999999975</c:v>
                </c:pt>
                <c:pt idx="124">
                  <c:v>15.999489999999977</c:v>
                </c:pt>
                <c:pt idx="125">
                  <c:v>19.502169999999978</c:v>
                </c:pt>
                <c:pt idx="126">
                  <c:v>23.00484999999998</c:v>
                </c:pt>
                <c:pt idx="127">
                  <c:v>19.994849999999978</c:v>
                </c:pt>
                <c:pt idx="128">
                  <c:v>22.703849999999978</c:v>
                </c:pt>
                <c:pt idx="129">
                  <c:v>19.693849999999976</c:v>
                </c:pt>
                <c:pt idx="130">
                  <c:v>22.095829999999978</c:v>
                </c:pt>
                <c:pt idx="131">
                  <c:v>24.503829999999979</c:v>
                </c:pt>
                <c:pt idx="132">
                  <c:v>21.493829999999981</c:v>
                </c:pt>
                <c:pt idx="133">
                  <c:v>18.483829999999983</c:v>
                </c:pt>
                <c:pt idx="134">
                  <c:v>21.192829999999983</c:v>
                </c:pt>
                <c:pt idx="135">
                  <c:v>18.182829999999981</c:v>
                </c:pt>
                <c:pt idx="136">
                  <c:v>15.172829999999982</c:v>
                </c:pt>
                <c:pt idx="137">
                  <c:v>16.996889999999983</c:v>
                </c:pt>
                <c:pt idx="138">
                  <c:v>20.065889999999982</c:v>
                </c:pt>
                <c:pt idx="139">
                  <c:v>23.16898999999998</c:v>
                </c:pt>
                <c:pt idx="140">
                  <c:v>26.237989999999979</c:v>
                </c:pt>
                <c:pt idx="141">
                  <c:v>22.827989999999978</c:v>
                </c:pt>
                <c:pt idx="142">
                  <c:v>25.55598999999998</c:v>
                </c:pt>
                <c:pt idx="143">
                  <c:v>22.14598999999998</c:v>
                </c:pt>
                <c:pt idx="144">
                  <c:v>24.277239999999978</c:v>
                </c:pt>
                <c:pt idx="145">
                  <c:v>20.867239999999978</c:v>
                </c:pt>
                <c:pt idx="146">
                  <c:v>23.254239999999978</c:v>
                </c:pt>
                <c:pt idx="147">
                  <c:v>19.844239999999978</c:v>
                </c:pt>
                <c:pt idx="148">
                  <c:v>16.844239999999978</c:v>
                </c:pt>
                <c:pt idx="149">
                  <c:v>13.844239999999978</c:v>
                </c:pt>
                <c:pt idx="150">
                  <c:v>10.844239999999978</c:v>
                </c:pt>
                <c:pt idx="151">
                  <c:v>7.8442399999999779</c:v>
                </c:pt>
                <c:pt idx="152">
                  <c:v>4.8442399999999779</c:v>
                </c:pt>
                <c:pt idx="153">
                  <c:v>7.5442399999999772</c:v>
                </c:pt>
                <c:pt idx="154">
                  <c:v>10.244239999999976</c:v>
                </c:pt>
                <c:pt idx="155">
                  <c:v>7.2442399999999765</c:v>
                </c:pt>
                <c:pt idx="156">
                  <c:v>4.2442399999999765</c:v>
                </c:pt>
                <c:pt idx="157">
                  <c:v>1.2442399999999765</c:v>
                </c:pt>
                <c:pt idx="158">
                  <c:v>-1.7557600000000235</c:v>
                </c:pt>
                <c:pt idx="159">
                  <c:v>-4.7557600000000235</c:v>
                </c:pt>
                <c:pt idx="160">
                  <c:v>-7.7557600000000235</c:v>
                </c:pt>
                <c:pt idx="161">
                  <c:v>-10.065760000000024</c:v>
                </c:pt>
                <c:pt idx="162">
                  <c:v>-7.9867600000000234</c:v>
                </c:pt>
                <c:pt idx="163">
                  <c:v>-5.9077600000000228</c:v>
                </c:pt>
                <c:pt idx="164">
                  <c:v>-8.2177600000000233</c:v>
                </c:pt>
                <c:pt idx="165">
                  <c:v>-10.527760000000024</c:v>
                </c:pt>
                <c:pt idx="166">
                  <c:v>-12.837760000000024</c:v>
                </c:pt>
                <c:pt idx="167">
                  <c:v>-15.147760000000025</c:v>
                </c:pt>
                <c:pt idx="168">
                  <c:v>-13.359820000000024</c:v>
                </c:pt>
                <c:pt idx="169">
                  <c:v>-11.775160000000024</c:v>
                </c:pt>
                <c:pt idx="170">
                  <c:v>-14.085160000000025</c:v>
                </c:pt>
                <c:pt idx="171">
                  <c:v>-16.395160000000025</c:v>
                </c:pt>
                <c:pt idx="172">
                  <c:v>-18.705160000000024</c:v>
                </c:pt>
                <c:pt idx="173">
                  <c:v>-26.275160000000024</c:v>
                </c:pt>
                <c:pt idx="174">
                  <c:v>-20.234300000000026</c:v>
                </c:pt>
                <c:pt idx="175">
                  <c:v>-27.804300000000026</c:v>
                </c:pt>
                <c:pt idx="176">
                  <c:v>-22.581000000000024</c:v>
                </c:pt>
                <c:pt idx="177">
                  <c:v>-17.176020000000022</c:v>
                </c:pt>
                <c:pt idx="178">
                  <c:v>-19.706020000000024</c:v>
                </c:pt>
                <c:pt idx="179">
                  <c:v>-24.706020000000024</c:v>
                </c:pt>
                <c:pt idx="180">
                  <c:v>-27.236020000000025</c:v>
                </c:pt>
                <c:pt idx="181">
                  <c:v>-25.217080000000024</c:v>
                </c:pt>
                <c:pt idx="182">
                  <c:v>-27.747080000000025</c:v>
                </c:pt>
                <c:pt idx="183">
                  <c:v>-30.277080000000026</c:v>
                </c:pt>
                <c:pt idx="184">
                  <c:v>-28.293560000000028</c:v>
                </c:pt>
                <c:pt idx="185">
                  <c:v>-30.823560000000029</c:v>
                </c:pt>
                <c:pt idx="186">
                  <c:v>-33.35356000000003</c:v>
                </c:pt>
                <c:pt idx="187">
                  <c:v>-35.883560000000031</c:v>
                </c:pt>
                <c:pt idx="188">
                  <c:v>-33.97594000000003</c:v>
                </c:pt>
                <c:pt idx="189">
                  <c:v>-36.505940000000031</c:v>
                </c:pt>
                <c:pt idx="190">
                  <c:v>-34.699520000000028</c:v>
                </c:pt>
                <c:pt idx="191">
                  <c:v>-37.229520000000029</c:v>
                </c:pt>
                <c:pt idx="192">
                  <c:v>-39.75952000000003</c:v>
                </c:pt>
                <c:pt idx="193">
                  <c:v>-38.013820000000031</c:v>
                </c:pt>
                <c:pt idx="194">
                  <c:v>-40.543820000000032</c:v>
                </c:pt>
                <c:pt idx="195">
                  <c:v>-43.073820000000033</c:v>
                </c:pt>
                <c:pt idx="196">
                  <c:v>-41.621120000000033</c:v>
                </c:pt>
                <c:pt idx="197">
                  <c:v>-43.611120000000035</c:v>
                </c:pt>
                <c:pt idx="198">
                  <c:v>-45.601120000000037</c:v>
                </c:pt>
                <c:pt idx="199">
                  <c:v>-47.591120000000039</c:v>
                </c:pt>
                <c:pt idx="200">
                  <c:v>-49.581120000000041</c:v>
                </c:pt>
                <c:pt idx="201">
                  <c:v>-47.993100000000041</c:v>
                </c:pt>
                <c:pt idx="202">
                  <c:v>-46.202100000000044</c:v>
                </c:pt>
                <c:pt idx="203">
                  <c:v>-44.391200000000048</c:v>
                </c:pt>
                <c:pt idx="204">
                  <c:v>-46.381200000000049</c:v>
                </c:pt>
                <c:pt idx="205">
                  <c:v>-48.371200000000051</c:v>
                </c:pt>
                <c:pt idx="206">
                  <c:v>-46.858800000000052</c:v>
                </c:pt>
                <c:pt idx="207">
                  <c:v>-48.848800000000054</c:v>
                </c:pt>
                <c:pt idx="208">
                  <c:v>-47.455800000000053</c:v>
                </c:pt>
                <c:pt idx="209">
                  <c:v>-49.445800000000055</c:v>
                </c:pt>
                <c:pt idx="210">
                  <c:v>-51.435800000000057</c:v>
                </c:pt>
                <c:pt idx="211">
                  <c:v>-49.981110000000058</c:v>
                </c:pt>
                <c:pt idx="212">
                  <c:v>-48.564230000000059</c:v>
                </c:pt>
                <c:pt idx="213">
                  <c:v>-50.554230000000061</c:v>
                </c:pt>
                <c:pt idx="214">
                  <c:v>-48.304930000000063</c:v>
                </c:pt>
                <c:pt idx="215">
                  <c:v>-51.014930000000064</c:v>
                </c:pt>
                <c:pt idx="216">
                  <c:v>-53.724930000000064</c:v>
                </c:pt>
                <c:pt idx="217">
                  <c:v>-56.434930000000065</c:v>
                </c:pt>
                <c:pt idx="218">
                  <c:v>-53.995930000000065</c:v>
                </c:pt>
                <c:pt idx="219">
                  <c:v>-52.017630000000068</c:v>
                </c:pt>
                <c:pt idx="220">
                  <c:v>-49.578630000000068</c:v>
                </c:pt>
                <c:pt idx="221">
                  <c:v>-52.288630000000069</c:v>
                </c:pt>
                <c:pt idx="222">
                  <c:v>-50.429570000000069</c:v>
                </c:pt>
                <c:pt idx="223">
                  <c:v>-53.13957000000007</c:v>
                </c:pt>
                <c:pt idx="224">
                  <c:v>-55.849570000000071</c:v>
                </c:pt>
                <c:pt idx="225">
                  <c:v>-58.559570000000072</c:v>
                </c:pt>
                <c:pt idx="226">
                  <c:v>-56.156570000000073</c:v>
                </c:pt>
                <c:pt idx="227">
                  <c:v>-53.753570000000074</c:v>
                </c:pt>
                <c:pt idx="228">
                  <c:v>-51.350570000000076</c:v>
                </c:pt>
                <c:pt idx="229">
                  <c:v>-54.020570000000077</c:v>
                </c:pt>
                <c:pt idx="230">
                  <c:v>-56.690570000000079</c:v>
                </c:pt>
                <c:pt idx="231">
                  <c:v>-59.360570000000081</c:v>
                </c:pt>
                <c:pt idx="232">
                  <c:v>-56.957570000000082</c:v>
                </c:pt>
                <c:pt idx="233">
                  <c:v>-59.627570000000084</c:v>
                </c:pt>
                <c:pt idx="234">
                  <c:v>-57.726530000000082</c:v>
                </c:pt>
                <c:pt idx="235">
                  <c:v>-55.820150000000083</c:v>
                </c:pt>
                <c:pt idx="236">
                  <c:v>-58.490150000000085</c:v>
                </c:pt>
                <c:pt idx="237">
                  <c:v>-60.870150000000088</c:v>
                </c:pt>
                <c:pt idx="238">
                  <c:v>-58.490150000000085</c:v>
                </c:pt>
                <c:pt idx="239">
                  <c:v>-56.586150000000089</c:v>
                </c:pt>
                <c:pt idx="240">
                  <c:v>-54.420350000000091</c:v>
                </c:pt>
                <c:pt idx="241">
                  <c:v>-52.278350000000088</c:v>
                </c:pt>
                <c:pt idx="242">
                  <c:v>-50.136350000000093</c:v>
                </c:pt>
                <c:pt idx="243">
                  <c:v>-47.994350000000097</c:v>
                </c:pt>
                <c:pt idx="244">
                  <c:v>-50.374350000000099</c:v>
                </c:pt>
                <c:pt idx="245">
                  <c:v>-48.232350000000096</c:v>
                </c:pt>
                <c:pt idx="246">
                  <c:v>-46.0903500000001</c:v>
                </c:pt>
                <c:pt idx="247">
                  <c:v>-43.948350000000104</c:v>
                </c:pt>
                <c:pt idx="248">
                  <c:v>-42.130030000000104</c:v>
                </c:pt>
                <c:pt idx="249">
                  <c:v>-44.510030000000107</c:v>
                </c:pt>
                <c:pt idx="250">
                  <c:v>-46.89003000000011</c:v>
                </c:pt>
                <c:pt idx="251">
                  <c:v>-45.152630000000109</c:v>
                </c:pt>
                <c:pt idx="252">
                  <c:v>-43.453310000000108</c:v>
                </c:pt>
                <c:pt idx="253">
                  <c:v>-45.833310000000111</c:v>
                </c:pt>
                <c:pt idx="254">
                  <c:v>-44.09591000000011</c:v>
                </c:pt>
                <c:pt idx="255">
                  <c:v>-42.401350000000107</c:v>
                </c:pt>
                <c:pt idx="256">
                  <c:v>-40.706790000000105</c:v>
                </c:pt>
                <c:pt idx="257">
                  <c:v>-44.366790000000108</c:v>
                </c:pt>
                <c:pt idx="258">
                  <c:v>-41.446110000000111</c:v>
                </c:pt>
                <c:pt idx="259">
                  <c:v>-38.152110000000114</c:v>
                </c:pt>
                <c:pt idx="260">
                  <c:v>-34.858110000000117</c:v>
                </c:pt>
                <c:pt idx="261">
                  <c:v>-31.904490000000116</c:v>
                </c:pt>
                <c:pt idx="262">
                  <c:v>-35.56449000000012</c:v>
                </c:pt>
                <c:pt idx="263">
                  <c:v>-32.270490000000123</c:v>
                </c:pt>
                <c:pt idx="264">
                  <c:v>-28.833750000000123</c:v>
                </c:pt>
                <c:pt idx="265">
                  <c:v>-25.539750000000122</c:v>
                </c:pt>
                <c:pt idx="266">
                  <c:v>-22.103010000000122</c:v>
                </c:pt>
                <c:pt idx="267">
                  <c:v>-19.182330000000121</c:v>
                </c:pt>
                <c:pt idx="268">
                  <c:v>-22.842330000000121</c:v>
                </c:pt>
                <c:pt idx="269">
                  <c:v>-20.22909000000012</c:v>
                </c:pt>
                <c:pt idx="270">
                  <c:v>-17.623170000000119</c:v>
                </c:pt>
                <c:pt idx="271">
                  <c:v>-15.017250000000118</c:v>
                </c:pt>
                <c:pt idx="272">
                  <c:v>-12.404010000000117</c:v>
                </c:pt>
                <c:pt idx="273">
                  <c:v>-9.7468500000001157</c:v>
                </c:pt>
                <c:pt idx="274">
                  <c:v>-7.7039700000001154</c:v>
                </c:pt>
                <c:pt idx="275">
                  <c:v>-5.3999700000001152</c:v>
                </c:pt>
                <c:pt idx="276">
                  <c:v>-3.0959700000001154</c:v>
                </c:pt>
                <c:pt idx="277">
                  <c:v>-5.6559700000001154</c:v>
                </c:pt>
                <c:pt idx="278">
                  <c:v>-3.4492500000001152</c:v>
                </c:pt>
                <c:pt idx="279">
                  <c:v>-6.0092500000001152</c:v>
                </c:pt>
                <c:pt idx="280">
                  <c:v>-8.5692500000001157</c:v>
                </c:pt>
                <c:pt idx="281">
                  <c:v>-6.362530000000115</c:v>
                </c:pt>
                <c:pt idx="282">
                  <c:v>-8.9225300000001155</c:v>
                </c:pt>
                <c:pt idx="283">
                  <c:v>-11.482530000000116</c:v>
                </c:pt>
                <c:pt idx="284">
                  <c:v>-14.042530000000117</c:v>
                </c:pt>
                <c:pt idx="285">
                  <c:v>-16.602530000000115</c:v>
                </c:pt>
                <c:pt idx="286">
                  <c:v>-14.779810000000115</c:v>
                </c:pt>
                <c:pt idx="287">
                  <c:v>-17.339810000000114</c:v>
                </c:pt>
                <c:pt idx="288">
                  <c:v>-19.899810000000112</c:v>
                </c:pt>
                <c:pt idx="289">
                  <c:v>-22.459810000000111</c:v>
                </c:pt>
                <c:pt idx="290">
                  <c:v>-25.01981000000011</c:v>
                </c:pt>
                <c:pt idx="291">
                  <c:v>-27.579810000000109</c:v>
                </c:pt>
                <c:pt idx="292">
                  <c:v>-32.059810000000112</c:v>
                </c:pt>
                <c:pt idx="293">
                  <c:v>-28.619170000000111</c:v>
                </c:pt>
                <c:pt idx="294">
                  <c:v>-24.587170000000111</c:v>
                </c:pt>
                <c:pt idx="295">
                  <c:v>-29.067170000000111</c:v>
                </c:pt>
                <c:pt idx="296">
                  <c:v>-33.547170000000108</c:v>
                </c:pt>
                <c:pt idx="297">
                  <c:v>-38.027170000000112</c:v>
                </c:pt>
                <c:pt idx="298">
                  <c:v>-33.995170000000115</c:v>
                </c:pt>
                <c:pt idx="299">
                  <c:v>-29.963170000000115</c:v>
                </c:pt>
                <c:pt idx="300">
                  <c:v>-34.443170000000116</c:v>
                </c:pt>
                <c:pt idx="301">
                  <c:v>-31.127970000000115</c:v>
                </c:pt>
                <c:pt idx="302">
                  <c:v>-27.759010000000114</c:v>
                </c:pt>
                <c:pt idx="303">
                  <c:v>-24.425890000000113</c:v>
                </c:pt>
                <c:pt idx="304">
                  <c:v>-21.092770000000112</c:v>
                </c:pt>
                <c:pt idx="305">
                  <c:v>-22.982770000000112</c:v>
                </c:pt>
                <c:pt idx="306">
                  <c:v>-24.872770000000113</c:v>
                </c:pt>
                <c:pt idx="307">
                  <c:v>-23.243590000000111</c:v>
                </c:pt>
                <c:pt idx="308">
                  <c:v>-21.731590000000111</c:v>
                </c:pt>
                <c:pt idx="309">
                  <c:v>-23.621590000000111</c:v>
                </c:pt>
                <c:pt idx="310">
                  <c:v>-25.511590000000112</c:v>
                </c:pt>
                <c:pt idx="311">
                  <c:v>-27.401590000000112</c:v>
                </c:pt>
                <c:pt idx="312">
                  <c:v>-25.700590000000112</c:v>
                </c:pt>
                <c:pt idx="313">
                  <c:v>-23.810590000000111</c:v>
                </c:pt>
                <c:pt idx="314">
                  <c:v>-22.109590000000111</c:v>
                </c:pt>
                <c:pt idx="315">
                  <c:v>-20.40859000000011</c:v>
                </c:pt>
                <c:pt idx="316">
                  <c:v>-18.839890000000111</c:v>
                </c:pt>
                <c:pt idx="317">
                  <c:v>-17.388370000000112</c:v>
                </c:pt>
                <c:pt idx="318">
                  <c:v>-19.278370000000113</c:v>
                </c:pt>
                <c:pt idx="319">
                  <c:v>-21.168370000000113</c:v>
                </c:pt>
                <c:pt idx="320">
                  <c:v>-19.750870000000113</c:v>
                </c:pt>
                <c:pt idx="321">
                  <c:v>-18.359830000000112</c:v>
                </c:pt>
                <c:pt idx="322">
                  <c:v>-16.953670000000113</c:v>
                </c:pt>
                <c:pt idx="323">
                  <c:v>-15.498370000000113</c:v>
                </c:pt>
                <c:pt idx="324">
                  <c:v>-17.388370000000112</c:v>
                </c:pt>
                <c:pt idx="325">
                  <c:v>-19.278370000000113</c:v>
                </c:pt>
                <c:pt idx="326">
                  <c:v>-21.168370000000113</c:v>
                </c:pt>
                <c:pt idx="327">
                  <c:v>-23.058370000000114</c:v>
                </c:pt>
                <c:pt idx="328">
                  <c:v>-26.278370000000113</c:v>
                </c:pt>
                <c:pt idx="329">
                  <c:v>-23.380370000000113</c:v>
                </c:pt>
                <c:pt idx="330">
                  <c:v>-26.600370000000112</c:v>
                </c:pt>
                <c:pt idx="331">
                  <c:v>-23.824730000000113</c:v>
                </c:pt>
                <c:pt idx="332">
                  <c:v>-27.044730000000111</c:v>
                </c:pt>
                <c:pt idx="333">
                  <c:v>-24.146730000000112</c:v>
                </c:pt>
                <c:pt idx="334">
                  <c:v>-21.371090000000112</c:v>
                </c:pt>
                <c:pt idx="335">
                  <c:v>-24.591090000000111</c:v>
                </c:pt>
                <c:pt idx="336">
                  <c:v>-21.693090000000112</c:v>
                </c:pt>
                <c:pt idx="337">
                  <c:v>-24.913090000000111</c:v>
                </c:pt>
                <c:pt idx="338">
                  <c:v>-28.133090000000109</c:v>
                </c:pt>
                <c:pt idx="339">
                  <c:v>-25.23509000000011</c:v>
                </c:pt>
                <c:pt idx="340">
                  <c:v>-28.455090000000109</c:v>
                </c:pt>
                <c:pt idx="341">
                  <c:v>-25.911290000000108</c:v>
                </c:pt>
                <c:pt idx="342">
                  <c:v>-29.131290000000106</c:v>
                </c:pt>
                <c:pt idx="343">
                  <c:v>-26.587490000000106</c:v>
                </c:pt>
                <c:pt idx="344">
                  <c:v>-29.807490000000104</c:v>
                </c:pt>
                <c:pt idx="345">
                  <c:v>-27.263690000000103</c:v>
                </c:pt>
                <c:pt idx="346">
                  <c:v>-30.463690000000103</c:v>
                </c:pt>
                <c:pt idx="347">
                  <c:v>-33.663690000000102</c:v>
                </c:pt>
                <c:pt idx="348">
                  <c:v>-36.863690000000105</c:v>
                </c:pt>
                <c:pt idx="349">
                  <c:v>-40.063690000000108</c:v>
                </c:pt>
                <c:pt idx="350">
                  <c:v>-37.554890000000107</c:v>
                </c:pt>
                <c:pt idx="351">
                  <c:v>-40.75489000000011</c:v>
                </c:pt>
                <c:pt idx="352">
                  <c:v>-38.17249000000011</c:v>
                </c:pt>
                <c:pt idx="353">
                  <c:v>-41.372490000000113</c:v>
                </c:pt>
                <c:pt idx="354">
                  <c:v>-44.572490000000116</c:v>
                </c:pt>
                <c:pt idx="355">
                  <c:v>-47.772490000000118</c:v>
                </c:pt>
                <c:pt idx="356">
                  <c:v>-50.972490000000121</c:v>
                </c:pt>
                <c:pt idx="357">
                  <c:v>-48.431690000000124</c:v>
                </c:pt>
                <c:pt idx="358">
                  <c:v>-51.631690000000127</c:v>
                </c:pt>
                <c:pt idx="359">
                  <c:v>-54.83169000000013</c:v>
                </c:pt>
                <c:pt idx="360">
                  <c:v>-58.031690000000133</c:v>
                </c:pt>
                <c:pt idx="361">
                  <c:v>-65.161690000000135</c:v>
                </c:pt>
                <c:pt idx="362">
                  <c:v>-58.744690000000134</c:v>
                </c:pt>
                <c:pt idx="363">
                  <c:v>-52.256390000000131</c:v>
                </c:pt>
                <c:pt idx="364">
                  <c:v>-59.386390000000134</c:v>
                </c:pt>
                <c:pt idx="365">
                  <c:v>-66.516390000000129</c:v>
                </c:pt>
                <c:pt idx="366">
                  <c:v>-60.598490000000126</c:v>
                </c:pt>
                <c:pt idx="367">
                  <c:v>-67.728490000000122</c:v>
                </c:pt>
                <c:pt idx="368">
                  <c:v>-74.858490000000117</c:v>
                </c:pt>
                <c:pt idx="369">
                  <c:v>-69.154490000000123</c:v>
                </c:pt>
                <c:pt idx="370">
                  <c:v>-79.664490000000129</c:v>
                </c:pt>
                <c:pt idx="371">
                  <c:v>-70.205490000000125</c:v>
                </c:pt>
                <c:pt idx="372">
                  <c:v>-80.715490000000131</c:v>
                </c:pt>
                <c:pt idx="373">
                  <c:v>-91.225490000000136</c:v>
                </c:pt>
                <c:pt idx="374">
                  <c:v>-101.73549000000014</c:v>
                </c:pt>
                <c:pt idx="375">
                  <c:v>-97.244490000000141</c:v>
                </c:pt>
                <c:pt idx="376">
                  <c:v>-92.753490000000141</c:v>
                </c:pt>
                <c:pt idx="377">
                  <c:v>-97.743490000000136</c:v>
                </c:pt>
                <c:pt idx="378">
                  <c:v>-93.252490000000137</c:v>
                </c:pt>
                <c:pt idx="379">
                  <c:v>-89.110790000000137</c:v>
                </c:pt>
                <c:pt idx="380">
                  <c:v>-94.100790000000131</c:v>
                </c:pt>
                <c:pt idx="381">
                  <c:v>-89.984040000000135</c:v>
                </c:pt>
                <c:pt idx="382">
                  <c:v>-94.97404000000013</c:v>
                </c:pt>
                <c:pt idx="383">
                  <c:v>-90.932140000000132</c:v>
                </c:pt>
                <c:pt idx="384">
                  <c:v>-86.860300000000137</c:v>
                </c:pt>
                <c:pt idx="385">
                  <c:v>-84.203100000000134</c:v>
                </c:pt>
                <c:pt idx="386">
                  <c:v>-81.68606000000014</c:v>
                </c:pt>
                <c:pt idx="387">
                  <c:v>-79.169020000000145</c:v>
                </c:pt>
                <c:pt idx="388">
                  <c:v>-76.833020000000147</c:v>
                </c:pt>
                <c:pt idx="389">
                  <c:v>-73.913020000000145</c:v>
                </c:pt>
                <c:pt idx="390">
                  <c:v>-71.489420000000138</c:v>
                </c:pt>
                <c:pt idx="391">
                  <c:v>-74.409420000000139</c:v>
                </c:pt>
                <c:pt idx="392">
                  <c:v>-71.781420000000139</c:v>
                </c:pt>
                <c:pt idx="393">
                  <c:v>-69.153420000000139</c:v>
                </c:pt>
                <c:pt idx="394">
                  <c:v>-66.233420000000137</c:v>
                </c:pt>
                <c:pt idx="395">
                  <c:v>-63.809820000000137</c:v>
                </c:pt>
                <c:pt idx="396">
                  <c:v>-61.181820000000137</c:v>
                </c:pt>
                <c:pt idx="397">
                  <c:v>-58.772820000000138</c:v>
                </c:pt>
                <c:pt idx="398">
                  <c:v>-56.363820000000139</c:v>
                </c:pt>
                <c:pt idx="399">
                  <c:v>-53.864300000000142</c:v>
                </c:pt>
                <c:pt idx="400">
                  <c:v>-56.55430000000014</c:v>
                </c:pt>
                <c:pt idx="401">
                  <c:v>-54.445340000000137</c:v>
                </c:pt>
                <c:pt idx="402">
                  <c:v>-52.360590000000137</c:v>
                </c:pt>
                <c:pt idx="403">
                  <c:v>-55.050590000000135</c:v>
                </c:pt>
                <c:pt idx="404">
                  <c:v>-57.740590000000132</c:v>
                </c:pt>
                <c:pt idx="405">
                  <c:v>-60.43059000000013</c:v>
                </c:pt>
                <c:pt idx="406">
                  <c:v>-58.235550000000131</c:v>
                </c:pt>
                <c:pt idx="407">
                  <c:v>-60.925550000000129</c:v>
                </c:pt>
                <c:pt idx="408">
                  <c:v>-58.58525000000013</c:v>
                </c:pt>
                <c:pt idx="409">
                  <c:v>-56.271850000000128</c:v>
                </c:pt>
                <c:pt idx="410">
                  <c:v>-58.961850000000126</c:v>
                </c:pt>
                <c:pt idx="411">
                  <c:v>-61.651850000000124</c:v>
                </c:pt>
                <c:pt idx="412">
                  <c:v>-59.378800000000126</c:v>
                </c:pt>
                <c:pt idx="413">
                  <c:v>-62.068800000000124</c:v>
                </c:pt>
                <c:pt idx="414">
                  <c:v>-64.758800000000122</c:v>
                </c:pt>
                <c:pt idx="415">
                  <c:v>-67.448800000000119</c:v>
                </c:pt>
                <c:pt idx="416">
                  <c:v>-71.668800000000118</c:v>
                </c:pt>
                <c:pt idx="417">
                  <c:v>-67.870800000000116</c:v>
                </c:pt>
                <c:pt idx="418">
                  <c:v>-64.072800000000115</c:v>
                </c:pt>
                <c:pt idx="419">
                  <c:v>-68.292800000000113</c:v>
                </c:pt>
                <c:pt idx="420">
                  <c:v>-64.494800000000112</c:v>
                </c:pt>
                <c:pt idx="421">
                  <c:v>-60.69680000000011</c:v>
                </c:pt>
                <c:pt idx="422">
                  <c:v>-64.916800000000109</c:v>
                </c:pt>
                <c:pt idx="423">
                  <c:v>-61.435300000000112</c:v>
                </c:pt>
                <c:pt idx="424">
                  <c:v>-57.89050000000011</c:v>
                </c:pt>
                <c:pt idx="425">
                  <c:v>-62.110500000000108</c:v>
                </c:pt>
                <c:pt idx="426">
                  <c:v>-72.740500000000111</c:v>
                </c:pt>
                <c:pt idx="427">
                  <c:v>-64.236500000000106</c:v>
                </c:pt>
                <c:pt idx="428">
                  <c:v>-54.669500000000106</c:v>
                </c:pt>
                <c:pt idx="429">
                  <c:v>-65.299500000000108</c:v>
                </c:pt>
                <c:pt idx="430">
                  <c:v>-75.929500000000104</c:v>
                </c:pt>
                <c:pt idx="431">
                  <c:v>-86.559500000000099</c:v>
                </c:pt>
                <c:pt idx="432">
                  <c:v>-85.1995000000001</c:v>
                </c:pt>
                <c:pt idx="433">
                  <c:v>-86.899500000000103</c:v>
                </c:pt>
                <c:pt idx="434">
                  <c:v>-88.599500000000106</c:v>
                </c:pt>
                <c:pt idx="435">
                  <c:v>-87.069500000000104</c:v>
                </c:pt>
                <c:pt idx="436">
                  <c:v>-88.769500000000107</c:v>
                </c:pt>
                <c:pt idx="437">
                  <c:v>-90.46950000000011</c:v>
                </c:pt>
                <c:pt idx="438">
                  <c:v>-88.769500000000107</c:v>
                </c:pt>
                <c:pt idx="439">
                  <c:v>-87.239500000000106</c:v>
                </c:pt>
                <c:pt idx="440">
                  <c:v>-85.794500000000113</c:v>
                </c:pt>
                <c:pt idx="441">
                  <c:v>-87.494500000000116</c:v>
                </c:pt>
                <c:pt idx="442">
                  <c:v>-89.194500000000119</c:v>
                </c:pt>
                <c:pt idx="443">
                  <c:v>-87.664500000000118</c:v>
                </c:pt>
                <c:pt idx="444">
                  <c:v>-86.134500000000116</c:v>
                </c:pt>
                <c:pt idx="445">
                  <c:v>-87.834500000000119</c:v>
                </c:pt>
                <c:pt idx="446">
                  <c:v>-86.134500000000116</c:v>
                </c:pt>
                <c:pt idx="447">
                  <c:v>-84.706500000000119</c:v>
                </c:pt>
                <c:pt idx="448">
                  <c:v>-83.176500000000118</c:v>
                </c:pt>
                <c:pt idx="449">
                  <c:v>-81.740000000000123</c:v>
                </c:pt>
                <c:pt idx="450">
                  <c:v>-83.440000000000126</c:v>
                </c:pt>
                <c:pt idx="451">
                  <c:v>-85.140000000000128</c:v>
                </c:pt>
                <c:pt idx="452">
                  <c:v>-83.610000000000127</c:v>
                </c:pt>
                <c:pt idx="453">
                  <c:v>-82.080000000000126</c:v>
                </c:pt>
                <c:pt idx="454">
                  <c:v>-83.780000000000129</c:v>
                </c:pt>
                <c:pt idx="455">
                  <c:v>-82.318000000000126</c:v>
                </c:pt>
                <c:pt idx="456">
                  <c:v>-78.610000000000127</c:v>
                </c:pt>
                <c:pt idx="457">
                  <c:v>-75.149200000000121</c:v>
                </c:pt>
                <c:pt idx="458">
                  <c:v>-71.441200000000123</c:v>
                </c:pt>
                <c:pt idx="459">
                  <c:v>-75.561200000000127</c:v>
                </c:pt>
                <c:pt idx="460">
                  <c:v>-79.681200000000132</c:v>
                </c:pt>
                <c:pt idx="461">
                  <c:v>-76.055600000000126</c:v>
                </c:pt>
                <c:pt idx="462">
                  <c:v>-72.347600000000128</c:v>
                </c:pt>
                <c:pt idx="463">
                  <c:v>-68.639600000000129</c:v>
                </c:pt>
                <c:pt idx="464">
                  <c:v>-72.759600000000134</c:v>
                </c:pt>
                <c:pt idx="465">
                  <c:v>-69.257600000000139</c:v>
                </c:pt>
                <c:pt idx="466">
                  <c:v>-71.357600000000133</c:v>
                </c:pt>
                <c:pt idx="467">
                  <c:v>-73.457600000000127</c:v>
                </c:pt>
                <c:pt idx="468">
                  <c:v>-75.557600000000122</c:v>
                </c:pt>
                <c:pt idx="469">
                  <c:v>-73.457600000000127</c:v>
                </c:pt>
                <c:pt idx="470">
                  <c:v>-71.714600000000132</c:v>
                </c:pt>
                <c:pt idx="471">
                  <c:v>-73.814600000000127</c:v>
                </c:pt>
                <c:pt idx="472">
                  <c:v>-71.924600000000126</c:v>
                </c:pt>
                <c:pt idx="473">
                  <c:v>-69.614600000000124</c:v>
                </c:pt>
                <c:pt idx="474">
                  <c:v>-71.714600000000118</c:v>
                </c:pt>
                <c:pt idx="475">
                  <c:v>-69.803600000000117</c:v>
                </c:pt>
                <c:pt idx="476">
                  <c:v>-67.493600000000114</c:v>
                </c:pt>
                <c:pt idx="477">
                  <c:v>-69.593600000000109</c:v>
                </c:pt>
                <c:pt idx="478">
                  <c:v>-71.693600000000103</c:v>
                </c:pt>
                <c:pt idx="479">
                  <c:v>-69.803600000000102</c:v>
                </c:pt>
                <c:pt idx="480">
                  <c:v>-67.934600000000103</c:v>
                </c:pt>
                <c:pt idx="481">
                  <c:v>-66.149600000000106</c:v>
                </c:pt>
                <c:pt idx="482">
                  <c:v>-64.280600000000106</c:v>
                </c:pt>
                <c:pt idx="483">
                  <c:v>-62.49560000000011</c:v>
                </c:pt>
                <c:pt idx="484">
                  <c:v>-64.595600000000104</c:v>
                </c:pt>
                <c:pt idx="485">
                  <c:v>-61.418600000000104</c:v>
                </c:pt>
                <c:pt idx="486">
                  <c:v>-64.948600000000098</c:v>
                </c:pt>
                <c:pt idx="487">
                  <c:v>-68.4786000000001</c:v>
                </c:pt>
                <c:pt idx="488">
                  <c:v>-72.008600000000101</c:v>
                </c:pt>
                <c:pt idx="489">
                  <c:v>-68.4786000000001</c:v>
                </c:pt>
                <c:pt idx="490">
                  <c:v>-72.008600000000101</c:v>
                </c:pt>
                <c:pt idx="491">
                  <c:v>-68.831600000000108</c:v>
                </c:pt>
                <c:pt idx="492">
                  <c:v>-65.516930000000102</c:v>
                </c:pt>
                <c:pt idx="493">
                  <c:v>-60.516930000000102</c:v>
                </c:pt>
                <c:pt idx="494">
                  <c:v>-57.339930000000102</c:v>
                </c:pt>
                <c:pt idx="495">
                  <c:v>-60.869930000000103</c:v>
                </c:pt>
                <c:pt idx="496">
                  <c:v>-64.399930000000097</c:v>
                </c:pt>
                <c:pt idx="497">
                  <c:v>-67.929930000000098</c:v>
                </c:pt>
                <c:pt idx="498">
                  <c:v>-64.858830000000097</c:v>
                </c:pt>
                <c:pt idx="499">
                  <c:v>-59.724830000000097</c:v>
                </c:pt>
                <c:pt idx="500">
                  <c:v>-65.764830000000103</c:v>
                </c:pt>
                <c:pt idx="501">
                  <c:v>-68.784830000000099</c:v>
                </c:pt>
                <c:pt idx="502">
                  <c:v>-71.804830000000095</c:v>
                </c:pt>
                <c:pt idx="503">
                  <c:v>-74.824830000000091</c:v>
                </c:pt>
                <c:pt idx="504">
                  <c:v>-77.844830000000087</c:v>
                </c:pt>
                <c:pt idx="505">
                  <c:v>-75.09663000000009</c:v>
                </c:pt>
                <c:pt idx="506">
                  <c:v>-71.140430000000094</c:v>
                </c:pt>
                <c:pt idx="507">
                  <c:v>-68.5130300000001</c:v>
                </c:pt>
                <c:pt idx="508">
                  <c:v>-71.533030000000096</c:v>
                </c:pt>
                <c:pt idx="509">
                  <c:v>-74.553030000000092</c:v>
                </c:pt>
                <c:pt idx="510">
                  <c:v>-77.573030000000088</c:v>
                </c:pt>
                <c:pt idx="511">
                  <c:v>-80.593030000000084</c:v>
                </c:pt>
                <c:pt idx="512">
                  <c:v>-82.063030000000083</c:v>
                </c:pt>
                <c:pt idx="513">
                  <c:v>-80.795890000000085</c:v>
                </c:pt>
                <c:pt idx="514">
                  <c:v>-79.472890000000092</c:v>
                </c:pt>
                <c:pt idx="515">
                  <c:v>-78.193990000000099</c:v>
                </c:pt>
                <c:pt idx="516">
                  <c:v>-79.663990000000098</c:v>
                </c:pt>
                <c:pt idx="517">
                  <c:v>-81.133990000000097</c:v>
                </c:pt>
                <c:pt idx="518">
                  <c:v>-79.884490000000099</c:v>
                </c:pt>
                <c:pt idx="519">
                  <c:v>-78.561490000000106</c:v>
                </c:pt>
                <c:pt idx="520">
                  <c:v>-80.031490000000105</c:v>
                </c:pt>
                <c:pt idx="521">
                  <c:v>-81.501490000000103</c:v>
                </c:pt>
                <c:pt idx="522">
                  <c:v>-82.971490000000102</c:v>
                </c:pt>
                <c:pt idx="523">
                  <c:v>-80.384290000000107</c:v>
                </c:pt>
                <c:pt idx="524">
                  <c:v>-78.767290000000102</c:v>
                </c:pt>
                <c:pt idx="525">
                  <c:v>-77.370790000000099</c:v>
                </c:pt>
                <c:pt idx="526">
                  <c:v>-75.117280000000093</c:v>
                </c:pt>
                <c:pt idx="527">
                  <c:v>-73.7942800000001</c:v>
                </c:pt>
                <c:pt idx="528">
                  <c:v>-72.471280000000107</c:v>
                </c:pt>
                <c:pt idx="529">
                  <c:v>-73.941280000000106</c:v>
                </c:pt>
                <c:pt idx="530">
                  <c:v>-72.618280000000112</c:v>
                </c:pt>
                <c:pt idx="531">
                  <c:v>-74.088280000000111</c:v>
                </c:pt>
                <c:pt idx="532">
                  <c:v>-75.55828000000011</c:v>
                </c:pt>
                <c:pt idx="533">
                  <c:v>-74.235280000000117</c:v>
                </c:pt>
                <c:pt idx="534">
                  <c:v>-72.912280000000123</c:v>
                </c:pt>
                <c:pt idx="535">
                  <c:v>-71.58928000000013</c:v>
                </c:pt>
                <c:pt idx="536">
                  <c:v>-70.266280000000137</c:v>
                </c:pt>
                <c:pt idx="537">
                  <c:v>-68.943280000000144</c:v>
                </c:pt>
                <c:pt idx="538">
                  <c:v>-65.154280000000142</c:v>
                </c:pt>
                <c:pt idx="539">
                  <c:v>-61.449480000000143</c:v>
                </c:pt>
                <c:pt idx="540">
                  <c:v>-57.786780000000142</c:v>
                </c:pt>
                <c:pt idx="541">
                  <c:v>-53.829380000000143</c:v>
                </c:pt>
                <c:pt idx="542">
                  <c:v>-58.039380000000143</c:v>
                </c:pt>
                <c:pt idx="543">
                  <c:v>-54.081980000000144</c:v>
                </c:pt>
                <c:pt idx="544">
                  <c:v>-58.291980000000144</c:v>
                </c:pt>
                <c:pt idx="545">
                  <c:v>-54.334580000000145</c:v>
                </c:pt>
                <c:pt idx="546">
                  <c:v>-50.377180000000145</c:v>
                </c:pt>
                <c:pt idx="547">
                  <c:v>-54.587180000000146</c:v>
                </c:pt>
                <c:pt idx="548">
                  <c:v>-50.629780000000146</c:v>
                </c:pt>
                <c:pt idx="549">
                  <c:v>-54.839780000000147</c:v>
                </c:pt>
                <c:pt idx="550">
                  <c:v>-52.760480000000143</c:v>
                </c:pt>
                <c:pt idx="551">
                  <c:v>-50.131480000000145</c:v>
                </c:pt>
                <c:pt idx="552">
                  <c:v>-52.521480000000146</c:v>
                </c:pt>
                <c:pt idx="553">
                  <c:v>-54.911480000000147</c:v>
                </c:pt>
                <c:pt idx="554">
                  <c:v>-57.301480000000147</c:v>
                </c:pt>
                <c:pt idx="555">
                  <c:v>-55.241300000000145</c:v>
                </c:pt>
                <c:pt idx="556">
                  <c:v>-52.934950000000143</c:v>
                </c:pt>
                <c:pt idx="557">
                  <c:v>-50.305950000000145</c:v>
                </c:pt>
                <c:pt idx="558">
                  <c:v>-47.999600000000143</c:v>
                </c:pt>
                <c:pt idx="559">
                  <c:v>-50.389600000000144</c:v>
                </c:pt>
                <c:pt idx="560">
                  <c:v>-48.083250000000142</c:v>
                </c:pt>
                <c:pt idx="561">
                  <c:v>-50.473250000000142</c:v>
                </c:pt>
                <c:pt idx="562">
                  <c:v>-48.250550000000139</c:v>
                </c:pt>
                <c:pt idx="563">
                  <c:v>-46.051750000000141</c:v>
                </c:pt>
                <c:pt idx="564">
                  <c:v>-46.051750000000141</c:v>
                </c:pt>
                <c:pt idx="565">
                  <c:v>-48.441750000000141</c:v>
                </c:pt>
                <c:pt idx="566">
                  <c:v>-50.831750000000142</c:v>
                </c:pt>
                <c:pt idx="567">
                  <c:v>-53.241750000000138</c:v>
                </c:pt>
                <c:pt idx="568">
                  <c:v>-51.072750000000141</c:v>
                </c:pt>
                <c:pt idx="569">
                  <c:v>-53.482750000000138</c:v>
                </c:pt>
                <c:pt idx="570">
                  <c:v>-51.289650000000137</c:v>
                </c:pt>
                <c:pt idx="571">
                  <c:v>-53.699650000000133</c:v>
                </c:pt>
                <c:pt idx="572">
                  <c:v>-56.10965000000013</c:v>
                </c:pt>
                <c:pt idx="573">
                  <c:v>-53.72375000000013</c:v>
                </c:pt>
                <c:pt idx="574">
                  <c:v>-56.133750000000134</c:v>
                </c:pt>
                <c:pt idx="575">
                  <c:v>-58.543750000000131</c:v>
                </c:pt>
                <c:pt idx="576">
                  <c:v>-56.278350000000131</c:v>
                </c:pt>
                <c:pt idx="577">
                  <c:v>-58.688350000000128</c:v>
                </c:pt>
                <c:pt idx="578">
                  <c:v>-61.098350000000124</c:v>
                </c:pt>
                <c:pt idx="579">
                  <c:v>-57.903350000000124</c:v>
                </c:pt>
                <c:pt idx="580">
                  <c:v>-61.453350000000121</c:v>
                </c:pt>
                <c:pt idx="581">
                  <c:v>-65.003350000000125</c:v>
                </c:pt>
                <c:pt idx="582">
                  <c:v>-68.553350000000123</c:v>
                </c:pt>
                <c:pt idx="583">
                  <c:v>-56.873850000000118</c:v>
                </c:pt>
                <c:pt idx="584">
                  <c:v>-60.423850000000115</c:v>
                </c:pt>
                <c:pt idx="585">
                  <c:v>-56.944850000000116</c:v>
                </c:pt>
                <c:pt idx="586">
                  <c:v>-53.394850000000119</c:v>
                </c:pt>
                <c:pt idx="587">
                  <c:v>-49.91585000000012</c:v>
                </c:pt>
                <c:pt idx="588">
                  <c:v>-46.436850000000121</c:v>
                </c:pt>
                <c:pt idx="589">
                  <c:v>-49.986850000000118</c:v>
                </c:pt>
                <c:pt idx="590">
                  <c:v>-53.536850000000115</c:v>
                </c:pt>
                <c:pt idx="591">
                  <c:v>-57.086850000000112</c:v>
                </c:pt>
                <c:pt idx="592">
                  <c:v>-60.636850000000109</c:v>
                </c:pt>
                <c:pt idx="593">
                  <c:v>-58.890850000000107</c:v>
                </c:pt>
                <c:pt idx="594">
                  <c:v>-57.144850000000105</c:v>
                </c:pt>
                <c:pt idx="595">
                  <c:v>-55.398850000000103</c:v>
                </c:pt>
                <c:pt idx="596">
                  <c:v>-57.3388500000001</c:v>
                </c:pt>
                <c:pt idx="597">
                  <c:v>-55.573450000000101</c:v>
                </c:pt>
                <c:pt idx="598">
                  <c:v>-57.513450000000098</c:v>
                </c:pt>
                <c:pt idx="599">
                  <c:v>-55.641350000000095</c:v>
                </c:pt>
                <c:pt idx="600">
                  <c:v>-57.581350000000093</c:v>
                </c:pt>
                <c:pt idx="601">
                  <c:v>-55.44347000000009</c:v>
                </c:pt>
                <c:pt idx="602">
                  <c:v>-53.619870000000091</c:v>
                </c:pt>
                <c:pt idx="603">
                  <c:v>-50.818510000000089</c:v>
                </c:pt>
                <c:pt idx="604">
                  <c:v>-52.758510000000086</c:v>
                </c:pt>
                <c:pt idx="605">
                  <c:v>-50.886410000000083</c:v>
                </c:pt>
                <c:pt idx="606">
                  <c:v>-49.024010000000082</c:v>
                </c:pt>
                <c:pt idx="607">
                  <c:v>-50.96401000000008</c:v>
                </c:pt>
                <c:pt idx="608">
                  <c:v>-49.062810000000077</c:v>
                </c:pt>
                <c:pt idx="609">
                  <c:v>-47.161610000000074</c:v>
                </c:pt>
                <c:pt idx="610">
                  <c:v>-45.308910000000076</c:v>
                </c:pt>
                <c:pt idx="611">
                  <c:v>-40.614110000000075</c:v>
                </c:pt>
                <c:pt idx="612">
                  <c:v>-42.554110000000072</c:v>
                </c:pt>
                <c:pt idx="613">
                  <c:v>-40.65291000000007</c:v>
                </c:pt>
                <c:pt idx="614">
                  <c:v>-35.497800000000069</c:v>
                </c:pt>
                <c:pt idx="615">
                  <c:v>-30.72150000000007</c:v>
                </c:pt>
                <c:pt idx="616">
                  <c:v>-36.211500000000072</c:v>
                </c:pt>
                <c:pt idx="617">
                  <c:v>-30.94110000000007</c:v>
                </c:pt>
                <c:pt idx="618">
                  <c:v>-36.431100000000072</c:v>
                </c:pt>
                <c:pt idx="619">
                  <c:v>-41.921100000000074</c:v>
                </c:pt>
                <c:pt idx="620">
                  <c:v>-32.126940000000076</c:v>
                </c:pt>
                <c:pt idx="621">
                  <c:v>-26.774190000000075</c:v>
                </c:pt>
                <c:pt idx="622">
                  <c:v>-21.393990000000073</c:v>
                </c:pt>
                <c:pt idx="623">
                  <c:v>-19.134990000000073</c:v>
                </c:pt>
                <c:pt idx="624">
                  <c:v>-21.644990000000071</c:v>
                </c:pt>
                <c:pt idx="625">
                  <c:v>-19.486390000000071</c:v>
                </c:pt>
                <c:pt idx="626">
                  <c:v>-21.996390000000069</c:v>
                </c:pt>
                <c:pt idx="627">
                  <c:v>-24.506390000000067</c:v>
                </c:pt>
                <c:pt idx="628">
                  <c:v>-19.812690000000067</c:v>
                </c:pt>
                <c:pt idx="629">
                  <c:v>-17.352890000000066</c:v>
                </c:pt>
                <c:pt idx="630">
                  <c:v>-19.862890000000064</c:v>
                </c:pt>
                <c:pt idx="631">
                  <c:v>-17.403090000000063</c:v>
                </c:pt>
                <c:pt idx="632">
                  <c:v>-14.943290000000063</c:v>
                </c:pt>
                <c:pt idx="633">
                  <c:v>-12.483490000000064</c:v>
                </c:pt>
                <c:pt idx="634">
                  <c:v>-10.124090000000063</c:v>
                </c:pt>
                <c:pt idx="635">
                  <c:v>-7.7646900000000629</c:v>
                </c:pt>
                <c:pt idx="636">
                  <c:v>-10.274690000000064</c:v>
                </c:pt>
                <c:pt idx="637">
                  <c:v>-12.784690000000063</c:v>
                </c:pt>
                <c:pt idx="638">
                  <c:v>-2.7086900000000629</c:v>
                </c:pt>
                <c:pt idx="639">
                  <c:v>1.413309999999937</c:v>
                </c:pt>
                <c:pt idx="640">
                  <c:v>-3.1666900000000631</c:v>
                </c:pt>
                <c:pt idx="641">
                  <c:v>-7.7466900000000631</c:v>
                </c:pt>
                <c:pt idx="642">
                  <c:v>-12.326690000000063</c:v>
                </c:pt>
                <c:pt idx="643">
                  <c:v>-16.906690000000062</c:v>
                </c:pt>
                <c:pt idx="644">
                  <c:v>-14.831890000000062</c:v>
                </c:pt>
                <c:pt idx="645">
                  <c:v>-17.111890000000063</c:v>
                </c:pt>
                <c:pt idx="646">
                  <c:v>-19.391890000000064</c:v>
                </c:pt>
                <c:pt idx="647">
                  <c:v>-21.671890000000065</c:v>
                </c:pt>
                <c:pt idx="648">
                  <c:v>-23.951890000000066</c:v>
                </c:pt>
                <c:pt idx="649">
                  <c:v>-23.951890000000066</c:v>
                </c:pt>
                <c:pt idx="650">
                  <c:v>-21.899890000000067</c:v>
                </c:pt>
                <c:pt idx="651">
                  <c:v>-24.179890000000068</c:v>
                </c:pt>
                <c:pt idx="652">
                  <c:v>-21.945490000000067</c:v>
                </c:pt>
                <c:pt idx="653">
                  <c:v>-24.225490000000068</c:v>
                </c:pt>
                <c:pt idx="654">
                  <c:v>-21.945490000000067</c:v>
                </c:pt>
                <c:pt idx="655">
                  <c:v>-24.225490000000068</c:v>
                </c:pt>
                <c:pt idx="656">
                  <c:v>-26.505490000000069</c:v>
                </c:pt>
                <c:pt idx="657">
                  <c:v>-28.78549000000007</c:v>
                </c:pt>
                <c:pt idx="658">
                  <c:v>-31.065490000000072</c:v>
                </c:pt>
                <c:pt idx="659">
                  <c:v>-33.345490000000069</c:v>
                </c:pt>
                <c:pt idx="660">
                  <c:v>-35.62549000000007</c:v>
                </c:pt>
                <c:pt idx="661">
                  <c:v>-37.905490000000071</c:v>
                </c:pt>
                <c:pt idx="662">
                  <c:v>-35.338690000000071</c:v>
                </c:pt>
                <c:pt idx="663">
                  <c:v>-32.854690000000069</c:v>
                </c:pt>
                <c:pt idx="664">
                  <c:v>-30.315490000000068</c:v>
                </c:pt>
                <c:pt idx="665">
                  <c:v>-33.075490000000066</c:v>
                </c:pt>
                <c:pt idx="666">
                  <c:v>-35.835490000000064</c:v>
                </c:pt>
                <c:pt idx="667">
                  <c:v>-35.835490000000064</c:v>
                </c:pt>
                <c:pt idx="668">
                  <c:v>-38.595490000000062</c:v>
                </c:pt>
                <c:pt idx="669">
                  <c:v>-41.35549000000006</c:v>
                </c:pt>
                <c:pt idx="670">
                  <c:v>-44.115490000000058</c:v>
                </c:pt>
                <c:pt idx="671">
                  <c:v>-41.419428223938283</c:v>
                </c:pt>
                <c:pt idx="672">
                  <c:v>-38.75602822393828</c:v>
                </c:pt>
                <c:pt idx="673">
                  <c:v>-36.023628223938282</c:v>
                </c:pt>
                <c:pt idx="674">
                  <c:v>-38.78362822393828</c:v>
                </c:pt>
                <c:pt idx="675">
                  <c:v>-41.543628223938278</c:v>
                </c:pt>
                <c:pt idx="676">
                  <c:v>-44.28362822393828</c:v>
                </c:pt>
                <c:pt idx="677">
                  <c:v>-41.543628223938278</c:v>
                </c:pt>
                <c:pt idx="678">
                  <c:v>-39.077628223938277</c:v>
                </c:pt>
                <c:pt idx="679">
                  <c:v>-41.817628223938279</c:v>
                </c:pt>
                <c:pt idx="680">
                  <c:v>-38.803628223938276</c:v>
                </c:pt>
                <c:pt idx="681">
                  <c:v>-41.543628223938278</c:v>
                </c:pt>
                <c:pt idx="682">
                  <c:v>-38.831028223938276</c:v>
                </c:pt>
                <c:pt idx="683">
                  <c:v>-41.571028223938278</c:v>
                </c:pt>
                <c:pt idx="684">
                  <c:v>-44.31102822393828</c:v>
                </c:pt>
                <c:pt idx="685">
                  <c:v>-47.051028223938282</c:v>
                </c:pt>
                <c:pt idx="686">
                  <c:v>-44.33842822393828</c:v>
                </c:pt>
                <c:pt idx="687">
                  <c:v>-41.653228223938278</c:v>
                </c:pt>
                <c:pt idx="688">
                  <c:v>-38.995428223938276</c:v>
                </c:pt>
                <c:pt idx="689">
                  <c:v>-41.735428223938278</c:v>
                </c:pt>
                <c:pt idx="690">
                  <c:v>-44.47542822393828</c:v>
                </c:pt>
                <c:pt idx="691">
                  <c:v>-47.215428223938282</c:v>
                </c:pt>
                <c:pt idx="692">
                  <c:v>-44.749428223938281</c:v>
                </c:pt>
                <c:pt idx="693">
                  <c:v>-41.379228223938284</c:v>
                </c:pt>
                <c:pt idx="694">
                  <c:v>-44.119228223938286</c:v>
                </c:pt>
                <c:pt idx="695">
                  <c:v>-46.859228223938288</c:v>
                </c:pt>
                <c:pt idx="696">
                  <c:v>-49.59922822393829</c:v>
                </c:pt>
                <c:pt idx="697">
                  <c:v>-52.339228223938292</c:v>
                </c:pt>
                <c:pt idx="698">
                  <c:v>-49.65402822393829</c:v>
                </c:pt>
                <c:pt idx="699">
                  <c:v>-52.394028223938292</c:v>
                </c:pt>
                <c:pt idx="700">
                  <c:v>-55.994028223938294</c:v>
                </c:pt>
                <c:pt idx="701">
                  <c:v>-47.138028223938292</c:v>
                </c:pt>
                <c:pt idx="702">
                  <c:v>-40.532028223938291</c:v>
                </c:pt>
                <c:pt idx="703">
                  <c:v>-44.132028223938292</c:v>
                </c:pt>
                <c:pt idx="704">
                  <c:v>-47.732028223938293</c:v>
                </c:pt>
                <c:pt idx="705">
                  <c:v>-51.332028223938295</c:v>
                </c:pt>
                <c:pt idx="706">
                  <c:v>-54.932028223938296</c:v>
                </c:pt>
                <c:pt idx="707">
                  <c:v>-56.722028223938295</c:v>
                </c:pt>
                <c:pt idx="708">
                  <c:v>-58.512028223938295</c:v>
                </c:pt>
                <c:pt idx="709">
                  <c:v>-56.722028223938295</c:v>
                </c:pt>
                <c:pt idx="710">
                  <c:v>-58.512028223938295</c:v>
                </c:pt>
                <c:pt idx="711">
                  <c:v>-54.171278223938295</c:v>
                </c:pt>
                <c:pt idx="712">
                  <c:v>-55.961278223938294</c:v>
                </c:pt>
                <c:pt idx="713">
                  <c:v>-57.751278223938293</c:v>
                </c:pt>
                <c:pt idx="714">
                  <c:v>-55.782278223938292</c:v>
                </c:pt>
                <c:pt idx="715">
                  <c:v>-54.01017822393829</c:v>
                </c:pt>
                <c:pt idx="716">
                  <c:v>-55.800178223938289</c:v>
                </c:pt>
                <c:pt idx="717">
                  <c:v>-57.590178223938288</c:v>
                </c:pt>
                <c:pt idx="718">
                  <c:v>-56.883128223938286</c:v>
                </c:pt>
                <c:pt idx="719">
                  <c:v>-62.243128223938285</c:v>
                </c:pt>
                <c:pt idx="720">
                  <c:v>-67.603128223938285</c:v>
                </c:pt>
                <c:pt idx="721">
                  <c:v>-59.187928223938286</c:v>
                </c:pt>
                <c:pt idx="722">
                  <c:v>-50.290328223938289</c:v>
                </c:pt>
                <c:pt idx="723">
                  <c:v>-47.575658223938291</c:v>
                </c:pt>
                <c:pt idx="724">
                  <c:v>-45.375278223938295</c:v>
                </c:pt>
                <c:pt idx="725">
                  <c:v>-42.827698223938299</c:v>
                </c:pt>
                <c:pt idx="726">
                  <c:v>-44.997698223938301</c:v>
                </c:pt>
                <c:pt idx="727">
                  <c:v>-47.167698223938302</c:v>
                </c:pt>
                <c:pt idx="728">
                  <c:v>-49.337698223938304</c:v>
                </c:pt>
                <c:pt idx="729">
                  <c:v>-51.507698223938306</c:v>
                </c:pt>
                <c:pt idx="730">
                  <c:v>-53.677698223938307</c:v>
                </c:pt>
                <c:pt idx="731">
                  <c:v>-55.847698223938309</c:v>
                </c:pt>
                <c:pt idx="732">
                  <c:v>-58.017698223938311</c:v>
                </c:pt>
                <c:pt idx="733">
                  <c:v>-60.187698223938312</c:v>
                </c:pt>
                <c:pt idx="734">
                  <c:v>-58.039398223938313</c:v>
                </c:pt>
                <c:pt idx="735">
                  <c:v>-54.112398223938314</c:v>
                </c:pt>
                <c:pt idx="736">
                  <c:v>-57.682398223938314</c:v>
                </c:pt>
                <c:pt idx="737">
                  <c:v>-61.252398223938314</c:v>
                </c:pt>
                <c:pt idx="738">
                  <c:v>-64.822398223938308</c:v>
                </c:pt>
                <c:pt idx="739">
                  <c:v>-68.392398223938301</c:v>
                </c:pt>
                <c:pt idx="740">
                  <c:v>-71.962398223938294</c:v>
                </c:pt>
                <c:pt idx="741">
                  <c:v>-75.532398223938287</c:v>
                </c:pt>
                <c:pt idx="742">
                  <c:v>-79.10239822393828</c:v>
                </c:pt>
                <c:pt idx="743">
                  <c:v>-77.053098223938278</c:v>
                </c:pt>
                <c:pt idx="744">
                  <c:v>-79.123098223938271</c:v>
                </c:pt>
                <c:pt idx="745">
                  <c:v>-77.02204822393827</c:v>
                </c:pt>
                <c:pt idx="746">
                  <c:v>-73.037298223938265</c:v>
                </c:pt>
                <c:pt idx="747">
                  <c:v>-75.107298223938258</c:v>
                </c:pt>
                <c:pt idx="748">
                  <c:v>-77.177298223938251</c:v>
                </c:pt>
                <c:pt idx="749">
                  <c:v>-79.247298223938245</c:v>
                </c:pt>
                <c:pt idx="750">
                  <c:v>-76.194048223938239</c:v>
                </c:pt>
                <c:pt idx="751">
                  <c:v>-78.264048223938232</c:v>
                </c:pt>
                <c:pt idx="752">
                  <c:v>-76.028448223938227</c:v>
                </c:pt>
                <c:pt idx="753">
                  <c:v>-78.09844822393822</c:v>
                </c:pt>
                <c:pt idx="754">
                  <c:v>-68.783448223938223</c:v>
                </c:pt>
                <c:pt idx="755">
                  <c:v>-64.764498223938219</c:v>
                </c:pt>
              </c:numCache>
            </c:numRef>
          </c:val>
          <c:smooth val="0"/>
          <c:extLst>
            <c:ext xmlns:c16="http://schemas.microsoft.com/office/drawing/2014/chart" uri="{C3380CC4-5D6E-409C-BE32-E72D297353CC}">
              <c16:uniqueId val="{00000000-3FEA-492D-A561-A1012201120E}"/>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266700</xdr:colOff>
      <xdr:row>768</xdr:row>
      <xdr:rowOff>9525</xdr:rowOff>
    </xdr:from>
    <xdr:to>
      <xdr:col>12</xdr:col>
      <xdr:colOff>200025</xdr:colOff>
      <xdr:row>782</xdr:row>
      <xdr:rowOff>28575</xdr:rowOff>
    </xdr:to>
    <xdr:graphicFrame macro="">
      <xdr:nvGraphicFramePr>
        <xdr:cNvPr id="5" name="Gráfico 3">
          <a:extLst>
            <a:ext uri="{FF2B5EF4-FFF2-40B4-BE49-F238E27FC236}">
              <a16:creationId xmlns:a16="http://schemas.microsoft.com/office/drawing/2014/main" id="{78A5DCFA-FC1D-4B6D-A39D-6FC42831F828}"/>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5.447150231485"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56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8">
      <pivotArea outline="0" fieldPosition="0">
        <references count="1">
          <reference field="4294967294" count="1" selected="0">
            <x v="1"/>
          </reference>
        </references>
      </pivotArea>
    </format>
    <format dxfId="109">
      <pivotArea outline="0" fieldPosition="0">
        <references count="1">
          <reference field="4294967294" count="1" selected="0">
            <x v="3"/>
          </reference>
        </references>
      </pivotArea>
    </format>
    <format dxfId="110">
      <pivotArea dataOnly="0" labelOnly="1" outline="0" fieldPosition="0">
        <references count="1">
          <reference field="4294967294" count="1">
            <x v="3"/>
          </reference>
        </references>
      </pivotArea>
    </format>
    <format dxfId="111">
      <pivotArea outline="0" fieldPosition="0">
        <references count="1">
          <reference field="4294967294" count="1" selected="0">
            <x v="5"/>
          </reference>
        </references>
      </pivotArea>
    </format>
    <format dxfId="112">
      <pivotArea dataOnly="0" labelOnly="1" outline="0" fieldPosition="0">
        <references count="1">
          <reference field="4294967294" count="1">
            <x v="5"/>
          </reference>
        </references>
      </pivotArea>
    </format>
    <format dxfId="113">
      <pivotArea outline="0" fieldPosition="0">
        <references count="1">
          <reference field="4294967294" count="1" selected="0">
            <x v="7"/>
          </reference>
        </references>
      </pivotArea>
    </format>
    <format dxfId="11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01"/>
  <sheetViews>
    <sheetView tabSelected="1" topLeftCell="C750" workbookViewId="0">
      <selection activeCell="E753" sqref="E753"/>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208" t="s">
        <v>0</v>
      </c>
      <c r="C1" s="544" t="s">
        <v>1</v>
      </c>
      <c r="D1" s="545" t="s">
        <v>2</v>
      </c>
      <c r="E1" s="124" t="s">
        <v>3</v>
      </c>
      <c r="F1" s="159" t="s">
        <v>4</v>
      </c>
      <c r="G1" s="160" t="s">
        <v>5</v>
      </c>
      <c r="H1" s="546" t="s">
        <v>1</v>
      </c>
      <c r="I1" s="248" t="s">
        <v>6</v>
      </c>
      <c r="J1" s="248" t="s">
        <v>7</v>
      </c>
      <c r="K1" s="248" t="s">
        <v>8</v>
      </c>
      <c r="L1" t="s">
        <v>9</v>
      </c>
    </row>
    <row r="2" spans="1:16">
      <c r="A2"/>
      <c r="B2" s="532">
        <v>45971</v>
      </c>
      <c r="C2" s="547">
        <v>2.6</v>
      </c>
      <c r="D2" s="548">
        <v>1.8620000000000001</v>
      </c>
      <c r="E2" s="97">
        <f>(C2*D2)-C2</f>
        <v>2.2412000000000005</v>
      </c>
      <c r="F2" s="96">
        <f>SUM($E$2:E2)/SUM($C$2:C2)</f>
        <v>0.86200000000000021</v>
      </c>
      <c r="G2" s="97">
        <f>E2</f>
        <v>2.2412000000000005</v>
      </c>
      <c r="H2" s="549" t="s">
        <v>10</v>
      </c>
      <c r="I2" s="2"/>
      <c r="J2" s="2"/>
      <c r="K2" s="2"/>
      <c r="O2" s="58"/>
      <c r="P2" s="58"/>
    </row>
    <row r="3" spans="1:16">
      <c r="A3"/>
      <c r="B3" s="532"/>
      <c r="C3" s="550">
        <v>2.6</v>
      </c>
      <c r="D3" s="40">
        <v>1.9</v>
      </c>
      <c r="E3" s="37">
        <f>(C3*D3)-C3</f>
        <v>2.3399999999999994</v>
      </c>
      <c r="F3" s="47">
        <f>SUM($E$2:E3)/SUM($C$2:C3)</f>
        <v>0.88100000000000001</v>
      </c>
      <c r="G3" s="37">
        <f>G2+E3</f>
        <v>4.5811999999999999</v>
      </c>
      <c r="H3" s="551" t="s">
        <v>11</v>
      </c>
      <c r="I3" s="2"/>
      <c r="O3" s="58"/>
      <c r="P3" s="58"/>
    </row>
    <row r="4" spans="1:16">
      <c r="A4"/>
      <c r="B4" s="532"/>
      <c r="C4" s="550">
        <v>2.6</v>
      </c>
      <c r="D4" s="40">
        <v>1.9</v>
      </c>
      <c r="E4" s="37">
        <f>(C4*D4)-C4</f>
        <v>2.3399999999999994</v>
      </c>
      <c r="F4" s="47">
        <f>SUM($E$2:E4)/SUM($C$2:C4)</f>
        <v>0.88733333333333309</v>
      </c>
      <c r="G4" s="37">
        <f>G3+E4</f>
        <v>6.9211999999999989</v>
      </c>
      <c r="H4" s="551" t="s">
        <v>12</v>
      </c>
      <c r="I4" s="2"/>
      <c r="J4" s="2"/>
      <c r="O4" s="58"/>
      <c r="P4" s="58"/>
    </row>
    <row r="5" spans="1:16">
      <c r="A5"/>
      <c r="B5" s="532"/>
      <c r="C5" s="550">
        <v>2.6</v>
      </c>
      <c r="D5" s="40"/>
      <c r="E5" s="37">
        <f>(C5*D5)-C5</f>
        <v>-2.6</v>
      </c>
      <c r="F5" s="47">
        <f>SUM($E$2:E5)/SUM($C$2:C5)</f>
        <v>0.41549999999999992</v>
      </c>
      <c r="G5" s="37">
        <f>G4+E5</f>
        <v>4.3211999999999993</v>
      </c>
      <c r="H5" s="551" t="s">
        <v>13</v>
      </c>
      <c r="I5" s="2"/>
      <c r="J5" s="2"/>
      <c r="O5" s="58"/>
      <c r="P5" s="58"/>
    </row>
    <row r="6" spans="1:16">
      <c r="A6"/>
      <c r="B6" s="532"/>
      <c r="C6" s="550">
        <v>2.6</v>
      </c>
      <c r="D6" s="40"/>
      <c r="E6" s="40">
        <f>(C6*D6)-C6</f>
        <v>-2.6</v>
      </c>
      <c r="F6" s="48">
        <f>SUM($E$2:E6)/SUM($C$2:C6)</f>
        <v>0.13239999999999993</v>
      </c>
      <c r="G6" s="38">
        <f>G5+E6</f>
        <v>1.7211999999999992</v>
      </c>
      <c r="H6" s="551" t="s">
        <v>14</v>
      </c>
      <c r="I6" s="2"/>
      <c r="J6" s="2"/>
      <c r="O6" s="58"/>
      <c r="P6" s="58"/>
    </row>
    <row r="7" spans="1:16">
      <c r="A7"/>
      <c r="B7" s="532"/>
      <c r="C7" s="547">
        <v>2.6</v>
      </c>
      <c r="D7" s="548">
        <v>1.704</v>
      </c>
      <c r="E7" s="97">
        <f>(C7*D7)-C7</f>
        <v>1.8303999999999996</v>
      </c>
      <c r="F7" s="96">
        <f>SUM($E$2:E7)/SUM($C$2:C7)</f>
        <v>0.2276666666666666</v>
      </c>
      <c r="G7" s="552">
        <f>G6+E7</f>
        <v>3.5515999999999988</v>
      </c>
      <c r="H7" s="549" t="s">
        <v>15</v>
      </c>
      <c r="I7" s="2"/>
      <c r="J7" s="2"/>
      <c r="O7" s="58"/>
      <c r="P7" s="58"/>
    </row>
    <row r="8" spans="1:16">
      <c r="A8"/>
      <c r="B8" s="532"/>
      <c r="C8" s="550">
        <v>2.6</v>
      </c>
      <c r="D8" s="40">
        <v>1.798</v>
      </c>
      <c r="E8" s="37">
        <f>(C8*D8)-C8</f>
        <v>2.0748000000000002</v>
      </c>
      <c r="F8" s="47">
        <f>SUM($E$2:E8)/SUM($C$2:C8)</f>
        <v>0.30914285714285705</v>
      </c>
      <c r="G8" s="37">
        <f>G7+E8</f>
        <v>5.6263999999999985</v>
      </c>
      <c r="H8" s="551" t="s">
        <v>16</v>
      </c>
      <c r="I8" s="2"/>
      <c r="J8" s="2"/>
      <c r="O8" s="58"/>
      <c r="P8" s="58"/>
    </row>
    <row r="9" spans="1:16">
      <c r="A9"/>
      <c r="B9" s="532"/>
      <c r="C9" s="550">
        <v>2.6</v>
      </c>
      <c r="D9" s="40"/>
      <c r="E9" s="37">
        <f>(C9*D9)-C9</f>
        <v>-2.6</v>
      </c>
      <c r="F9" s="47">
        <f>SUM($E$2:E9)/SUM($C$2:C9)</f>
        <v>0.14549999999999991</v>
      </c>
      <c r="G9" s="37">
        <f>G8+E9</f>
        <v>3.0263999999999984</v>
      </c>
      <c r="H9" s="551" t="s">
        <v>17</v>
      </c>
      <c r="I9" s="2"/>
      <c r="J9" s="2"/>
      <c r="O9" s="58"/>
      <c r="P9" s="58"/>
    </row>
    <row r="10" spans="1:16">
      <c r="A10"/>
      <c r="B10" s="532"/>
      <c r="C10" s="218">
        <v>2.6</v>
      </c>
      <c r="D10" s="38"/>
      <c r="E10" s="38">
        <f>(C10*D10)-C10</f>
        <v>-2.6</v>
      </c>
      <c r="F10" s="59">
        <f>SUM($E$2:E10)/SUM($C$2:C10)</f>
        <v>1.822222222222215E-2</v>
      </c>
      <c r="G10" s="38">
        <f>G9+E10</f>
        <v>0.42639999999999834</v>
      </c>
      <c r="H10" s="141" t="s">
        <v>18</v>
      </c>
      <c r="I10" s="2"/>
      <c r="J10" s="2"/>
      <c r="O10" s="58"/>
      <c r="P10" s="58"/>
    </row>
    <row r="11" spans="1:16">
      <c r="A11"/>
      <c r="B11" s="532"/>
      <c r="C11" s="553">
        <v>2.6</v>
      </c>
      <c r="D11" s="554">
        <v>1.6060000000000001</v>
      </c>
      <c r="E11" s="552">
        <f>(C11*D11)-C11</f>
        <v>1.5756000000000001</v>
      </c>
      <c r="F11" s="555">
        <f>SUM($E$2:E11)/SUM($C$2:C11)</f>
        <v>7.699999999999993E-2</v>
      </c>
      <c r="G11" s="552">
        <f>G10+E11</f>
        <v>2.0019999999999984</v>
      </c>
      <c r="H11" s="556" t="s">
        <v>19</v>
      </c>
      <c r="I11" s="2"/>
      <c r="J11" s="2"/>
      <c r="O11" s="58"/>
      <c r="P11" s="58"/>
    </row>
    <row r="12" spans="1:16">
      <c r="A12"/>
      <c r="B12" s="532"/>
      <c r="C12" s="550">
        <v>2.6</v>
      </c>
      <c r="D12" s="40">
        <v>1.6060000000000001</v>
      </c>
      <c r="E12" s="37">
        <f>(C12*D12)-C12</f>
        <v>1.5756000000000001</v>
      </c>
      <c r="F12" s="47">
        <f>SUM($E$2:E12)/SUM($C$2:C12)</f>
        <v>0.12509090909090903</v>
      </c>
      <c r="G12" s="37">
        <f>G11+E12</f>
        <v>3.5775999999999986</v>
      </c>
      <c r="H12" s="551" t="s">
        <v>20</v>
      </c>
      <c r="I12" s="2"/>
      <c r="J12" s="2"/>
      <c r="O12" s="58"/>
      <c r="P12" s="58"/>
    </row>
    <row r="13" spans="1:16">
      <c r="A13"/>
      <c r="B13" s="532"/>
      <c r="C13" s="550">
        <v>2.6</v>
      </c>
      <c r="D13" s="40">
        <v>1.6060000000000001</v>
      </c>
      <c r="E13" s="37">
        <f>(C13*D13)-C13</f>
        <v>1.5756000000000001</v>
      </c>
      <c r="F13" s="47">
        <f>SUM($E$2:E13)/SUM($C$2:C13)</f>
        <v>0.16516666666666657</v>
      </c>
      <c r="G13" s="37">
        <f>G12+E13</f>
        <v>5.1531999999999982</v>
      </c>
      <c r="H13" s="551" t="s">
        <v>21</v>
      </c>
      <c r="I13" s="2"/>
      <c r="J13" s="2"/>
      <c r="O13" s="58"/>
      <c r="P13" s="58"/>
    </row>
    <row r="14" spans="1:16">
      <c r="A14"/>
      <c r="B14" s="532"/>
      <c r="C14" s="550">
        <v>2.6</v>
      </c>
      <c r="D14" s="40">
        <v>1.6060000000000001</v>
      </c>
      <c r="E14" s="37">
        <f>(C14*D14)-C14</f>
        <v>1.5756000000000001</v>
      </c>
      <c r="F14" s="47">
        <f>SUM($E$2:E14)/SUM($C$2:C14)</f>
        <v>0.19907692307692298</v>
      </c>
      <c r="G14" s="37">
        <f>G13+E14</f>
        <v>6.7287999999999979</v>
      </c>
      <c r="H14" s="551" t="s">
        <v>22</v>
      </c>
      <c r="I14" s="2"/>
      <c r="J14" s="2"/>
      <c r="O14" s="58"/>
      <c r="P14" s="58"/>
    </row>
    <row r="15" spans="1:16">
      <c r="A15"/>
      <c r="B15" s="532"/>
      <c r="C15" s="550">
        <v>2.6</v>
      </c>
      <c r="D15" s="40"/>
      <c r="E15" s="37">
        <f>(C15*D15)-C15</f>
        <v>-2.6</v>
      </c>
      <c r="F15" s="47">
        <f>SUM($E$2:E15)/SUM($C$2:C15)</f>
        <v>0.11342857142857136</v>
      </c>
      <c r="G15" s="37">
        <f>G14+E15</f>
        <v>4.1287999999999982</v>
      </c>
      <c r="H15" s="551" t="s">
        <v>23</v>
      </c>
      <c r="I15" s="2"/>
      <c r="J15" s="2"/>
      <c r="O15" s="58"/>
      <c r="P15" s="58"/>
    </row>
    <row r="16" spans="1:16">
      <c r="A16"/>
      <c r="B16" s="532"/>
      <c r="C16" s="550">
        <v>2.6</v>
      </c>
      <c r="D16" s="40"/>
      <c r="E16" s="40">
        <f>(C16*D16)-C16</f>
        <v>-2.6</v>
      </c>
      <c r="F16" s="48">
        <f>SUM($E$2:E16)/SUM($C$2:C16)</f>
        <v>3.9199999999999943E-2</v>
      </c>
      <c r="G16" s="40">
        <f>G15+E16</f>
        <v>1.5287999999999982</v>
      </c>
      <c r="H16" s="551" t="s">
        <v>24</v>
      </c>
      <c r="I16" s="2">
        <f>SUM(E2:E16)</f>
        <v>1.5287999999999982</v>
      </c>
      <c r="L16" s="2">
        <f>I16/C16</f>
        <v>0.5879999999999993</v>
      </c>
      <c r="O16" s="58"/>
      <c r="P16" s="58"/>
    </row>
    <row r="17" spans="1:16">
      <c r="A17"/>
      <c r="B17" s="532">
        <v>45972</v>
      </c>
      <c r="C17" s="547">
        <v>3.9</v>
      </c>
      <c r="D17" s="548"/>
      <c r="E17" s="97">
        <f>(C17*D17)-C17</f>
        <v>-3.9</v>
      </c>
      <c r="F17" s="96">
        <f>SUM($E$2:E17)/SUM($C$2:C17)</f>
        <v>-5.5272727272727307E-2</v>
      </c>
      <c r="G17" s="97">
        <f>G16+E17</f>
        <v>-2.3712000000000018</v>
      </c>
      <c r="H17" s="549" t="s">
        <v>25</v>
      </c>
      <c r="I17" s="2"/>
      <c r="J17" s="2"/>
      <c r="K17" s="2"/>
      <c r="O17" s="58"/>
      <c r="P17" s="58"/>
    </row>
    <row r="18" spans="1:16">
      <c r="A18"/>
      <c r="B18" s="557"/>
      <c r="C18" s="550">
        <v>3.9</v>
      </c>
      <c r="D18" s="40">
        <v>1.845</v>
      </c>
      <c r="E18" s="37">
        <f>(C18*D18)-C18</f>
        <v>3.2955000000000001</v>
      </c>
      <c r="F18" s="47">
        <f>SUM($E$2:E18)/SUM($C$2:C18)</f>
        <v>1.9749999999999962E-2</v>
      </c>
      <c r="G18" s="37">
        <f>G17+E18</f>
        <v>0.92429999999999835</v>
      </c>
      <c r="H18" s="551" t="s">
        <v>26</v>
      </c>
      <c r="I18" s="2"/>
      <c r="J18" s="2"/>
      <c r="K18" s="2"/>
      <c r="O18" s="58"/>
      <c r="P18" s="58"/>
    </row>
    <row r="19" spans="1:16">
      <c r="A19"/>
      <c r="B19" s="557"/>
      <c r="C19" s="550">
        <v>3.9</v>
      </c>
      <c r="D19" s="40"/>
      <c r="E19" s="40">
        <f>(C19*D19)-C19</f>
        <v>-3.9</v>
      </c>
      <c r="F19" s="48">
        <f>SUM($E$2:E19)/SUM($C$2:C19)</f>
        <v>-5.8692307692307717E-2</v>
      </c>
      <c r="G19" s="40">
        <f>G18+E19</f>
        <v>-2.9757000000000016</v>
      </c>
      <c r="H19" s="551" t="s">
        <v>27</v>
      </c>
      <c r="I19" s="2"/>
      <c r="J19" s="2"/>
      <c r="K19" s="2"/>
      <c r="O19" s="58"/>
      <c r="P19" s="58"/>
    </row>
    <row r="20" spans="1:16">
      <c r="A20"/>
      <c r="B20" s="557"/>
      <c r="C20" s="547">
        <v>3.9</v>
      </c>
      <c r="D20" s="548"/>
      <c r="E20" s="97">
        <f>(C20*D20)-C20</f>
        <v>-3.9</v>
      </c>
      <c r="F20" s="96">
        <f>SUM($E$2:E20)/SUM($C$2:C20)</f>
        <v>-0.12592857142857147</v>
      </c>
      <c r="G20" s="97">
        <f>G19+E20</f>
        <v>-6.8757000000000019</v>
      </c>
      <c r="H20" s="549" t="s">
        <v>28</v>
      </c>
      <c r="I20" s="2"/>
      <c r="J20" s="2"/>
      <c r="K20" s="2"/>
      <c r="O20" s="58"/>
      <c r="P20" s="58"/>
    </row>
    <row r="21" spans="1:16">
      <c r="A21"/>
      <c r="B21" s="557"/>
      <c r="C21" s="550">
        <v>3.9</v>
      </c>
      <c r="D21" s="40">
        <v>1.764</v>
      </c>
      <c r="E21" s="37">
        <f>(C21*D21)-C21</f>
        <v>2.9796</v>
      </c>
      <c r="F21" s="47">
        <f>SUM($E$2:E21)/SUM($C$2:C21)</f>
        <v>-6.6600000000000034E-2</v>
      </c>
      <c r="G21" s="37">
        <f>G20+E21</f>
        <v>-3.8961000000000019</v>
      </c>
      <c r="H21" s="551" t="s">
        <v>29</v>
      </c>
      <c r="I21" s="2"/>
      <c r="J21" s="2"/>
      <c r="K21" s="2"/>
      <c r="O21" s="58"/>
      <c r="P21" s="58"/>
    </row>
    <row r="22" spans="1:16">
      <c r="A22"/>
      <c r="B22" s="557"/>
      <c r="C22" s="550">
        <v>3.9</v>
      </c>
      <c r="D22" s="40">
        <v>1.9</v>
      </c>
      <c r="E22" s="40">
        <f>(C22*D22)-C22</f>
        <v>3.5099999999999993</v>
      </c>
      <c r="F22" s="48">
        <f>SUM($E$2:E22)/SUM($C$2:C22)</f>
        <v>-6.1875000000000411E-3</v>
      </c>
      <c r="G22" s="40">
        <f>G21+E22</f>
        <v>-0.38610000000000255</v>
      </c>
      <c r="H22" s="551" t="s">
        <v>30</v>
      </c>
      <c r="I22" s="2"/>
      <c r="O22" s="58"/>
      <c r="P22" s="58"/>
    </row>
    <row r="23" spans="1:16">
      <c r="A23"/>
      <c r="B23" s="557"/>
      <c r="C23" s="547">
        <v>3.9</v>
      </c>
      <c r="D23" s="548"/>
      <c r="E23" s="97">
        <f>(C23*D23)-C23</f>
        <v>-3.9</v>
      </c>
      <c r="F23" s="96">
        <f>SUM($E$2:E23)/SUM($C$2:C23)</f>
        <v>-6.464705882352946E-2</v>
      </c>
      <c r="G23" s="97">
        <f>G22+E23</f>
        <v>-4.2861000000000029</v>
      </c>
      <c r="H23" s="549" t="s">
        <v>31</v>
      </c>
      <c r="I23" s="2"/>
      <c r="J23" s="2"/>
      <c r="K23" s="2"/>
      <c r="O23" s="58"/>
      <c r="P23" s="58"/>
    </row>
    <row r="24" spans="1:16">
      <c r="A24"/>
      <c r="B24" s="557"/>
      <c r="C24" s="550">
        <v>3.9</v>
      </c>
      <c r="D24" s="40">
        <v>1.6060000000000001</v>
      </c>
      <c r="E24" s="37">
        <f>(C24*D24)-C24</f>
        <v>2.3633999999999999</v>
      </c>
      <c r="F24" s="47">
        <f>SUM($E$2:E24)/SUM($C$2:C24)</f>
        <v>-2.7388888888888931E-2</v>
      </c>
      <c r="G24" s="37">
        <f>G23+E24</f>
        <v>-1.922700000000003</v>
      </c>
      <c r="H24" s="551" t="s">
        <v>32</v>
      </c>
      <c r="I24" s="2"/>
      <c r="J24" s="2"/>
      <c r="K24" s="2"/>
      <c r="O24" s="58"/>
      <c r="P24" s="58"/>
    </row>
    <row r="25" spans="1:16">
      <c r="A25"/>
      <c r="B25" s="558"/>
      <c r="C25" s="550">
        <v>3.9</v>
      </c>
      <c r="D25" s="40">
        <v>1.6060000000000001</v>
      </c>
      <c r="E25" s="40">
        <f>(C25*D25)-C25</f>
        <v>2.3633999999999999</v>
      </c>
      <c r="F25" s="48">
        <f>SUM($E$2:E25)/SUM($C$2:C25)</f>
        <v>5.9473684210525901E-3</v>
      </c>
      <c r="G25" s="40">
        <f>G24+E25</f>
        <v>0.44069999999999698</v>
      </c>
      <c r="H25" s="551" t="s">
        <v>33</v>
      </c>
      <c r="I25" s="2">
        <f>SUM(E17:E25)</f>
        <v>-1.0881000000000016</v>
      </c>
      <c r="L25" s="2">
        <f>I25/C25</f>
        <v>-0.27900000000000041</v>
      </c>
      <c r="O25" s="58"/>
      <c r="P25" s="58"/>
    </row>
    <row r="26" spans="1:16">
      <c r="A26"/>
      <c r="B26" s="534">
        <v>45973</v>
      </c>
      <c r="C26" s="547">
        <v>1.95</v>
      </c>
      <c r="D26" s="548"/>
      <c r="E26" s="97">
        <f>(C26*D26)-C26</f>
        <v>-1.95</v>
      </c>
      <c r="F26" s="96">
        <f>SUM($E$2:E26)/SUM($C$2:C26)</f>
        <v>-1.9846153846153881E-2</v>
      </c>
      <c r="G26" s="97">
        <f>G25+E26</f>
        <v>-1.509300000000003</v>
      </c>
      <c r="H26" s="549" t="s">
        <v>34</v>
      </c>
      <c r="I26" s="2"/>
      <c r="J26" s="2"/>
      <c r="K26" s="2"/>
      <c r="O26" s="58"/>
      <c r="P26" s="58"/>
    </row>
    <row r="27" spans="1:16">
      <c r="A27"/>
      <c r="B27" s="557"/>
      <c r="C27" s="550">
        <v>1.95</v>
      </c>
      <c r="D27" s="40"/>
      <c r="E27" s="37">
        <f>(C27*D27)-C27</f>
        <v>-1.95</v>
      </c>
      <c r="F27" s="47">
        <f>SUM($E$2:E27)/SUM($C$2:C27)</f>
        <v>-4.4350000000000028E-2</v>
      </c>
      <c r="G27" s="37">
        <f>G26+E27</f>
        <v>-3.4593000000000029</v>
      </c>
      <c r="H27" s="551" t="s">
        <v>35</v>
      </c>
      <c r="I27" s="2"/>
      <c r="J27" s="2"/>
      <c r="K27" s="2"/>
      <c r="O27" s="58"/>
      <c r="P27" s="58"/>
    </row>
    <row r="28" spans="1:16">
      <c r="A28"/>
      <c r="B28" s="557"/>
      <c r="C28" s="550">
        <v>1.95</v>
      </c>
      <c r="D28" s="40">
        <v>1.774</v>
      </c>
      <c r="E28" s="37">
        <f>(C28*D28)-C28</f>
        <v>1.5092999999999999</v>
      </c>
      <c r="F28" s="47">
        <f>SUM($E$2:E28)/SUM($C$2:C28)</f>
        <v>-2.4390243902439056E-2</v>
      </c>
      <c r="G28" s="37">
        <f>G27+E28</f>
        <v>-1.9500000000000031</v>
      </c>
      <c r="H28" s="551" t="s">
        <v>11</v>
      </c>
      <c r="I28" s="2"/>
      <c r="J28" s="2"/>
      <c r="K28" s="2"/>
      <c r="O28" s="58"/>
      <c r="P28" s="58"/>
    </row>
    <row r="29" spans="1:16">
      <c r="A29"/>
      <c r="B29" s="557"/>
      <c r="C29" s="550">
        <v>1.95</v>
      </c>
      <c r="D29" s="40">
        <v>1.784</v>
      </c>
      <c r="E29" s="40">
        <f>(C29*D29)-C29</f>
        <v>1.5288000000000002</v>
      </c>
      <c r="F29" s="48">
        <f>SUM($E$2:E29)/SUM($C$2:C29)</f>
        <v>-5.1428571428571773E-3</v>
      </c>
      <c r="G29" s="40">
        <f>G28+E29</f>
        <v>-0.42120000000000291</v>
      </c>
      <c r="H29" s="551" t="s">
        <v>36</v>
      </c>
      <c r="I29" s="2"/>
      <c r="J29" s="2"/>
      <c r="K29" s="2"/>
      <c r="O29" s="58"/>
      <c r="P29" s="58"/>
    </row>
    <row r="30" spans="1:16">
      <c r="A30"/>
      <c r="B30" s="557"/>
      <c r="C30" s="547">
        <v>1.95</v>
      </c>
      <c r="D30" s="548"/>
      <c r="E30" s="97">
        <f>(C30*D30)-C30</f>
        <v>-1.95</v>
      </c>
      <c r="F30" s="96">
        <f>SUM($E$2:E30)/SUM($C$2:C30)</f>
        <v>-2.8279069767441885E-2</v>
      </c>
      <c r="G30" s="97">
        <f>G29+E30</f>
        <v>-2.3712000000000026</v>
      </c>
      <c r="H30" s="549" t="s">
        <v>15</v>
      </c>
      <c r="I30" s="2"/>
      <c r="J30" s="2"/>
      <c r="K30" s="2"/>
      <c r="O30" s="58"/>
      <c r="P30" s="58"/>
    </row>
    <row r="31" spans="1:16">
      <c r="A31"/>
      <c r="B31" s="557"/>
      <c r="C31" s="550">
        <v>1.95</v>
      </c>
      <c r="D31" s="40">
        <v>1.9390000000000001</v>
      </c>
      <c r="E31" s="37">
        <f>(C31*D31)-C31</f>
        <v>1.8310500000000001</v>
      </c>
      <c r="F31" s="47">
        <f>SUM($E$2:E31)/SUM($C$2:C31)</f>
        <v>-6.2954545454545737E-3</v>
      </c>
      <c r="G31" s="37">
        <f>G30+E31</f>
        <v>-0.54015000000000257</v>
      </c>
      <c r="H31" s="551" t="s">
        <v>37</v>
      </c>
      <c r="I31" s="2"/>
      <c r="J31" s="2"/>
      <c r="K31" s="2"/>
      <c r="O31" s="58"/>
      <c r="P31" s="58"/>
    </row>
    <row r="32" spans="1:16">
      <c r="A32"/>
      <c r="B32" s="557"/>
      <c r="C32" s="550">
        <v>1.95</v>
      </c>
      <c r="D32" s="40">
        <v>1.65</v>
      </c>
      <c r="E32" s="37">
        <f>(C32*D32)-C32</f>
        <v>1.2674999999999998</v>
      </c>
      <c r="F32" s="47">
        <f>SUM($E$2:E32)/SUM($C$2:C32)</f>
        <v>8.2888888888888543E-3</v>
      </c>
      <c r="G32" s="37">
        <f>G31+E32</f>
        <v>0.72734999999999728</v>
      </c>
      <c r="H32" s="551" t="s">
        <v>13</v>
      </c>
      <c r="I32" s="2"/>
      <c r="J32" s="2"/>
      <c r="K32" s="2"/>
      <c r="O32" s="58"/>
      <c r="P32" s="58"/>
    </row>
    <row r="33" spans="1:16">
      <c r="A33"/>
      <c r="B33" s="557"/>
      <c r="C33" s="550">
        <v>1.95</v>
      </c>
      <c r="D33" s="40">
        <v>1.9</v>
      </c>
      <c r="E33" s="37">
        <f>(C33*D33)-C33</f>
        <v>1.7549999999999997</v>
      </c>
      <c r="F33" s="47">
        <f>SUM($E$2:E33)/SUM($C$2:C33)</f>
        <v>2.7673913043478215E-2</v>
      </c>
      <c r="G33" s="37">
        <f>G32+E33</f>
        <v>2.4823499999999967</v>
      </c>
      <c r="H33" s="551" t="s">
        <v>17</v>
      </c>
      <c r="I33" s="2"/>
      <c r="J33" s="2"/>
      <c r="K33" s="2"/>
      <c r="O33" s="58"/>
      <c r="P33" s="58"/>
    </row>
    <row r="34" spans="1:16">
      <c r="A34"/>
      <c r="B34" s="557"/>
      <c r="C34" s="550">
        <v>1.95</v>
      </c>
      <c r="D34" s="40">
        <v>1.9</v>
      </c>
      <c r="E34" s="37">
        <f>(C34*D34)-C34</f>
        <v>1.7549999999999997</v>
      </c>
      <c r="F34" s="47">
        <f>SUM($E$2:E34)/SUM($C$2:C34)</f>
        <v>4.6234042553191433E-2</v>
      </c>
      <c r="G34" s="37">
        <f>G33+E34</f>
        <v>4.2373499999999966</v>
      </c>
      <c r="H34" s="551" t="s">
        <v>30</v>
      </c>
      <c r="I34" s="2"/>
      <c r="J34" s="2"/>
      <c r="K34" s="2"/>
      <c r="O34" s="58"/>
      <c r="P34" s="58"/>
    </row>
    <row r="35" spans="1:16">
      <c r="A35"/>
      <c r="B35" s="557"/>
      <c r="C35" s="218">
        <v>1.95</v>
      </c>
      <c r="D35" s="38"/>
      <c r="E35" s="38">
        <f>(C35*D35)-C35</f>
        <v>-1.95</v>
      </c>
      <c r="F35" s="59">
        <f>SUM($E$2:E35)/SUM($C$2:C35)</f>
        <v>2.4437499999999952E-2</v>
      </c>
      <c r="G35" s="38">
        <f>G34+E35</f>
        <v>2.2873499999999964</v>
      </c>
      <c r="H35" s="141" t="s">
        <v>38</v>
      </c>
      <c r="I35" s="2"/>
      <c r="J35" s="2"/>
      <c r="K35" s="2"/>
      <c r="O35" s="58"/>
      <c r="P35" s="58"/>
    </row>
    <row r="36" spans="1:16">
      <c r="A36"/>
      <c r="B36" s="557"/>
      <c r="C36" s="559">
        <v>1.95</v>
      </c>
      <c r="D36" s="552"/>
      <c r="E36" s="552">
        <f>(C36*D36)-C36</f>
        <v>-1.95</v>
      </c>
      <c r="F36" s="555">
        <f>SUM($E$2:E36)/SUM($C$2:C36)</f>
        <v>3.5306122448979208E-3</v>
      </c>
      <c r="G36" s="552">
        <f>G35+E36</f>
        <v>0.33734999999999649</v>
      </c>
      <c r="H36" s="560" t="s">
        <v>39</v>
      </c>
      <c r="I36" s="2"/>
      <c r="J36" s="2"/>
      <c r="K36" s="2"/>
      <c r="O36" s="58"/>
      <c r="P36" s="58"/>
    </row>
    <row r="37" spans="1:16">
      <c r="A37"/>
      <c r="B37" s="557"/>
      <c r="C37" s="553">
        <v>1.95</v>
      </c>
      <c r="D37" s="554">
        <v>1.6060000000000001</v>
      </c>
      <c r="E37" s="552">
        <f>(C37*D37)-C37</f>
        <v>1.1817</v>
      </c>
      <c r="F37" s="555">
        <f>SUM($E$2:E37)/SUM($C$2:C37)</f>
        <v>1.5579999999999957E-2</v>
      </c>
      <c r="G37" s="552">
        <f>G36+E37</f>
        <v>1.5190499999999965</v>
      </c>
      <c r="H37" s="556" t="s">
        <v>40</v>
      </c>
      <c r="I37" s="2"/>
      <c r="J37" s="2"/>
      <c r="K37" s="2"/>
      <c r="O37" s="58"/>
      <c r="P37" s="58"/>
    </row>
    <row r="38" spans="1:16">
      <c r="A38"/>
      <c r="B38" s="557"/>
      <c r="C38" s="550">
        <v>1.95</v>
      </c>
      <c r="D38" s="40">
        <v>1</v>
      </c>
      <c r="E38" s="37">
        <f>(C38*D38)-C38</f>
        <v>0</v>
      </c>
      <c r="F38" s="47">
        <f>SUM($E$2:E38)/SUM($C$2:C38)</f>
        <v>1.5274509803921525E-2</v>
      </c>
      <c r="G38" s="37">
        <f>G37+E38</f>
        <v>1.5190499999999965</v>
      </c>
      <c r="H38" s="551" t="s">
        <v>41</v>
      </c>
      <c r="I38" s="2"/>
      <c r="J38" s="2"/>
      <c r="K38" s="2"/>
      <c r="O38" s="58"/>
      <c r="P38" s="58"/>
    </row>
    <row r="39" spans="1:16">
      <c r="A39"/>
      <c r="B39" s="557"/>
      <c r="C39" s="550">
        <v>1.95</v>
      </c>
      <c r="D39" s="40">
        <v>1.6060000000000001</v>
      </c>
      <c r="E39" s="37">
        <f>(C39*D39)-C39</f>
        <v>1.1817</v>
      </c>
      <c r="F39" s="47">
        <f>SUM($E$2:E39)/SUM($C$2:C39)</f>
        <v>2.663461538461534E-2</v>
      </c>
      <c r="G39" s="37">
        <f>G38+E39</f>
        <v>2.7007499999999967</v>
      </c>
      <c r="H39" s="551" t="s">
        <v>42</v>
      </c>
      <c r="I39" s="2"/>
      <c r="J39" s="2"/>
      <c r="K39" s="2"/>
      <c r="O39" s="58"/>
      <c r="P39" s="58"/>
    </row>
    <row r="40" spans="1:16">
      <c r="A40"/>
      <c r="B40" s="557"/>
      <c r="C40" s="550">
        <v>1.95</v>
      </c>
      <c r="D40" s="40">
        <v>1.6060000000000001</v>
      </c>
      <c r="E40" s="37">
        <f>(C40*D40)-C40</f>
        <v>1.1817</v>
      </c>
      <c r="F40" s="47">
        <f>SUM($E$2:E40)/SUM($C$2:C40)</f>
        <v>3.756603773584901E-2</v>
      </c>
      <c r="G40" s="37">
        <f>G39+E40</f>
        <v>3.8824499999999968</v>
      </c>
      <c r="H40" s="551" t="s">
        <v>43</v>
      </c>
      <c r="I40" s="2"/>
      <c r="J40" s="2"/>
      <c r="K40" s="2"/>
      <c r="O40" s="58"/>
      <c r="P40" s="58"/>
    </row>
    <row r="41" spans="1:16">
      <c r="A41"/>
      <c r="B41" s="557"/>
      <c r="C41" s="550">
        <v>1.95</v>
      </c>
      <c r="D41" s="40"/>
      <c r="E41" s="37">
        <f>(C41*D41)-C41</f>
        <v>-1.95</v>
      </c>
      <c r="F41" s="47">
        <f>SUM($E$2:E41)/SUM($C$2:C41)</f>
        <v>1.8351851851851814E-2</v>
      </c>
      <c r="G41" s="37">
        <f>G40+E41</f>
        <v>1.9324499999999969</v>
      </c>
      <c r="H41" s="551" t="s">
        <v>44</v>
      </c>
      <c r="I41" s="2"/>
      <c r="J41" s="2"/>
      <c r="K41" s="2"/>
      <c r="O41" s="58"/>
      <c r="P41" s="58"/>
    </row>
    <row r="42" spans="1:16">
      <c r="A42"/>
      <c r="B42" s="557"/>
      <c r="C42" s="550">
        <v>1.95</v>
      </c>
      <c r="D42" s="40">
        <v>1.6060000000000001</v>
      </c>
      <c r="E42" s="40">
        <f>(C42*D42)-C42</f>
        <v>1.1817</v>
      </c>
      <c r="F42" s="48">
        <f>SUM($E$2:E42)/SUM($C$2:C42)</f>
        <v>2.9036363636363593E-2</v>
      </c>
      <c r="G42" s="40">
        <f>G41+E42</f>
        <v>3.1141499999999969</v>
      </c>
      <c r="H42" s="551" t="s">
        <v>45</v>
      </c>
      <c r="I42" s="2">
        <f>SUM(E26:E42)</f>
        <v>2.6734499999999999</v>
      </c>
      <c r="L42" s="2">
        <f>I42/C42</f>
        <v>1.371</v>
      </c>
      <c r="O42" s="58"/>
      <c r="P42" s="58"/>
    </row>
    <row r="43" spans="1:16">
      <c r="A43"/>
      <c r="B43" s="532">
        <v>45974</v>
      </c>
      <c r="C43" s="216">
        <v>7.81</v>
      </c>
      <c r="D43" s="547">
        <v>1.9</v>
      </c>
      <c r="E43" s="548">
        <f>(C43*D43)-C43</f>
        <v>7.028999999999999</v>
      </c>
      <c r="F43" s="561">
        <f>SUM($E$2:E43)/SUM($C$2:C43)</f>
        <v>8.8155310272901008E-2</v>
      </c>
      <c r="G43" s="548">
        <f>G42+E43</f>
        <v>10.143149999999995</v>
      </c>
      <c r="H43" s="549" t="s">
        <v>25</v>
      </c>
      <c r="I43" s="2"/>
      <c r="J43" s="2"/>
      <c r="K43" s="2"/>
      <c r="O43" s="58"/>
      <c r="P43" s="58"/>
    </row>
    <row r="44" spans="1:16">
      <c r="A44"/>
      <c r="B44" s="534"/>
      <c r="C44" s="216">
        <v>7.81</v>
      </c>
      <c r="D44" s="547"/>
      <c r="E44" s="548">
        <f>(C44*D44)-C44</f>
        <v>-7.81</v>
      </c>
      <c r="F44" s="561">
        <f>SUM($E$2:E44)/SUM($C$2:C44)</f>
        <v>1.8988768617237684E-2</v>
      </c>
      <c r="G44" s="548">
        <f>G43+E44</f>
        <v>2.3331499999999954</v>
      </c>
      <c r="H44" s="549" t="s">
        <v>46</v>
      </c>
      <c r="I44" s="2"/>
      <c r="J44" s="2"/>
      <c r="K44" s="2"/>
      <c r="O44" s="58"/>
      <c r="P44" s="58"/>
    </row>
    <row r="45" spans="1:16">
      <c r="A45"/>
      <c r="B45" s="534"/>
      <c r="C45" s="41">
        <v>7.81</v>
      </c>
      <c r="D45" s="550">
        <v>1.9</v>
      </c>
      <c r="E45" s="40">
        <f>(C45*D45)-C45</f>
        <v>7.028999999999999</v>
      </c>
      <c r="F45" s="48">
        <f>SUM($E$2:E45)/SUM($C$2:C45)</f>
        <v>7.1641796755433043E-2</v>
      </c>
      <c r="G45" s="40">
        <f>G44+E45</f>
        <v>9.3621499999999944</v>
      </c>
      <c r="H45" s="551" t="s">
        <v>36</v>
      </c>
      <c r="I45" s="2"/>
      <c r="J45" s="2"/>
      <c r="K45" s="2"/>
      <c r="O45" s="58"/>
      <c r="P45" s="58"/>
    </row>
    <row r="46" spans="1:16">
      <c r="A46"/>
      <c r="B46" s="534"/>
      <c r="C46" s="550">
        <v>7.81</v>
      </c>
      <c r="D46" s="550">
        <v>1.9</v>
      </c>
      <c r="E46" s="40">
        <f>(C46*D46)-C46</f>
        <v>7.028999999999999</v>
      </c>
      <c r="F46" s="48">
        <f>SUM($E$2:E46)/SUM($C$2:C46)</f>
        <v>0.11835619900353805</v>
      </c>
      <c r="G46" s="40">
        <f>G45+E46</f>
        <v>16.391149999999993</v>
      </c>
      <c r="H46" s="551" t="s">
        <v>47</v>
      </c>
      <c r="I46" s="2"/>
      <c r="J46" s="2"/>
      <c r="K46" s="2"/>
      <c r="O46" s="58"/>
      <c r="P46" s="58"/>
    </row>
    <row r="47" spans="1:16">
      <c r="A47"/>
      <c r="B47" s="534"/>
      <c r="C47" s="216">
        <v>7.81</v>
      </c>
      <c r="D47" s="547">
        <v>1.6060000000000001</v>
      </c>
      <c r="E47" s="548">
        <f>(C47*D47)-C47</f>
        <v>4.7328599999999996</v>
      </c>
      <c r="F47" s="561">
        <f>SUM($E$2:E47)/SUM($C$2:C47)</f>
        <v>0.14438831168831157</v>
      </c>
      <c r="G47" s="548">
        <f>G46+E47</f>
        <v>21.124009999999991</v>
      </c>
      <c r="H47" s="549" t="s">
        <v>48</v>
      </c>
      <c r="I47" s="2"/>
      <c r="J47" s="2"/>
      <c r="K47" s="2"/>
      <c r="O47" s="58"/>
      <c r="P47" s="58"/>
    </row>
    <row r="48" spans="1:16">
      <c r="A48"/>
      <c r="B48" s="534"/>
      <c r="C48" s="41">
        <v>7.81</v>
      </c>
      <c r="D48" s="550">
        <v>1.6060000000000001</v>
      </c>
      <c r="E48" s="40">
        <f>(C48*D48)-C48</f>
        <v>4.7328599999999996</v>
      </c>
      <c r="F48" s="48">
        <f>SUM($E$2:E48)/SUM($C$2:C48)</f>
        <v>0.16778190902602022</v>
      </c>
      <c r="G48" s="40">
        <f>G47+E48</f>
        <v>25.85686999999999</v>
      </c>
      <c r="H48" s="551" t="s">
        <v>49</v>
      </c>
      <c r="I48" s="2"/>
      <c r="J48" s="2"/>
      <c r="K48" s="2"/>
      <c r="O48" s="58"/>
      <c r="P48" s="58"/>
    </row>
    <row r="49" spans="1:16">
      <c r="A49"/>
      <c r="B49" s="534"/>
      <c r="C49" s="550">
        <v>7.81</v>
      </c>
      <c r="D49" s="550">
        <v>1.6060000000000001</v>
      </c>
      <c r="E49" s="40">
        <f>(C49*D49)-C49</f>
        <v>4.7328599999999996</v>
      </c>
      <c r="F49" s="48">
        <f>SUM($E$2:E49)/SUM($C$2:C49)</f>
        <v>0.18891878705533582</v>
      </c>
      <c r="G49" s="40">
        <f>G48+E49</f>
        <v>30.589729999999989</v>
      </c>
      <c r="H49" s="551" t="s">
        <v>50</v>
      </c>
      <c r="I49" s="2">
        <f>SUM(E43:E49)</f>
        <v>27.475579999999994</v>
      </c>
      <c r="L49" s="2">
        <f>I49/C49</f>
        <v>3.5179999999999993</v>
      </c>
      <c r="O49" s="58"/>
      <c r="P49" s="58"/>
    </row>
    <row r="50" spans="1:16">
      <c r="A50"/>
      <c r="B50" s="532">
        <v>45975</v>
      </c>
      <c r="C50" s="216">
        <v>2.71</v>
      </c>
      <c r="D50" s="547">
        <v>1.9</v>
      </c>
      <c r="E50" s="548">
        <f>(C50*D50)-C50</f>
        <v>2.4390000000000001</v>
      </c>
      <c r="F50" s="561">
        <f>SUM($E$2:E50)/SUM($C$2:C50)</f>
        <v>0.20062400534531963</v>
      </c>
      <c r="G50" s="548">
        <f>G49+E50</f>
        <v>33.028729999999989</v>
      </c>
      <c r="H50" s="549" t="s">
        <v>16</v>
      </c>
      <c r="I50" s="2"/>
      <c r="J50" s="2"/>
      <c r="K50" s="2"/>
      <c r="O50" s="58"/>
      <c r="P50" s="58"/>
    </row>
    <row r="51" spans="1:16">
      <c r="A51"/>
      <c r="B51" s="534"/>
      <c r="C51" s="41">
        <v>2.71</v>
      </c>
      <c r="D51" s="550"/>
      <c r="E51" s="40">
        <f>(C51*D51)-C51</f>
        <v>-2.71</v>
      </c>
      <c r="F51" s="48">
        <f>SUM($E$2:E51)/SUM($C$2:C51)</f>
        <v>0.18118041113899827</v>
      </c>
      <c r="G51" s="40">
        <f>G50+E51</f>
        <v>30.318729999999988</v>
      </c>
      <c r="H51" s="551" t="s">
        <v>28</v>
      </c>
      <c r="I51" s="2"/>
      <c r="J51" s="2"/>
      <c r="K51" s="2"/>
      <c r="O51" s="58"/>
      <c r="P51" s="58"/>
    </row>
    <row r="52" spans="1:16">
      <c r="A52"/>
      <c r="B52" s="534"/>
      <c r="C52" s="41">
        <v>2.71</v>
      </c>
      <c r="D52" s="550"/>
      <c r="E52" s="40">
        <f>(C52*D52)-C52</f>
        <v>-2.71</v>
      </c>
      <c r="F52" s="48">
        <f>SUM($E$2:E52)/SUM($C$2:C52)</f>
        <v>0.16235654219347234</v>
      </c>
      <c r="G52" s="40">
        <f>G51+E52</f>
        <v>27.608729999999987</v>
      </c>
      <c r="H52" s="551" t="s">
        <v>51</v>
      </c>
      <c r="I52" s="2"/>
      <c r="J52" s="2"/>
      <c r="K52" s="2"/>
      <c r="O52" s="58"/>
      <c r="P52" s="58"/>
    </row>
    <row r="53" spans="1:16">
      <c r="A53"/>
      <c r="B53" s="534"/>
      <c r="C53" s="41">
        <v>2.71</v>
      </c>
      <c r="D53" s="550">
        <v>1.784</v>
      </c>
      <c r="E53" s="40">
        <f>(C53*D53)-C53</f>
        <v>2.1246400000000003</v>
      </c>
      <c r="F53" s="48">
        <f>SUM($E$2:E53)/SUM($C$2:C53)</f>
        <v>0.17210795322991415</v>
      </c>
      <c r="G53" s="40">
        <f>G52+E53</f>
        <v>29.733369999999987</v>
      </c>
      <c r="H53" s="551" t="s">
        <v>52</v>
      </c>
      <c r="I53" s="2"/>
      <c r="J53" s="2"/>
      <c r="K53" s="2"/>
      <c r="O53" s="58"/>
      <c r="P53" s="58"/>
    </row>
    <row r="54" spans="1:16">
      <c r="A54"/>
      <c r="B54" s="534"/>
      <c r="C54" s="218">
        <v>2.71</v>
      </c>
      <c r="D54" s="218"/>
      <c r="E54" s="38">
        <f>(C54*D54)-C54</f>
        <v>-2.71</v>
      </c>
      <c r="F54" s="59">
        <f>SUM($E$2:E54)/SUM($C$2:C54)</f>
        <v>0.1540056419900836</v>
      </c>
      <c r="G54" s="38">
        <f>G53+E54</f>
        <v>27.023369999999986</v>
      </c>
      <c r="H54" s="141" t="s">
        <v>27</v>
      </c>
      <c r="I54" s="2"/>
      <c r="J54" s="2"/>
      <c r="K54" s="2"/>
      <c r="O54" s="58"/>
      <c r="P54" s="58"/>
    </row>
    <row r="55" spans="1:16">
      <c r="A55"/>
      <c r="B55" s="534"/>
      <c r="C55" s="559">
        <v>2.71</v>
      </c>
      <c r="D55" s="553">
        <v>1.768</v>
      </c>
      <c r="E55" s="554">
        <f>(C55*D55)-C55</f>
        <v>2.0812799999999996</v>
      </c>
      <c r="F55" s="562">
        <f>SUM($E$2:E55)/SUM($C$2:C55)</f>
        <v>0.16334409024581864</v>
      </c>
      <c r="G55" s="554">
        <f>G54+E55</f>
        <v>29.104649999999985</v>
      </c>
      <c r="H55" s="556" t="s">
        <v>53</v>
      </c>
      <c r="I55" s="2"/>
      <c r="J55" s="2"/>
      <c r="K55" s="2"/>
      <c r="O55" s="58"/>
      <c r="P55" s="58"/>
    </row>
    <row r="56" spans="1:16">
      <c r="A56"/>
      <c r="B56" s="534"/>
      <c r="C56" s="41">
        <v>2.71</v>
      </c>
      <c r="D56" s="550"/>
      <c r="E56" s="40">
        <f>(C56*D56)-C56</f>
        <v>-2.71</v>
      </c>
      <c r="F56" s="48">
        <f>SUM($E$2:E56)/SUM($C$2:C56)</f>
        <v>0.14591547349217737</v>
      </c>
      <c r="G56" s="40">
        <f>G55+E56</f>
        <v>26.394649999999984</v>
      </c>
      <c r="H56" s="551" t="s">
        <v>13</v>
      </c>
      <c r="I56" s="2"/>
      <c r="J56" s="2"/>
      <c r="K56" s="2"/>
      <c r="O56" s="58"/>
      <c r="P56" s="58"/>
    </row>
    <row r="57" spans="1:16">
      <c r="A57"/>
      <c r="B57" s="534"/>
      <c r="C57" s="41">
        <v>2.71</v>
      </c>
      <c r="D57" s="550">
        <v>1.9</v>
      </c>
      <c r="E57" s="40">
        <f>(C57*D57)-C57</f>
        <v>2.4390000000000001</v>
      </c>
      <c r="F57" s="48">
        <f>SUM($E$2:E57)/SUM($C$2:C57)</f>
        <v>0.15704602396514142</v>
      </c>
      <c r="G57" s="40">
        <f>G56+E57</f>
        <v>28.833649999999984</v>
      </c>
      <c r="H57" s="551" t="s">
        <v>17</v>
      </c>
      <c r="I57" s="2"/>
      <c r="O57" s="58"/>
      <c r="P57" s="58"/>
    </row>
    <row r="58" spans="1:16">
      <c r="A58"/>
      <c r="B58" s="534"/>
      <c r="C58" s="550">
        <v>2.71</v>
      </c>
      <c r="D58" s="550"/>
      <c r="E58" s="40">
        <f>(C58*D58)-C58</f>
        <v>-2.71</v>
      </c>
      <c r="F58" s="48">
        <f>SUM($E$2:E58)/SUM($C$2:C58)</f>
        <v>0.1402160377864847</v>
      </c>
      <c r="G58" s="40">
        <f>G57+E58</f>
        <v>26.123649999999984</v>
      </c>
      <c r="H58" s="551" t="s">
        <v>12</v>
      </c>
      <c r="I58" s="2"/>
      <c r="J58" s="2"/>
      <c r="K58" s="2"/>
      <c r="O58" s="58"/>
      <c r="P58" s="58"/>
    </row>
    <row r="59" spans="1:16">
      <c r="A59"/>
      <c r="B59" s="534"/>
      <c r="C59" s="216">
        <v>2.71</v>
      </c>
      <c r="D59" s="547">
        <v>1.6060000000000001</v>
      </c>
      <c r="E59" s="548">
        <f>(C59*D59)-C59</f>
        <v>1.6422600000000003</v>
      </c>
      <c r="F59" s="561">
        <f>SUM($E$2:E59)/SUM($C$2:C59)</f>
        <v>0.14689403237752599</v>
      </c>
      <c r="G59" s="548">
        <f>G58+E59</f>
        <v>27.765909999999984</v>
      </c>
      <c r="H59" s="549" t="s">
        <v>54</v>
      </c>
      <c r="I59" s="2"/>
      <c r="J59" s="2"/>
      <c r="K59" s="2"/>
      <c r="O59" s="58"/>
      <c r="P59" s="58"/>
    </row>
    <row r="60" spans="1:16">
      <c r="A60"/>
      <c r="B60" s="534"/>
      <c r="C60" s="41">
        <v>2.71</v>
      </c>
      <c r="D60" s="550">
        <v>1.61</v>
      </c>
      <c r="E60" s="40">
        <f>(C60*D60)-C60</f>
        <v>1.6531000000000002</v>
      </c>
      <c r="F60" s="48">
        <f>SUM($E$2:E60)/SUM($C$2:C60)</f>
        <v>0.1534397851144837</v>
      </c>
      <c r="G60" s="40">
        <f>G59+E60</f>
        <v>29.419009999999986</v>
      </c>
      <c r="H60" s="551" t="s">
        <v>55</v>
      </c>
      <c r="I60" s="2"/>
      <c r="J60" s="2"/>
      <c r="K60" s="2"/>
      <c r="O60" s="58"/>
      <c r="P60" s="58"/>
    </row>
    <row r="61" spans="1:16">
      <c r="A61"/>
      <c r="B61" s="534"/>
      <c r="C61" s="41">
        <v>2.71</v>
      </c>
      <c r="D61" s="550"/>
      <c r="E61" s="40">
        <f>(C61*D61)-C61</f>
        <v>-2.71</v>
      </c>
      <c r="F61" s="48">
        <f>SUM($E$2:E61)/SUM($C$2:C61)</f>
        <v>0.13736376260028782</v>
      </c>
      <c r="G61" s="40">
        <f>G60+E61</f>
        <v>26.709009999999985</v>
      </c>
      <c r="H61" s="551" t="s">
        <v>56</v>
      </c>
      <c r="I61" s="2"/>
      <c r="J61" s="2"/>
      <c r="K61" s="2"/>
      <c r="O61" s="58"/>
      <c r="P61" s="58"/>
    </row>
    <row r="62" spans="1:16">
      <c r="A62"/>
      <c r="B62" s="534"/>
      <c r="C62" s="41">
        <v>2.71</v>
      </c>
      <c r="D62" s="550">
        <v>1.6060000000000001</v>
      </c>
      <c r="E62" s="40">
        <f>(C62*D62)-C62</f>
        <v>1.6422600000000003</v>
      </c>
      <c r="F62" s="48">
        <f>SUM($E$2:E62)/SUM($C$2:C62)</f>
        <v>0.14380557950798864</v>
      </c>
      <c r="G62" s="40">
        <f>G61+E62</f>
        <v>28.351269999999985</v>
      </c>
      <c r="H62" s="551" t="s">
        <v>57</v>
      </c>
      <c r="I62" s="2"/>
      <c r="J62" s="2"/>
      <c r="K62" s="2"/>
      <c r="O62" s="58"/>
      <c r="P62" s="58"/>
    </row>
    <row r="63" spans="1:16">
      <c r="A63"/>
      <c r="B63" s="534"/>
      <c r="C63" s="550">
        <v>2.71</v>
      </c>
      <c r="D63" s="550"/>
      <c r="E63" s="40">
        <f>(C63*D63)-C63</f>
        <v>-2.71</v>
      </c>
      <c r="F63" s="48">
        <f>SUM($E$2:E63)/SUM($C$2:C63)</f>
        <v>0.1282961573101169</v>
      </c>
      <c r="G63" s="40">
        <f>G62+E63</f>
        <v>25.641269999999984</v>
      </c>
      <c r="H63" s="551" t="s">
        <v>58</v>
      </c>
      <c r="I63" s="2">
        <f>SUM(E50:E63)</f>
        <v>-4.948459999999999</v>
      </c>
      <c r="L63" s="2">
        <f>I63/C63</f>
        <v>-1.8259999999999996</v>
      </c>
      <c r="O63" s="58"/>
      <c r="P63" s="58"/>
    </row>
    <row r="64" spans="1:16">
      <c r="A64"/>
      <c r="B64" s="532">
        <v>45976</v>
      </c>
      <c r="C64" s="216">
        <v>4.84</v>
      </c>
      <c r="D64" s="216"/>
      <c r="E64" s="97">
        <f>(C64*D64)-C64</f>
        <v>-4.84</v>
      </c>
      <c r="F64" s="96">
        <f>SUM($E$2:E64)/SUM($C$2:C64)</f>
        <v>0.10161831949193925</v>
      </c>
      <c r="G64" s="97">
        <f>G63+E64</f>
        <v>20.801269999999985</v>
      </c>
      <c r="H64" s="217" t="s">
        <v>26</v>
      </c>
      <c r="I64" s="2"/>
      <c r="J64" s="2"/>
      <c r="K64" s="2"/>
      <c r="O64" s="58"/>
      <c r="P64" s="58"/>
    </row>
    <row r="65" spans="1:16">
      <c r="A65"/>
      <c r="B65" s="534"/>
      <c r="C65" s="41">
        <v>4.84</v>
      </c>
      <c r="D65" s="550">
        <v>1.8160000000000001</v>
      </c>
      <c r="E65" s="40">
        <f>(C65*D65)-C65</f>
        <v>3.9494400000000009</v>
      </c>
      <c r="F65" s="48">
        <f>SUM($E$2:E65)/SUM($C$2:C65)</f>
        <v>0.11811926123890408</v>
      </c>
      <c r="G65" s="40">
        <f>G64+E65</f>
        <v>24.750709999999984</v>
      </c>
      <c r="H65" s="551" t="s">
        <v>10</v>
      </c>
      <c r="I65" s="2"/>
      <c r="J65" s="2"/>
      <c r="K65" s="2"/>
      <c r="O65" s="58"/>
      <c r="P65" s="58"/>
    </row>
    <row r="66" spans="1:16">
      <c r="A66"/>
      <c r="B66" s="534"/>
      <c r="C66" s="550">
        <v>4.84</v>
      </c>
      <c r="D66" s="550">
        <v>2</v>
      </c>
      <c r="E66" s="40">
        <f>(C66*D66)-C66</f>
        <v>4.84</v>
      </c>
      <c r="F66" s="48">
        <f>SUM($E$2:E66)/SUM($C$2:C66)</f>
        <v>0.13802924713126205</v>
      </c>
      <c r="G66" s="40">
        <f>G65+E66</f>
        <v>29.590709999999984</v>
      </c>
      <c r="H66" s="551" t="s">
        <v>59</v>
      </c>
      <c r="I66" s="2"/>
      <c r="J66" s="2"/>
      <c r="K66" s="2"/>
      <c r="O66" s="58"/>
      <c r="P66" s="58"/>
    </row>
    <row r="67" spans="1:16">
      <c r="A67"/>
      <c r="B67" s="534"/>
      <c r="C67" s="216">
        <v>4.84</v>
      </c>
      <c r="D67" s="547"/>
      <c r="E67" s="548">
        <f>(C67*D67)-C67</f>
        <v>-4.84</v>
      </c>
      <c r="F67" s="561">
        <f>SUM($E$2:E67)/SUM($C$2:C67)</f>
        <v>0.11290352157649831</v>
      </c>
      <c r="G67" s="548">
        <f>G66+E67</f>
        <v>24.750709999999984</v>
      </c>
      <c r="H67" s="549" t="s">
        <v>15</v>
      </c>
      <c r="I67" s="2"/>
      <c r="J67" s="2"/>
      <c r="K67" s="2"/>
      <c r="O67" s="58"/>
      <c r="P67" s="58"/>
    </row>
    <row r="68" spans="1:16">
      <c r="A68"/>
      <c r="B68" s="534"/>
      <c r="C68" s="41">
        <v>4.84</v>
      </c>
      <c r="D68" s="550"/>
      <c r="E68" s="40">
        <f>(C68*D68)-C68</f>
        <v>-4.84</v>
      </c>
      <c r="F68" s="48">
        <f>SUM($E$2:E68)/SUM($C$2:C68)</f>
        <v>8.8863295545835788E-2</v>
      </c>
      <c r="G68" s="40">
        <f>G67+E68</f>
        <v>19.910709999999984</v>
      </c>
      <c r="H68" s="551" t="s">
        <v>60</v>
      </c>
      <c r="I68" s="2"/>
      <c r="J68" s="2"/>
      <c r="K68" s="2"/>
      <c r="O68" s="58"/>
      <c r="P68" s="58"/>
    </row>
    <row r="69" spans="1:16">
      <c r="A69"/>
      <c r="B69" s="534"/>
      <c r="C69" s="563">
        <v>4.84</v>
      </c>
      <c r="D69" s="40"/>
      <c r="E69" s="40">
        <f>(C69*D69)-C69</f>
        <v>-4.84</v>
      </c>
      <c r="F69" s="48">
        <f>SUM($E$2:E69)/SUM($C$2:C69)</f>
        <v>6.5839711664482173E-2</v>
      </c>
      <c r="G69" s="40">
        <f>G68+E69</f>
        <v>15.070709999999984</v>
      </c>
      <c r="H69" s="564" t="s">
        <v>34</v>
      </c>
      <c r="I69" s="2"/>
      <c r="J69" s="2"/>
      <c r="K69" s="2"/>
      <c r="O69" s="58"/>
      <c r="P69" s="58"/>
    </row>
    <row r="70" spans="1:16">
      <c r="A70"/>
      <c r="B70" s="534"/>
      <c r="C70" s="565">
        <v>4.84</v>
      </c>
      <c r="D70" s="548"/>
      <c r="E70" s="548">
        <f>(C70*D70)-C70</f>
        <v>-4.84</v>
      </c>
      <c r="F70" s="561">
        <f>SUM($E$2:E70)/SUM($C$2:C70)</f>
        <v>4.3769615812441071E-2</v>
      </c>
      <c r="G70" s="548">
        <f>G69+E70</f>
        <v>10.230709999999984</v>
      </c>
      <c r="H70" s="364" t="s">
        <v>61</v>
      </c>
      <c r="I70" s="2"/>
      <c r="J70" s="2"/>
      <c r="K70" s="2"/>
      <c r="O70" s="58"/>
      <c r="P70" s="58"/>
    </row>
    <row r="71" spans="1:16">
      <c r="A71"/>
      <c r="B71" s="534"/>
      <c r="C71" s="566">
        <v>4.84</v>
      </c>
      <c r="D71" s="37"/>
      <c r="E71" s="37">
        <f>(C71*D71)-C71</f>
        <v>-4.84</v>
      </c>
      <c r="F71" s="47">
        <f>SUM($E$2:E71)/SUM($C$2:C71)</f>
        <v>2.2594978623522423E-2</v>
      </c>
      <c r="G71" s="37">
        <f>G70+E71</f>
        <v>5.3907099999999843</v>
      </c>
      <c r="H71" s="564" t="s">
        <v>62</v>
      </c>
      <c r="I71" s="2"/>
      <c r="J71" s="2"/>
      <c r="K71" s="2"/>
      <c r="O71" s="58"/>
      <c r="P71" s="58"/>
    </row>
    <row r="72" spans="1:16">
      <c r="A72"/>
      <c r="B72" s="534"/>
      <c r="C72" s="563">
        <v>4.84</v>
      </c>
      <c r="D72" s="40"/>
      <c r="E72" s="40">
        <f>(C72*D72)-C72</f>
        <v>-4.84</v>
      </c>
      <c r="F72" s="48">
        <f>SUM($E$2:E72)/SUM($C$2:C72)</f>
        <v>2.262385999506959E-3</v>
      </c>
      <c r="G72" s="40">
        <f>G71+E72</f>
        <v>0.55070999999998449</v>
      </c>
      <c r="H72" s="564" t="s">
        <v>63</v>
      </c>
      <c r="I72" s="2">
        <f>SUM(E64:E72)</f>
        <v>-25.09056</v>
      </c>
      <c r="L72" s="2">
        <f>I72/C72</f>
        <v>-5.1840000000000002</v>
      </c>
      <c r="O72" s="58"/>
      <c r="P72" s="58"/>
    </row>
    <row r="73" spans="1:16">
      <c r="A73"/>
      <c r="B73" s="532">
        <v>45977</v>
      </c>
      <c r="C73" s="565">
        <v>2.92</v>
      </c>
      <c r="D73" s="97">
        <v>1.9390000000000001</v>
      </c>
      <c r="E73" s="97">
        <f>(C73*D73)-C73</f>
        <v>2.7418800000000001</v>
      </c>
      <c r="F73" s="96">
        <f>SUM($E$2:E73)/SUM($C$2:C73)</f>
        <v>1.3366038808151261E-2</v>
      </c>
      <c r="G73" s="97">
        <f>G72+E73</f>
        <v>3.2925899999999846</v>
      </c>
      <c r="H73" s="364" t="s">
        <v>18</v>
      </c>
      <c r="I73" s="2"/>
      <c r="J73" s="2"/>
      <c r="K73" s="2"/>
      <c r="O73" s="58"/>
      <c r="P73" s="58"/>
    </row>
    <row r="74" spans="1:16">
      <c r="A74"/>
      <c r="B74" s="534"/>
      <c r="C74" s="566">
        <v>2.92</v>
      </c>
      <c r="D74" s="37">
        <v>1.8260000000000001</v>
      </c>
      <c r="E74" s="37">
        <f>(C74*D74)-C74</f>
        <v>2.4119200000000003</v>
      </c>
      <c r="F74" s="47">
        <f>SUM($E$2:E74)/SUM($C$2:C74)</f>
        <v>2.2885781914466743E-2</v>
      </c>
      <c r="G74" s="37">
        <f>G73+E74</f>
        <v>5.7045099999999849</v>
      </c>
      <c r="H74" s="564" t="s">
        <v>64</v>
      </c>
      <c r="I74" s="2"/>
      <c r="J74" s="2"/>
      <c r="K74" s="2"/>
      <c r="O74" s="58"/>
      <c r="P74" s="58"/>
    </row>
    <row r="75" spans="1:16">
      <c r="A75"/>
      <c r="B75" s="534"/>
      <c r="C75" s="566">
        <v>2.92</v>
      </c>
      <c r="D75" s="37">
        <v>1.784</v>
      </c>
      <c r="E75" s="37">
        <f>(C75*D75)-C75</f>
        <v>2.2892799999999998</v>
      </c>
      <c r="F75" s="47">
        <f>SUM($E$2:E75)/SUM($C$2:C75)</f>
        <v>3.1698746926798235E-2</v>
      </c>
      <c r="G75" s="37">
        <f>G74+E75</f>
        <v>7.9937899999999846</v>
      </c>
      <c r="H75" s="564" t="s">
        <v>52</v>
      </c>
      <c r="I75" s="2"/>
      <c r="J75" s="2"/>
      <c r="K75" s="2"/>
      <c r="O75" s="58"/>
      <c r="P75" s="58"/>
    </row>
    <row r="76" spans="1:16">
      <c r="A76"/>
      <c r="B76" s="534"/>
      <c r="C76" s="567">
        <v>2.92</v>
      </c>
      <c r="D76" s="38">
        <v>1.784</v>
      </c>
      <c r="E76" s="38">
        <f>(C76*D76)-C76</f>
        <v>2.2892799999999998</v>
      </c>
      <c r="F76" s="59">
        <f>SUM($E$2:E76)/SUM($C$2:C76)</f>
        <v>4.0309956879654947E-2</v>
      </c>
      <c r="G76" s="38">
        <f>G75+E76</f>
        <v>10.283069999999984</v>
      </c>
      <c r="H76" s="568" t="s">
        <v>14</v>
      </c>
      <c r="I76" s="2"/>
      <c r="J76" s="2"/>
      <c r="K76" s="2"/>
      <c r="O76" s="58"/>
      <c r="P76" s="58"/>
    </row>
    <row r="77" spans="1:16">
      <c r="A77"/>
      <c r="B77" s="534"/>
      <c r="C77" s="565">
        <v>2.92</v>
      </c>
      <c r="D77" s="97">
        <v>1.9390000000000001</v>
      </c>
      <c r="E77" s="97">
        <f>(C77*D77)-C77</f>
        <v>2.7418800000000001</v>
      </c>
      <c r="F77" s="96">
        <f>SUM($E$2:E77)/SUM($C$2:C77)</f>
        <v>5.0480389117122611E-2</v>
      </c>
      <c r="G77" s="97">
        <f>G76+E77</f>
        <v>13.024949999999984</v>
      </c>
      <c r="H77" s="364" t="s">
        <v>37</v>
      </c>
      <c r="I77" s="2"/>
      <c r="J77" s="2"/>
      <c r="K77" s="2"/>
      <c r="O77" s="58"/>
      <c r="P77" s="58"/>
    </row>
    <row r="78" spans="1:16">
      <c r="A78"/>
      <c r="B78" s="534"/>
      <c r="C78" s="566">
        <v>2.92</v>
      </c>
      <c r="D78" s="37"/>
      <c r="E78" s="37">
        <f>(C78*D78)-C78</f>
        <v>-2.92</v>
      </c>
      <c r="F78" s="47">
        <f>SUM($E$2:E78)/SUM($C$2:C78)</f>
        <v>3.8725185866482631E-2</v>
      </c>
      <c r="G78" s="37">
        <f>G77+E78</f>
        <v>10.104949999999985</v>
      </c>
      <c r="H78" s="564" t="s">
        <v>11</v>
      </c>
      <c r="I78" s="2"/>
      <c r="J78" s="2"/>
      <c r="K78" s="2"/>
      <c r="O78" s="58"/>
      <c r="P78" s="58"/>
    </row>
    <row r="79" spans="1:16">
      <c r="A79"/>
      <c r="B79" s="534"/>
      <c r="C79" s="566">
        <v>2.92</v>
      </c>
      <c r="D79" s="37">
        <v>1.9</v>
      </c>
      <c r="E79" s="37">
        <f>(C79*D79)-C79</f>
        <v>2.6280000000000001</v>
      </c>
      <c r="F79" s="47">
        <f>SUM($E$2:E79)/SUM($C$2:C79)</f>
        <v>4.8256461760024162E-2</v>
      </c>
      <c r="G79" s="37">
        <f>G78+E79</f>
        <v>12.732949999999985</v>
      </c>
      <c r="H79" s="564" t="s">
        <v>53</v>
      </c>
      <c r="I79" s="2"/>
      <c r="J79" s="2"/>
      <c r="K79" s="2"/>
      <c r="O79" s="58"/>
      <c r="P79" s="58"/>
    </row>
    <row r="80" spans="1:16">
      <c r="A80"/>
      <c r="B80" s="534"/>
      <c r="C80" s="566">
        <v>2.92</v>
      </c>
      <c r="D80" s="37"/>
      <c r="E80" s="37">
        <f>(C80*D80)-C80</f>
        <v>-2.92</v>
      </c>
      <c r="F80" s="47">
        <f>SUM($E$2:E80)/SUM($C$2:C80)</f>
        <v>3.6782929754854102E-2</v>
      </c>
      <c r="G80" s="37">
        <f>G79+E80</f>
        <v>9.8129499999999847</v>
      </c>
      <c r="H80" s="564" t="s">
        <v>13</v>
      </c>
      <c r="I80" s="2"/>
      <c r="J80" s="2"/>
      <c r="K80" s="2"/>
      <c r="O80" s="58"/>
      <c r="P80" s="58"/>
    </row>
    <row r="81" spans="1:16">
      <c r="A81"/>
      <c r="B81" s="534"/>
      <c r="C81" s="566">
        <v>2.92</v>
      </c>
      <c r="D81" s="37">
        <v>1.798</v>
      </c>
      <c r="E81" s="37">
        <f>(C81*D81)-C81</f>
        <v>2.3301600000000002</v>
      </c>
      <c r="F81" s="47">
        <f>SUM($E$2:E81)/SUM($C$2:C81)</f>
        <v>4.5024508713385154E-2</v>
      </c>
      <c r="G81" s="37">
        <f>G80+E81</f>
        <v>12.143109999999986</v>
      </c>
      <c r="H81" s="564" t="s">
        <v>17</v>
      </c>
      <c r="I81" s="2"/>
      <c r="J81" s="2"/>
      <c r="K81" s="2"/>
      <c r="O81" s="58"/>
      <c r="P81" s="58"/>
    </row>
    <row r="82" spans="1:16">
      <c r="A82"/>
      <c r="B82" s="534"/>
      <c r="C82" s="567">
        <v>2.92</v>
      </c>
      <c r="D82" s="38">
        <v>1.7749999999999999</v>
      </c>
      <c r="E82" s="38">
        <f>(C82*D82)-C82</f>
        <v>2.2629999999999999</v>
      </c>
      <c r="F82" s="59">
        <f>SUM($E$2:E82)/SUM($C$2:C82)</f>
        <v>5.2843188320739393E-2</v>
      </c>
      <c r="G82" s="38">
        <f>G81+E82</f>
        <v>14.406109999999986</v>
      </c>
      <c r="H82" s="568" t="s">
        <v>36</v>
      </c>
      <c r="I82" s="2"/>
      <c r="J82" s="2"/>
      <c r="K82" s="2"/>
      <c r="O82" s="58"/>
      <c r="P82" s="58"/>
    </row>
    <row r="83" spans="1:16">
      <c r="A83"/>
      <c r="B83" s="534"/>
      <c r="C83" s="565">
        <v>2.92</v>
      </c>
      <c r="D83" s="97">
        <v>1.667</v>
      </c>
      <c r="E83" s="97">
        <f>(C83*D83)-C83</f>
        <v>1.9476399999999998</v>
      </c>
      <c r="F83" s="96">
        <f>SUM($E$2:E83)/SUM($C$2:C83)</f>
        <v>5.935163678594748E-2</v>
      </c>
      <c r="G83" s="97">
        <f>G82+E83</f>
        <v>16.353749999999984</v>
      </c>
      <c r="H83" s="364" t="s">
        <v>65</v>
      </c>
      <c r="I83" s="2"/>
      <c r="J83" s="2"/>
      <c r="K83" s="2"/>
      <c r="O83" s="58"/>
      <c r="P83" s="58"/>
    </row>
    <row r="84" spans="1:16">
      <c r="A84"/>
      <c r="B84" s="534"/>
      <c r="C84" s="566">
        <v>2.92</v>
      </c>
      <c r="D84" s="37">
        <v>1.7</v>
      </c>
      <c r="E84" s="37">
        <f>(C84*D84)-C84</f>
        <v>2.0439999999999996</v>
      </c>
      <c r="F84" s="47">
        <f>SUM($E$2:E84)/SUM($C$2:C84)</f>
        <v>6.6069632981397564E-2</v>
      </c>
      <c r="G84" s="37">
        <f>G83+E84</f>
        <v>18.397749999999984</v>
      </c>
      <c r="H84" s="564" t="s">
        <v>66</v>
      </c>
      <c r="I84" s="2"/>
      <c r="J84" s="2"/>
      <c r="K84" s="2"/>
      <c r="O84" s="58"/>
      <c r="P84" s="58"/>
    </row>
    <row r="85" spans="1:16">
      <c r="A85"/>
      <c r="B85" s="534"/>
      <c r="C85" s="566">
        <v>2.92</v>
      </c>
      <c r="D85" s="37">
        <v>1.625</v>
      </c>
      <c r="E85" s="37">
        <f>(C85*D85)-C85</f>
        <v>1.8250000000000002</v>
      </c>
      <c r="F85" s="47">
        <f>SUM($E$2:E85)/SUM($C$2:C85)</f>
        <v>7.186989125026641E-2</v>
      </c>
      <c r="G85" s="37">
        <f>G84+E85</f>
        <v>20.222749999999984</v>
      </c>
      <c r="H85" s="564" t="s">
        <v>67</v>
      </c>
      <c r="I85" s="2"/>
      <c r="J85" s="2"/>
      <c r="K85" s="2"/>
      <c r="O85" s="58"/>
      <c r="P85" s="58"/>
    </row>
    <row r="86" spans="1:16">
      <c r="A86"/>
      <c r="B86" s="534"/>
      <c r="C86" s="566">
        <v>2.92</v>
      </c>
      <c r="D86" s="37">
        <v>1.67</v>
      </c>
      <c r="E86" s="37">
        <f>(C86*D86)-C86</f>
        <v>1.9563999999999995</v>
      </c>
      <c r="F86" s="47">
        <f>SUM($E$2:E86)/SUM($C$2:C86)</f>
        <v>7.8013190291944978E-2</v>
      </c>
      <c r="G86" s="37">
        <f>G85+E86</f>
        <v>22.179149999999982</v>
      </c>
      <c r="H86" s="564" t="s">
        <v>68</v>
      </c>
      <c r="I86" s="2"/>
      <c r="J86" s="2"/>
      <c r="K86" s="2"/>
      <c r="O86" s="58"/>
      <c r="P86" s="58"/>
    </row>
    <row r="87" spans="1:16">
      <c r="A87"/>
      <c r="B87" s="534"/>
      <c r="C87" s="563">
        <v>2.92</v>
      </c>
      <c r="D87" s="40">
        <v>1.6879999999999999</v>
      </c>
      <c r="E87" s="40">
        <f>(C87*D87)-C87</f>
        <v>2.0089600000000001</v>
      </c>
      <c r="F87" s="48">
        <f>SUM($E$2:E87)/SUM($C$2:C87)</f>
        <v>8.4214574193997471E-2</v>
      </c>
      <c r="G87" s="40">
        <f>G86+E87</f>
        <v>24.18810999999998</v>
      </c>
      <c r="H87" s="564" t="s">
        <v>69</v>
      </c>
      <c r="I87" s="569">
        <f>SUM(E73:E87)</f>
        <v>23.6374</v>
      </c>
      <c r="J87" s="569">
        <f>SUM(E2:E87)</f>
        <v>24.18810999999998</v>
      </c>
      <c r="L87" s="2">
        <f>I87/C87</f>
        <v>8.0950000000000006</v>
      </c>
      <c r="O87" s="58"/>
      <c r="P87" s="58"/>
    </row>
    <row r="88" spans="1:16">
      <c r="A88"/>
      <c r="B88" s="532">
        <v>45978</v>
      </c>
      <c r="C88" s="565">
        <v>3.02</v>
      </c>
      <c r="D88" s="97"/>
      <c r="E88" s="97">
        <f>(C88*D88)-C88</f>
        <v>-3.02</v>
      </c>
      <c r="F88" s="96">
        <f>SUM($E$2:E88)/SUM($C$2:C88)</f>
        <v>7.2933124310914962E-2</v>
      </c>
      <c r="G88" s="97">
        <f>G87+E88</f>
        <v>21.168109999999981</v>
      </c>
      <c r="H88" s="570" t="s">
        <v>34</v>
      </c>
      <c r="I88" s="2"/>
      <c r="J88" s="2"/>
      <c r="K88" s="2"/>
      <c r="O88" s="58"/>
      <c r="P88" s="58"/>
    </row>
    <row r="89" spans="1:16">
      <c r="A89"/>
      <c r="B89" s="534"/>
      <c r="C89" s="571">
        <v>3.02</v>
      </c>
      <c r="D89" s="552">
        <v>1.83</v>
      </c>
      <c r="E89" s="552">
        <f>(C89*D89)-C89</f>
        <v>2.5066000000000002</v>
      </c>
      <c r="F89" s="555">
        <f>SUM($E$2:E89)/SUM($C$2:C89)</f>
        <v>8.07294209916114E-2</v>
      </c>
      <c r="G89" s="552">
        <f>G88+E89</f>
        <v>23.67470999999998</v>
      </c>
      <c r="H89" s="365" t="s">
        <v>60</v>
      </c>
      <c r="I89" s="2"/>
      <c r="J89" s="2"/>
      <c r="K89" s="2"/>
      <c r="O89" s="58"/>
      <c r="P89" s="58"/>
    </row>
    <row r="90" spans="1:16">
      <c r="A90"/>
      <c r="B90" s="534"/>
      <c r="C90" s="566">
        <v>3.02</v>
      </c>
      <c r="D90" s="37">
        <v>1.768</v>
      </c>
      <c r="E90" s="37">
        <f>(C90*D90)-C90</f>
        <v>2.3193600000000001</v>
      </c>
      <c r="F90" s="47">
        <f>SUM($E$2:E90)/SUM($C$2:C90)</f>
        <v>8.7734811664641407E-2</v>
      </c>
      <c r="G90" s="37">
        <f>G89+E90</f>
        <v>25.994069999999979</v>
      </c>
      <c r="H90" s="564" t="s">
        <v>18</v>
      </c>
      <c r="I90" s="2"/>
      <c r="J90" s="2"/>
      <c r="K90" s="2"/>
      <c r="O90" s="58"/>
      <c r="P90" s="58"/>
    </row>
    <row r="91" spans="1:16">
      <c r="A91"/>
      <c r="B91" s="534"/>
      <c r="C91" s="567">
        <v>3.02</v>
      </c>
      <c r="D91" s="38"/>
      <c r="E91" s="38">
        <f>(C91*D91)-C91</f>
        <v>-3.02</v>
      </c>
      <c r="F91" s="59">
        <f>SUM($E$2:E91)/SUM($C$2:C91)</f>
        <v>7.6759338456398138E-2</v>
      </c>
      <c r="G91" s="38">
        <f>G90+E91</f>
        <v>22.97406999999998</v>
      </c>
      <c r="H91" s="568" t="s">
        <v>17</v>
      </c>
      <c r="I91" s="2"/>
      <c r="J91" s="2"/>
      <c r="K91" s="2"/>
      <c r="O91" s="58"/>
      <c r="P91" s="58"/>
    </row>
    <row r="92" spans="1:16">
      <c r="A92"/>
      <c r="B92" s="534"/>
      <c r="C92" s="565">
        <v>3.02</v>
      </c>
      <c r="D92" s="97"/>
      <c r="E92" s="97">
        <f>(C92*D92)-C92</f>
        <v>-3.02</v>
      </c>
      <c r="F92" s="96">
        <f>SUM($E$2:E92)/SUM($C$2:C92)</f>
        <v>6.6003142365705106E-2</v>
      </c>
      <c r="G92" s="97">
        <f>G91+E92</f>
        <v>19.95406999999998</v>
      </c>
      <c r="H92" s="364" t="s">
        <v>46</v>
      </c>
      <c r="I92" s="2"/>
      <c r="J92" s="2"/>
      <c r="K92" s="2"/>
      <c r="O92" s="58"/>
      <c r="P92" s="58"/>
    </row>
    <row r="93" spans="1:16">
      <c r="A93"/>
      <c r="B93" s="534"/>
      <c r="C93" s="566">
        <v>3.02</v>
      </c>
      <c r="D93" s="37"/>
      <c r="E93" s="37">
        <f>(C93*D93)-C93</f>
        <v>-3.02</v>
      </c>
      <c r="F93" s="47">
        <f>SUM($E$2:E93)/SUM($C$2:C93)</f>
        <v>5.545971703674582E-2</v>
      </c>
      <c r="G93" s="37">
        <f>G92+E93</f>
        <v>16.934069999999981</v>
      </c>
      <c r="H93" s="564" t="s">
        <v>16</v>
      </c>
      <c r="I93" s="2"/>
      <c r="J93" s="2"/>
      <c r="K93" s="2"/>
      <c r="O93" s="58"/>
      <c r="P93" s="58"/>
    </row>
    <row r="94" spans="1:16">
      <c r="A94"/>
      <c r="B94" s="534"/>
      <c r="C94" s="567">
        <v>3.02</v>
      </c>
      <c r="D94" s="38">
        <v>1.768</v>
      </c>
      <c r="E94" s="38">
        <f>(C94*D94)-C94</f>
        <v>2.3193600000000001</v>
      </c>
      <c r="F94" s="59">
        <f>SUM($E$2:E94)/SUM($C$2:C94)</f>
        <v>6.2438156699960987E-2</v>
      </c>
      <c r="G94" s="38">
        <f>G93+E94</f>
        <v>19.25342999999998</v>
      </c>
      <c r="H94" s="568" t="s">
        <v>13</v>
      </c>
      <c r="I94" s="2"/>
      <c r="J94" s="2"/>
      <c r="K94" s="2"/>
      <c r="O94" s="58"/>
      <c r="P94" s="58"/>
    </row>
    <row r="95" spans="1:16">
      <c r="A95"/>
      <c r="B95" s="534"/>
      <c r="C95" s="571">
        <v>3.02</v>
      </c>
      <c r="D95" s="552"/>
      <c r="E95" s="552">
        <f>(C95*D95)-C95</f>
        <v>-3.02</v>
      </c>
      <c r="F95" s="555">
        <f>SUM($E$2:E95)/SUM($C$2:C95)</f>
        <v>5.2133823623867856E-2</v>
      </c>
      <c r="G95" s="552">
        <f>G94+E95</f>
        <v>16.233429999999981</v>
      </c>
      <c r="H95" s="365" t="s">
        <v>70</v>
      </c>
      <c r="I95" s="2"/>
      <c r="J95" s="2"/>
      <c r="K95" s="2"/>
      <c r="O95" s="58"/>
      <c r="P95" s="58"/>
    </row>
    <row r="96" spans="1:16">
      <c r="A96"/>
      <c r="B96" s="534"/>
      <c r="C96" s="566">
        <v>3.02</v>
      </c>
      <c r="D96" s="37">
        <v>1.6060000000000001</v>
      </c>
      <c r="E96" s="37">
        <f>(C96*D96)-C96</f>
        <v>1.8301200000000004</v>
      </c>
      <c r="F96" s="47">
        <f>SUM($E$2:E96)/SUM($C$2:C96)</f>
        <v>5.7454039440203476E-2</v>
      </c>
      <c r="G96" s="37">
        <f>G95+E96</f>
        <v>18.063549999999982</v>
      </c>
      <c r="H96" s="564" t="s">
        <v>71</v>
      </c>
      <c r="I96" s="2"/>
      <c r="J96" s="2"/>
      <c r="K96" s="2"/>
      <c r="O96" s="58"/>
      <c r="P96" s="58"/>
    </row>
    <row r="97" spans="1:16">
      <c r="A97"/>
      <c r="B97" s="534"/>
      <c r="C97" s="566">
        <v>3.02</v>
      </c>
      <c r="D97" s="37">
        <v>1.625</v>
      </c>
      <c r="E97" s="37">
        <f>(C97*D97)-C97</f>
        <v>1.8874999999999997</v>
      </c>
      <c r="F97" s="47">
        <f>SUM($E$2:E97)/SUM($C$2:C97)</f>
        <v>6.2853789931321194E-2</v>
      </c>
      <c r="G97" s="37">
        <f>G96+E97</f>
        <v>19.951049999999981</v>
      </c>
      <c r="H97" s="564" t="s">
        <v>72</v>
      </c>
      <c r="I97" s="2"/>
      <c r="J97" s="2"/>
      <c r="K97" s="2"/>
      <c r="O97" s="58"/>
      <c r="P97" s="58"/>
    </row>
    <row r="98" spans="1:16">
      <c r="A98"/>
      <c r="B98" s="534"/>
      <c r="C98" s="566">
        <v>3.02</v>
      </c>
      <c r="D98" s="37"/>
      <c r="E98" s="37">
        <f>(C98*D98)-C98</f>
        <v>-3.02</v>
      </c>
      <c r="F98" s="47">
        <f>SUM($E$2:E98)/SUM($C$2:C98)</f>
        <v>5.2836880539258446E-2</v>
      </c>
      <c r="G98" s="37">
        <f>G97+E98</f>
        <v>16.931049999999981</v>
      </c>
      <c r="H98" s="564" t="s">
        <v>73</v>
      </c>
      <c r="I98" s="2"/>
      <c r="J98" s="2"/>
      <c r="K98" s="2"/>
      <c r="O98" s="58"/>
      <c r="P98" s="58"/>
    </row>
    <row r="99" spans="1:16">
      <c r="A99"/>
      <c r="B99" s="534"/>
      <c r="C99" s="563">
        <v>3.02</v>
      </c>
      <c r="D99" s="40">
        <v>1.7090000000000001</v>
      </c>
      <c r="E99" s="40">
        <f>(C99*D99)-C99</f>
        <v>2.1411799999999999</v>
      </c>
      <c r="F99" s="48">
        <f>SUM($E$2:E99)/SUM($C$2:C99)</f>
        <v>5.8963179373029043E-2</v>
      </c>
      <c r="G99" s="40">
        <f>G98+E99</f>
        <v>19.07222999999998</v>
      </c>
      <c r="H99" s="564" t="s">
        <v>74</v>
      </c>
      <c r="I99" s="2">
        <f>SUM(E88:E99)</f>
        <v>-5.1158799999999989</v>
      </c>
      <c r="L99" s="2">
        <f>I99/C99</f>
        <v>-1.6939999999999995</v>
      </c>
      <c r="O99" s="58"/>
      <c r="P99" s="58"/>
    </row>
    <row r="100" spans="1:16">
      <c r="A100"/>
      <c r="B100" s="532">
        <v>45979</v>
      </c>
      <c r="C100" s="565">
        <v>3.99</v>
      </c>
      <c r="D100" s="97">
        <v>1.7749999999999999</v>
      </c>
      <c r="E100" s="97">
        <f>(C100*D100)-C100</f>
        <v>3.0922499999999999</v>
      </c>
      <c r="F100" s="96">
        <f>SUM($E$2:E100)/SUM($C$2:C100)</f>
        <v>6.7688135593220261E-2</v>
      </c>
      <c r="G100" s="97">
        <f>G99+E100</f>
        <v>22.16447999999998</v>
      </c>
      <c r="H100" s="364" t="s">
        <v>27</v>
      </c>
      <c r="I100" s="2"/>
      <c r="J100" s="2"/>
      <c r="K100" s="2"/>
      <c r="O100" s="58"/>
      <c r="P100" s="58"/>
    </row>
    <row r="101" spans="1:16">
      <c r="A101"/>
      <c r="B101" s="534"/>
      <c r="C101" s="567">
        <v>3.99</v>
      </c>
      <c r="D101" s="38"/>
      <c r="E101" s="38">
        <f>(C101*D101)-C101</f>
        <v>-3.99</v>
      </c>
      <c r="F101" s="59">
        <f>SUM($E$2:E101)/SUM($C$2:C101)</f>
        <v>5.4834902244750107E-2</v>
      </c>
      <c r="G101" s="38">
        <f>G100+E101</f>
        <v>18.174479999999981</v>
      </c>
      <c r="H101" s="568" t="s">
        <v>26</v>
      </c>
      <c r="I101" s="2"/>
      <c r="J101" s="2"/>
      <c r="K101" s="2"/>
      <c r="O101" s="58"/>
      <c r="P101" s="58"/>
    </row>
    <row r="102" spans="1:16">
      <c r="A102"/>
      <c r="B102" s="534"/>
      <c r="C102" s="565">
        <v>3.99</v>
      </c>
      <c r="D102" s="97">
        <v>1.784</v>
      </c>
      <c r="E102" s="97">
        <f>(C102*D102)-C102</f>
        <v>3.1281600000000003</v>
      </c>
      <c r="F102" s="96">
        <f>SUM($E$2:E102)/SUM($C$2:C102)</f>
        <v>6.3508451837939281E-2</v>
      </c>
      <c r="G102" s="97">
        <f>G101+E102</f>
        <v>21.302639999999982</v>
      </c>
      <c r="H102" s="364" t="s">
        <v>64</v>
      </c>
      <c r="I102" s="2"/>
      <c r="J102" s="2"/>
      <c r="K102" s="2"/>
      <c r="O102" s="58"/>
      <c r="P102" s="58"/>
    </row>
    <row r="103" spans="1:16">
      <c r="A103"/>
      <c r="B103" s="534"/>
      <c r="C103" s="566">
        <v>3.99</v>
      </c>
      <c r="D103" s="37"/>
      <c r="E103" s="37">
        <f>(C103*D103)-C103</f>
        <v>-3.99</v>
      </c>
      <c r="F103" s="47">
        <f>SUM($E$2:E103)/SUM($C$2:C103)</f>
        <v>5.1006540569206213E-2</v>
      </c>
      <c r="G103" s="37">
        <f>G102+E103</f>
        <v>17.31263999999998</v>
      </c>
      <c r="H103" s="564" t="s">
        <v>28</v>
      </c>
      <c r="I103" s="2"/>
      <c r="J103" s="2"/>
      <c r="K103" s="2"/>
      <c r="O103" s="58"/>
      <c r="P103" s="58"/>
    </row>
    <row r="104" spans="1:16">
      <c r="A104"/>
      <c r="B104" s="534"/>
      <c r="C104" s="566">
        <v>3.99</v>
      </c>
      <c r="D104" s="37"/>
      <c r="E104" s="37">
        <f>(C104*D104)-C104</f>
        <v>-3.99</v>
      </c>
      <c r="F104" s="47">
        <f>SUM($E$2:E104)/SUM($C$2:C104)</f>
        <v>3.8795142832183029E-2</v>
      </c>
      <c r="G104" s="37">
        <f>G103+E104</f>
        <v>13.32263999999998</v>
      </c>
      <c r="H104" s="564" t="s">
        <v>14</v>
      </c>
      <c r="I104" s="2"/>
      <c r="J104" s="2"/>
      <c r="K104" s="2"/>
      <c r="O104" s="58"/>
      <c r="P104" s="58"/>
    </row>
    <row r="105" spans="1:16">
      <c r="A105"/>
      <c r="B105" s="534"/>
      <c r="C105" s="567">
        <v>3.99</v>
      </c>
      <c r="D105" s="38"/>
      <c r="E105" s="38">
        <f>(C105*D105)-C105</f>
        <v>-3.99</v>
      </c>
      <c r="F105" s="59">
        <f>SUM($E$2:E105)/SUM($C$2:C105)</f>
        <v>2.6864248704663144E-2</v>
      </c>
      <c r="G105" s="38">
        <f>G104+E105</f>
        <v>9.3326399999999801</v>
      </c>
      <c r="H105" s="568" t="s">
        <v>12</v>
      </c>
      <c r="I105" s="2"/>
      <c r="J105" s="2"/>
      <c r="K105" s="2"/>
      <c r="O105" s="58"/>
      <c r="P105" s="58"/>
    </row>
    <row r="106" spans="1:16">
      <c r="A106"/>
      <c r="B106" s="534"/>
      <c r="C106" s="565">
        <v>3.99</v>
      </c>
      <c r="D106" s="97">
        <v>1.615</v>
      </c>
      <c r="E106" s="97">
        <f>(C106*D106)-C106</f>
        <v>2.4538500000000001</v>
      </c>
      <c r="F106" s="96">
        <f>SUM($E$2:E106)/SUM($C$2:C106)</f>
        <v>3.3542474173994634E-2</v>
      </c>
      <c r="G106" s="97">
        <f>G105+E106</f>
        <v>11.786489999999979</v>
      </c>
      <c r="H106" s="364" t="s">
        <v>75</v>
      </c>
      <c r="I106" s="2"/>
      <c r="J106" s="2"/>
      <c r="K106" s="2"/>
      <c r="O106" s="58"/>
      <c r="P106" s="58"/>
    </row>
    <row r="107" spans="1:16">
      <c r="A107"/>
      <c r="B107" s="534"/>
      <c r="C107" s="566">
        <v>3.99</v>
      </c>
      <c r="D107" s="37"/>
      <c r="E107" s="37">
        <f>(C107*D107)-C107</f>
        <v>-3.99</v>
      </c>
      <c r="F107" s="47">
        <f>SUM($E$2:E107)/SUM($C$2:C107)</f>
        <v>2.1938460239743305E-2</v>
      </c>
      <c r="G107" s="37">
        <f>G106+E107</f>
        <v>7.796489999999979</v>
      </c>
      <c r="H107" s="564" t="s">
        <v>76</v>
      </c>
      <c r="I107" s="2"/>
      <c r="J107" s="2"/>
      <c r="K107" s="2"/>
      <c r="O107" s="58"/>
      <c r="P107" s="58"/>
    </row>
    <row r="108" spans="1:16">
      <c r="A108"/>
      <c r="B108" s="534"/>
      <c r="C108" s="566">
        <v>3.99</v>
      </c>
      <c r="D108" s="37">
        <v>1.67</v>
      </c>
      <c r="E108" s="37">
        <f>(C108*D108)-C108</f>
        <v>2.6733000000000002</v>
      </c>
      <c r="F108" s="47">
        <f>SUM($E$2:E108)/SUM($C$2:C108)</f>
        <v>2.9133734034560408E-2</v>
      </c>
      <c r="G108" s="37">
        <f>G107+E108</f>
        <v>10.469789999999978</v>
      </c>
      <c r="H108" s="564" t="s">
        <v>77</v>
      </c>
      <c r="I108" s="2"/>
      <c r="J108" s="2"/>
      <c r="K108" s="2"/>
      <c r="O108" s="58"/>
      <c r="P108" s="58"/>
    </row>
    <row r="109" spans="1:16">
      <c r="A109"/>
      <c r="B109" s="534"/>
      <c r="C109" s="563">
        <v>3.99</v>
      </c>
      <c r="D109" s="40"/>
      <c r="E109" s="40">
        <f>(C109*D109)-C109</f>
        <v>-3.99</v>
      </c>
      <c r="F109" s="48">
        <f>SUM($E$2:E109)/SUM($C$2:C109)</f>
        <v>1.7832975561426614E-2</v>
      </c>
      <c r="G109" s="40">
        <f>G108+E109</f>
        <v>6.4797899999999782</v>
      </c>
      <c r="H109" s="564" t="s">
        <v>78</v>
      </c>
      <c r="I109" s="2">
        <f>SUM(E100:E109)</f>
        <v>-12.592439999999998</v>
      </c>
      <c r="L109" s="2">
        <f>I109/C109</f>
        <v>-3.1559999999999993</v>
      </c>
      <c r="O109" s="58"/>
      <c r="P109" s="58"/>
    </row>
    <row r="110" spans="1:16">
      <c r="A110"/>
      <c r="B110" s="532">
        <v>45980</v>
      </c>
      <c r="C110" s="565">
        <v>2.62</v>
      </c>
      <c r="D110" s="97"/>
      <c r="E110" s="97">
        <f>(C110*D110)-C110</f>
        <v>-2.62</v>
      </c>
      <c r="F110" s="96">
        <f>SUM($E$2:E110)/SUM($C$2:C110)</f>
        <v>1.0546450625717187E-2</v>
      </c>
      <c r="G110" s="97">
        <f>G109+E110</f>
        <v>3.8597899999999781</v>
      </c>
      <c r="H110" s="364" t="s">
        <v>53</v>
      </c>
      <c r="I110" s="2"/>
      <c r="J110" s="2"/>
      <c r="K110" s="2"/>
      <c r="O110" s="58"/>
      <c r="P110" s="58"/>
    </row>
    <row r="111" spans="1:16">
      <c r="A111"/>
      <c r="B111" s="534"/>
      <c r="C111" s="563">
        <v>2.62</v>
      </c>
      <c r="D111" s="40"/>
      <c r="E111" s="40">
        <f>(C111*D111)-C111</f>
        <v>-2.62</v>
      </c>
      <c r="F111" s="48">
        <f>SUM($E$2:E111)/SUM($C$2:C111)</f>
        <v>3.3635105805750877E-3</v>
      </c>
      <c r="G111" s="40">
        <f>G110+E111</f>
        <v>1.239789999999978</v>
      </c>
      <c r="H111" s="564" t="s">
        <v>38</v>
      </c>
      <c r="I111" s="2"/>
      <c r="J111" s="2"/>
      <c r="K111" s="2"/>
      <c r="O111" s="58"/>
      <c r="P111" s="58"/>
    </row>
    <row r="112" spans="1:16">
      <c r="A112"/>
      <c r="B112" s="534"/>
      <c r="C112" s="565">
        <v>2.62</v>
      </c>
      <c r="D112" s="97"/>
      <c r="E112" s="97">
        <f>(C112*D112)-C112</f>
        <v>-2.62</v>
      </c>
      <c r="F112" s="96">
        <f>SUM($E$2:E112)/SUM($C$2:C112)</f>
        <v>-3.7180378212381374E-3</v>
      </c>
      <c r="G112" s="97">
        <f>G111+E112</f>
        <v>-1.3802100000000221</v>
      </c>
      <c r="H112" s="364" t="s">
        <v>46</v>
      </c>
      <c r="I112" s="2"/>
      <c r="J112" s="2"/>
      <c r="K112" s="2"/>
      <c r="O112" s="58"/>
      <c r="P112" s="58"/>
    </row>
    <row r="113" spans="1:16">
      <c r="A113"/>
      <c r="B113" s="534"/>
      <c r="C113" s="566">
        <v>2.62</v>
      </c>
      <c r="D113" s="37">
        <v>1.798</v>
      </c>
      <c r="E113" s="37">
        <f>(C113*D113)-C113</f>
        <v>2.0907600000000004</v>
      </c>
      <c r="F113" s="47">
        <f>SUM($E$2:E113)/SUM($C$2:C113)</f>
        <v>1.9006794350523697E-3</v>
      </c>
      <c r="G113" s="37">
        <f>G112+E113</f>
        <v>0.71054999999997825</v>
      </c>
      <c r="H113" s="564" t="s">
        <v>60</v>
      </c>
      <c r="I113" s="2"/>
      <c r="J113" s="2"/>
      <c r="K113" s="2"/>
      <c r="O113" s="58"/>
      <c r="P113" s="58"/>
    </row>
    <row r="114" spans="1:16">
      <c r="A114"/>
      <c r="B114" s="534"/>
      <c r="C114" s="566">
        <v>2.62</v>
      </c>
      <c r="D114" s="37"/>
      <c r="E114" s="37">
        <f>(C114*D114)-C114</f>
        <v>-2.62</v>
      </c>
      <c r="F114" s="47">
        <f>SUM($E$2:E114)/SUM($C$2:C114)</f>
        <v>-5.0721192158530012E-3</v>
      </c>
      <c r="G114" s="37">
        <f>G113+E114</f>
        <v>-1.9094500000000219</v>
      </c>
      <c r="H114" s="564" t="s">
        <v>16</v>
      </c>
      <c r="I114" s="2"/>
      <c r="J114" s="2"/>
      <c r="K114" s="2"/>
      <c r="O114" s="58"/>
      <c r="P114" s="58"/>
    </row>
    <row r="115" spans="1:16">
      <c r="A115"/>
      <c r="B115" s="534"/>
      <c r="C115" s="566">
        <v>2.62</v>
      </c>
      <c r="D115" s="37">
        <v>1.798</v>
      </c>
      <c r="E115" s="37">
        <f>(C115*D115)-C115</f>
        <v>2.0907600000000004</v>
      </c>
      <c r="F115" s="47">
        <f>SUM($E$2:E115)/SUM($C$2:C115)</f>
        <v>4.7828954310430108E-4</v>
      </c>
      <c r="G115" s="37">
        <f>G114+E115</f>
        <v>0.18130999999997854</v>
      </c>
      <c r="H115" s="564" t="s">
        <v>13</v>
      </c>
      <c r="I115" s="2"/>
      <c r="J115" s="2"/>
      <c r="K115" s="2"/>
      <c r="O115" s="58"/>
      <c r="P115" s="58"/>
    </row>
    <row r="116" spans="1:16">
      <c r="A116"/>
      <c r="B116" s="534"/>
      <c r="C116" s="563">
        <v>2.62</v>
      </c>
      <c r="D116" s="40"/>
      <c r="E116" s="40">
        <f>(C116*D116)-C116</f>
        <v>-2.62</v>
      </c>
      <c r="F116" s="48">
        <f>SUM($E$2:E116)/SUM($C$2:C116)</f>
        <v>-6.3890227927692438E-3</v>
      </c>
      <c r="G116" s="40">
        <f>G115+E116</f>
        <v>-2.4386900000000216</v>
      </c>
      <c r="H116" s="564" t="s">
        <v>17</v>
      </c>
      <c r="I116" s="2"/>
      <c r="J116" s="2"/>
      <c r="K116" s="2"/>
      <c r="O116" s="58"/>
      <c r="P116" s="58"/>
    </row>
    <row r="117" spans="1:16">
      <c r="A117"/>
      <c r="B117" s="534"/>
      <c r="C117" s="565">
        <v>2.62</v>
      </c>
      <c r="D117" s="97"/>
      <c r="E117" s="97">
        <f>(C117*D117)-C117</f>
        <v>-2.62</v>
      </c>
      <c r="F117" s="96">
        <f>SUM($E$2:E117)/SUM($C$2:C117)</f>
        <v>-1.3162702955870157E-2</v>
      </c>
      <c r="G117" s="97">
        <f>G116+E117</f>
        <v>-5.0586900000000217</v>
      </c>
      <c r="H117" s="570" t="s">
        <v>79</v>
      </c>
      <c r="I117" s="2"/>
      <c r="J117" s="2"/>
      <c r="K117" s="2"/>
      <c r="O117" s="58"/>
      <c r="P117" s="58"/>
    </row>
    <row r="118" spans="1:16">
      <c r="A118"/>
      <c r="B118" s="534"/>
      <c r="C118" s="571">
        <v>2.62</v>
      </c>
      <c r="D118" s="552">
        <v>1.63</v>
      </c>
      <c r="E118" s="552">
        <f>(C118*D118)-C118</f>
        <v>1.6505999999999998</v>
      </c>
      <c r="F118" s="555">
        <f>SUM($E$2:E118)/SUM($C$2:C118)</f>
        <v>-8.8077996588618902E-3</v>
      </c>
      <c r="G118" s="552">
        <f>G117+E118</f>
        <v>-3.4080900000000218</v>
      </c>
      <c r="H118" s="365" t="s">
        <v>80</v>
      </c>
      <c r="I118" s="2"/>
      <c r="J118" s="2"/>
      <c r="K118" s="2"/>
      <c r="O118" s="58"/>
      <c r="P118" s="58"/>
    </row>
    <row r="119" spans="1:16">
      <c r="A119"/>
      <c r="B119" s="534"/>
      <c r="C119" s="563">
        <v>2.62</v>
      </c>
      <c r="D119" s="40"/>
      <c r="E119" s="40">
        <f>(C119*D119)-C119</f>
        <v>-2.62</v>
      </c>
      <c r="F119" s="48">
        <f>SUM($E$2:E119)/SUM($C$2:C119)</f>
        <v>-1.5474098983468576E-2</v>
      </c>
      <c r="G119" s="40">
        <f>G118+E119</f>
        <v>-6.0280900000000219</v>
      </c>
      <c r="H119" s="564" t="s">
        <v>81</v>
      </c>
      <c r="I119" s="2">
        <f>SUM(E110:E119)</f>
        <v>-12.50788</v>
      </c>
      <c r="L119" s="2">
        <f>I119/C119</f>
        <v>-4.774</v>
      </c>
      <c r="O119" s="58"/>
      <c r="P119" s="58"/>
    </row>
    <row r="120" spans="1:16">
      <c r="A120"/>
      <c r="B120" s="530">
        <v>45981</v>
      </c>
      <c r="C120" s="572">
        <v>5.78</v>
      </c>
      <c r="D120" s="97"/>
      <c r="E120" s="97">
        <f>(C120*D120)-C120</f>
        <v>-5.78</v>
      </c>
      <c r="F120" s="96">
        <f>SUM($E$2:E120)/SUM($C$2:C120)</f>
        <v>-2.9868189406586775E-2</v>
      </c>
      <c r="G120" s="97">
        <f t="shared" ref="G120:G183" si="0">G119+E120</f>
        <v>-11.808090000000021</v>
      </c>
      <c r="H120" s="364" t="s">
        <v>18</v>
      </c>
      <c r="I120" s="2"/>
      <c r="J120" s="2"/>
      <c r="K120" s="2"/>
      <c r="O120" s="58"/>
      <c r="P120" s="58"/>
    </row>
    <row r="121" spans="1:16">
      <c r="A121"/>
      <c r="B121" s="573"/>
      <c r="C121" s="574">
        <v>5.78</v>
      </c>
      <c r="D121" s="38">
        <v>1.9</v>
      </c>
      <c r="E121" s="38">
        <f>(C121*D121)-C121</f>
        <v>5.2019999999999991</v>
      </c>
      <c r="F121" s="59">
        <f>SUM($E$2:E121)/SUM($C$2:C121)</f>
        <v>-1.6469111487834111E-2</v>
      </c>
      <c r="G121" s="38">
        <f t="shared" si="0"/>
        <v>-6.6060900000000222</v>
      </c>
      <c r="H121" s="568" t="s">
        <v>14</v>
      </c>
      <c r="I121" s="2"/>
      <c r="J121" s="2"/>
      <c r="K121" s="2"/>
      <c r="O121" s="58"/>
      <c r="P121" s="58"/>
    </row>
    <row r="122" spans="1:16">
      <c r="A122"/>
      <c r="B122" s="573"/>
      <c r="C122" s="575">
        <v>5.78</v>
      </c>
      <c r="D122" s="552">
        <v>1.9</v>
      </c>
      <c r="E122" s="552">
        <f>(C122*D122)-C122</f>
        <v>5.2019999999999991</v>
      </c>
      <c r="F122" s="555">
        <f>SUM($E$2:E122)/SUM($C$2:C122)</f>
        <v>-3.4507004177931253E-3</v>
      </c>
      <c r="G122" s="552">
        <f t="shared" si="0"/>
        <v>-1.4040900000000232</v>
      </c>
      <c r="H122" s="365" t="s">
        <v>26</v>
      </c>
      <c r="I122" s="2"/>
      <c r="J122" s="2"/>
      <c r="K122" s="2"/>
      <c r="O122" s="58"/>
      <c r="P122" s="58"/>
    </row>
    <row r="123" spans="1:16">
      <c r="A123"/>
      <c r="B123" s="573"/>
      <c r="C123" s="576">
        <v>5.78</v>
      </c>
      <c r="D123" s="37">
        <v>1.9</v>
      </c>
      <c r="E123" s="37">
        <f>(C123*D123)-C123</f>
        <v>5.2019999999999991</v>
      </c>
      <c r="F123" s="47">
        <f>SUM($E$2:E123)/SUM($C$2:C123)</f>
        <v>9.2030386740330882E-3</v>
      </c>
      <c r="G123" s="37">
        <f t="shared" si="0"/>
        <v>3.7979099999999759</v>
      </c>
      <c r="H123" s="564" t="s">
        <v>34</v>
      </c>
      <c r="I123" s="2"/>
      <c r="J123" s="2"/>
      <c r="K123" s="2"/>
      <c r="O123" s="58"/>
      <c r="P123" s="58"/>
    </row>
    <row r="124" spans="1:16">
      <c r="A124"/>
      <c r="B124" s="573"/>
      <c r="C124" s="577">
        <v>5.78</v>
      </c>
      <c r="D124" s="40">
        <v>1.9</v>
      </c>
      <c r="E124" s="40">
        <f>(C124*D124)-C124</f>
        <v>5.2019999999999991</v>
      </c>
      <c r="F124" s="48">
        <f>SUM($E$2:E124)/SUM($C$2:C124)</f>
        <v>2.1507216938297501E-2</v>
      </c>
      <c r="G124" s="40">
        <f t="shared" si="0"/>
        <v>8.999909999999975</v>
      </c>
      <c r="H124" s="564" t="s">
        <v>12</v>
      </c>
      <c r="I124" s="2"/>
      <c r="J124" s="2"/>
      <c r="K124" s="2"/>
      <c r="O124" s="58"/>
      <c r="P124" s="58"/>
    </row>
    <row r="125" spans="1:16">
      <c r="A125"/>
      <c r="B125" s="573"/>
      <c r="C125" s="572">
        <v>5.78</v>
      </c>
      <c r="D125" s="97">
        <v>1.605</v>
      </c>
      <c r="E125" s="97">
        <f>(C125*D125)-C125</f>
        <v>3.4968999999999992</v>
      </c>
      <c r="F125" s="96">
        <f>SUM($E$2:E125)/SUM($C$2:C125)</f>
        <v>2.9456934753912815E-2</v>
      </c>
      <c r="G125" s="97">
        <f t="shared" si="0"/>
        <v>12.496809999999975</v>
      </c>
      <c r="H125" s="364" t="s">
        <v>82</v>
      </c>
      <c r="I125" s="2"/>
      <c r="J125" s="2"/>
      <c r="K125" s="2"/>
      <c r="O125" s="58"/>
      <c r="P125" s="58"/>
    </row>
    <row r="126" spans="1:16">
      <c r="A126"/>
      <c r="B126" s="573"/>
      <c r="C126" s="576">
        <v>5.78</v>
      </c>
      <c r="D126" s="37">
        <v>1.6060000000000001</v>
      </c>
      <c r="E126" s="37">
        <f>(C126*D126)-C126</f>
        <v>3.5026800000000007</v>
      </c>
      <c r="F126" s="47">
        <f>SUM($E$2:E126)/SUM($C$2:C126)</f>
        <v>3.7206385749499964E-2</v>
      </c>
      <c r="G126" s="37">
        <f t="shared" si="0"/>
        <v>15.999489999999977</v>
      </c>
      <c r="H126" s="564" t="s">
        <v>83</v>
      </c>
      <c r="I126" s="2"/>
      <c r="J126" s="2"/>
      <c r="K126" s="2"/>
      <c r="O126" s="58"/>
      <c r="P126" s="58"/>
    </row>
    <row r="127" spans="1:16">
      <c r="A127"/>
      <c r="B127" s="573"/>
      <c r="C127" s="576">
        <v>5.78</v>
      </c>
      <c r="D127" s="37">
        <v>1.6060000000000001</v>
      </c>
      <c r="E127" s="37">
        <f>(C127*D127)-C127</f>
        <v>3.5026800000000007</v>
      </c>
      <c r="F127" s="47">
        <f>SUM($E$2:E127)/SUM($C$2:C127)</f>
        <v>4.4750275355667689E-2</v>
      </c>
      <c r="G127" s="37">
        <f t="shared" si="0"/>
        <v>19.502169999999978</v>
      </c>
      <c r="H127" s="578" t="s">
        <v>84</v>
      </c>
      <c r="I127" s="2"/>
      <c r="J127" s="2"/>
      <c r="K127" s="2"/>
      <c r="O127" s="58"/>
      <c r="P127" s="58"/>
    </row>
    <row r="128" spans="1:16">
      <c r="A128"/>
      <c r="B128" s="531"/>
      <c r="C128" s="579">
        <v>5.78</v>
      </c>
      <c r="D128" s="554">
        <v>1.6060000000000001</v>
      </c>
      <c r="E128" s="554">
        <f>(C128*D128)-C128</f>
        <v>3.5026800000000007</v>
      </c>
      <c r="F128" s="562">
        <f>SUM($E$2:E128)/SUM($C$2:C128)</f>
        <v>5.2096675574074866E-2</v>
      </c>
      <c r="G128" s="554">
        <f t="shared" si="0"/>
        <v>23.00484999999998</v>
      </c>
      <c r="H128" s="365" t="s">
        <v>85</v>
      </c>
      <c r="I128" s="2">
        <f>SUM(E120:E128)</f>
        <v>29.03294</v>
      </c>
      <c r="L128" s="2">
        <f>I128/C128</f>
        <v>5.0229999999999997</v>
      </c>
      <c r="O128" s="58"/>
      <c r="P128" s="58"/>
    </row>
    <row r="129" spans="1:16">
      <c r="A129"/>
      <c r="B129" s="518">
        <v>45982</v>
      </c>
      <c r="C129" s="572">
        <v>3.01</v>
      </c>
      <c r="D129" s="97"/>
      <c r="E129" s="97">
        <f>(C129*D129)-C129</f>
        <v>-3.01</v>
      </c>
      <c r="F129" s="96">
        <f>SUM($E$2:E129)/SUM($C$2:C129)</f>
        <v>4.4973683618614854E-2</v>
      </c>
      <c r="G129" s="97">
        <f t="shared" si="0"/>
        <v>19.994849999999978</v>
      </c>
      <c r="H129" s="364" t="s">
        <v>60</v>
      </c>
      <c r="I129" s="2"/>
      <c r="J129" s="2"/>
      <c r="K129" s="2"/>
      <c r="O129" s="58"/>
      <c r="P129" s="58"/>
    </row>
    <row r="130" spans="1:16">
      <c r="A130"/>
      <c r="B130" s="479"/>
      <c r="C130" s="576">
        <v>3.01</v>
      </c>
      <c r="D130" s="37">
        <v>1.9</v>
      </c>
      <c r="E130" s="37">
        <f>(C130*D130)-C130</f>
        <v>2.7089999999999996</v>
      </c>
      <c r="F130" s="47">
        <f>SUM($E$2:E130)/SUM($C$2:C130)</f>
        <v>5.0723525469168855E-2</v>
      </c>
      <c r="G130" s="37">
        <f t="shared" si="0"/>
        <v>22.703849999999978</v>
      </c>
      <c r="H130" s="564" t="s">
        <v>28</v>
      </c>
      <c r="I130" s="2"/>
      <c r="J130" s="2"/>
      <c r="K130" s="2"/>
      <c r="O130" s="58"/>
      <c r="P130" s="58"/>
    </row>
    <row r="131" spans="1:16">
      <c r="A131"/>
      <c r="B131" s="479"/>
      <c r="C131" s="576">
        <v>3.01</v>
      </c>
      <c r="D131" s="37"/>
      <c r="E131" s="37">
        <f>(C131*D131)-C131</f>
        <v>-3.01</v>
      </c>
      <c r="F131" s="47">
        <f>SUM($E$2:E131)/SUM($C$2:C131)</f>
        <v>4.370486673620199E-2</v>
      </c>
      <c r="G131" s="37">
        <f t="shared" si="0"/>
        <v>19.693849999999976</v>
      </c>
      <c r="H131" s="564" t="s">
        <v>59</v>
      </c>
      <c r="I131" s="2"/>
      <c r="J131" s="2"/>
      <c r="K131" s="2"/>
      <c r="O131" s="58"/>
      <c r="P131" s="58"/>
    </row>
    <row r="132" spans="1:16">
      <c r="A132"/>
      <c r="B132" s="479"/>
      <c r="C132" s="576">
        <v>3.01</v>
      </c>
      <c r="D132" s="37">
        <v>1.798</v>
      </c>
      <c r="E132" s="37">
        <f>(C132*D132)-C132</f>
        <v>2.40198</v>
      </c>
      <c r="F132" s="47">
        <f>SUM($E$2:E132)/SUM($C$2:C132)</f>
        <v>4.8709999559102289E-2</v>
      </c>
      <c r="G132" s="37">
        <f t="shared" si="0"/>
        <v>22.095829999999978</v>
      </c>
      <c r="H132" s="578" t="s">
        <v>30</v>
      </c>
      <c r="I132" s="2"/>
      <c r="J132" s="2"/>
      <c r="K132" s="2"/>
      <c r="O132" s="58"/>
      <c r="P132" s="58"/>
    </row>
    <row r="133" spans="1:16">
      <c r="A133"/>
      <c r="B133" s="479"/>
      <c r="C133" s="580">
        <v>3.01</v>
      </c>
      <c r="D133" s="581">
        <v>1.8</v>
      </c>
      <c r="E133" s="581">
        <f>(C133*D133)-C133</f>
        <v>2.4080000000000004</v>
      </c>
      <c r="F133" s="582">
        <f>SUM($E$2:E133)/SUM($C$2:C133)</f>
        <v>5.3662330552088085E-2</v>
      </c>
      <c r="G133" s="581">
        <f t="shared" si="0"/>
        <v>24.503829999999979</v>
      </c>
      <c r="H133" s="373" t="s">
        <v>52</v>
      </c>
      <c r="I133" s="2"/>
      <c r="J133" s="2"/>
      <c r="K133" s="2"/>
      <c r="O133" s="58"/>
      <c r="P133" s="58"/>
    </row>
    <row r="134" spans="1:16">
      <c r="A134"/>
      <c r="B134" s="477"/>
      <c r="C134" s="575">
        <v>3.01</v>
      </c>
      <c r="D134" s="552"/>
      <c r="E134" s="552">
        <f>(C134*D134)-C134</f>
        <v>-3.01</v>
      </c>
      <c r="F134" s="555">
        <f>SUM($E$2:E134)/SUM($C$2:C134)</f>
        <v>4.6762313984857681E-2</v>
      </c>
      <c r="G134" s="552">
        <f t="shared" si="0"/>
        <v>21.493829999999981</v>
      </c>
      <c r="H134" s="365" t="s">
        <v>37</v>
      </c>
      <c r="I134" s="2"/>
      <c r="J134" s="2"/>
      <c r="K134" s="2"/>
      <c r="O134" s="58"/>
      <c r="P134" s="58"/>
    </row>
    <row r="135" spans="1:16">
      <c r="A135"/>
      <c r="B135" s="477"/>
      <c r="C135" s="576">
        <v>3.01</v>
      </c>
      <c r="D135" s="37"/>
      <c r="E135" s="37">
        <f>(C135*D135)-C135</f>
        <v>-3.01</v>
      </c>
      <c r="F135" s="47">
        <f>SUM($E$2:E135)/SUM($C$2:C135)</f>
        <v>3.9952080406354666E-2</v>
      </c>
      <c r="G135" s="37">
        <f t="shared" si="0"/>
        <v>18.483829999999983</v>
      </c>
      <c r="H135" s="564" t="s">
        <v>36</v>
      </c>
      <c r="I135" s="2"/>
      <c r="J135" s="2"/>
      <c r="K135" s="2"/>
      <c r="O135" s="58"/>
      <c r="P135" s="58"/>
    </row>
    <row r="136" spans="1:16">
      <c r="A136"/>
      <c r="B136" s="477"/>
      <c r="C136" s="574">
        <v>3.01</v>
      </c>
      <c r="D136" s="38">
        <v>1.9</v>
      </c>
      <c r="E136" s="38">
        <f>(C136*D136)-C136</f>
        <v>2.7089999999999996</v>
      </c>
      <c r="F136" s="59">
        <f>SUM($E$2:E136)/SUM($C$2:C136)</f>
        <v>4.551138169479875E-2</v>
      </c>
      <c r="G136" s="38">
        <f t="shared" si="0"/>
        <v>21.192829999999983</v>
      </c>
      <c r="H136" s="568" t="s">
        <v>27</v>
      </c>
      <c r="I136" s="2"/>
      <c r="J136" s="2"/>
      <c r="K136" s="2"/>
      <c r="O136" s="58"/>
      <c r="P136" s="58"/>
    </row>
    <row r="137" spans="1:16">
      <c r="A137"/>
      <c r="B137" s="477"/>
      <c r="C137" s="575">
        <v>3.01</v>
      </c>
      <c r="D137" s="552"/>
      <c r="E137" s="552">
        <f>(C137*D137)-C137</f>
        <v>-3.01</v>
      </c>
      <c r="F137" s="555">
        <f>SUM($E$2:E137)/SUM($C$2:C137)</f>
        <v>3.8796658629739446E-2</v>
      </c>
      <c r="G137" s="552">
        <f t="shared" si="0"/>
        <v>18.182829999999981</v>
      </c>
      <c r="H137" s="365" t="s">
        <v>86</v>
      </c>
      <c r="I137" s="2"/>
      <c r="J137" s="2"/>
      <c r="K137" s="2"/>
      <c r="O137" s="58"/>
      <c r="P137" s="58"/>
    </row>
    <row r="138" spans="1:16">
      <c r="A138"/>
      <c r="B138" s="477"/>
      <c r="C138" s="576">
        <v>3.01</v>
      </c>
      <c r="D138" s="37"/>
      <c r="E138" s="37">
        <f>(C138*D138)-C138</f>
        <v>-3.01</v>
      </c>
      <c r="F138" s="47">
        <f>SUM($E$2:E138)/SUM($C$2:C138)</f>
        <v>3.2167634837177717E-2</v>
      </c>
      <c r="G138" s="37">
        <f t="shared" si="0"/>
        <v>15.172829999999982</v>
      </c>
      <c r="H138" s="578" t="s">
        <v>87</v>
      </c>
      <c r="I138" s="2"/>
      <c r="J138" s="2"/>
      <c r="K138" s="2"/>
      <c r="O138" s="58"/>
      <c r="P138" s="58"/>
    </row>
    <row r="139" spans="1:16">
      <c r="A139"/>
      <c r="B139" s="477"/>
      <c r="C139" s="579">
        <v>3.01</v>
      </c>
      <c r="D139" s="554">
        <v>1.6060000000000001</v>
      </c>
      <c r="E139" s="554">
        <f>(C139*D139)-C139</f>
        <v>1.8240600000000002</v>
      </c>
      <c r="F139" s="562">
        <f>SUM($E$2:E139)/SUM($C$2:C139)</f>
        <v>3.5806294634392943E-2</v>
      </c>
      <c r="G139" s="554">
        <f t="shared" si="0"/>
        <v>16.996889999999983</v>
      </c>
      <c r="H139" s="365" t="s">
        <v>88</v>
      </c>
      <c r="I139" s="2">
        <f>SUM(E129:E139)</f>
        <v>-6.0079599999999989</v>
      </c>
      <c r="L139" s="2">
        <f>I139/C139</f>
        <v>-1.9959999999999998</v>
      </c>
      <c r="O139" s="58"/>
      <c r="P139" s="58"/>
    </row>
    <row r="140" spans="1:16">
      <c r="A140"/>
      <c r="B140" s="476">
        <v>45983</v>
      </c>
      <c r="C140" s="565">
        <v>3.41</v>
      </c>
      <c r="D140" s="97">
        <v>1.9</v>
      </c>
      <c r="E140" s="97">
        <f>(C140*D140)-C140</f>
        <v>3.069</v>
      </c>
      <c r="F140" s="96">
        <f>SUM($E$2:E140)/SUM($C$2:C140)</f>
        <v>4.1970069023216872E-2</v>
      </c>
      <c r="G140" s="97">
        <f t="shared" si="0"/>
        <v>20.065889999999982</v>
      </c>
      <c r="H140" s="364" t="s">
        <v>18</v>
      </c>
      <c r="I140" s="2"/>
      <c r="J140" s="2"/>
      <c r="K140" s="2"/>
      <c r="O140" s="58"/>
      <c r="P140" s="58"/>
    </row>
    <row r="141" spans="1:16">
      <c r="A141"/>
      <c r="B141" s="477"/>
      <c r="C141" s="563">
        <v>3.41</v>
      </c>
      <c r="D141" s="40">
        <v>1.91</v>
      </c>
      <c r="E141" s="40">
        <f>(C141*D141)-C141</f>
        <v>3.1030999999999995</v>
      </c>
      <c r="F141" s="48">
        <f>SUM($E$2:E141)/SUM($C$2:C141)</f>
        <v>4.811735997175548E-2</v>
      </c>
      <c r="G141" s="40">
        <f t="shared" si="0"/>
        <v>23.16898999999998</v>
      </c>
      <c r="H141" s="564" t="s">
        <v>11</v>
      </c>
      <c r="I141" s="2"/>
      <c r="J141" s="2"/>
      <c r="K141" s="2"/>
      <c r="O141" s="58"/>
      <c r="P141" s="58"/>
    </row>
    <row r="142" spans="1:16">
      <c r="A142"/>
      <c r="B142" s="477"/>
      <c r="C142" s="565">
        <v>3.41</v>
      </c>
      <c r="D142" s="97">
        <v>1.9</v>
      </c>
      <c r="E142" s="97">
        <f>(C142*D142)-C142</f>
        <v>3.069</v>
      </c>
      <c r="F142" s="96">
        <f>SUM($E$2:E142)/SUM($C$2:C142)</f>
        <v>5.4107873463664073E-2</v>
      </c>
      <c r="G142" s="97">
        <f t="shared" si="0"/>
        <v>26.237989999999979</v>
      </c>
      <c r="H142" s="364" t="s">
        <v>15</v>
      </c>
      <c r="I142" s="2"/>
      <c r="J142" s="2"/>
      <c r="K142" s="2"/>
      <c r="O142" s="58"/>
      <c r="P142" s="58"/>
    </row>
    <row r="143" spans="1:16">
      <c r="A143"/>
      <c r="B143" s="477"/>
      <c r="C143" s="566">
        <v>3.41</v>
      </c>
      <c r="D143" s="37"/>
      <c r="E143" s="37">
        <f>(C143*D143)-C143</f>
        <v>-3.41</v>
      </c>
      <c r="F143" s="47">
        <f>SUM($E$2:E143)/SUM($C$2:C143)</f>
        <v>4.6747056293899573E-2</v>
      </c>
      <c r="G143" s="37">
        <f t="shared" si="0"/>
        <v>22.827989999999978</v>
      </c>
      <c r="H143" s="564" t="s">
        <v>13</v>
      </c>
      <c r="I143" s="2"/>
      <c r="J143" s="2"/>
      <c r="K143" s="2"/>
      <c r="O143" s="58"/>
      <c r="P143" s="58"/>
    </row>
    <row r="144" spans="1:16">
      <c r="A144"/>
      <c r="B144" s="477"/>
      <c r="C144" s="566">
        <v>3.41</v>
      </c>
      <c r="D144" s="37">
        <v>1.8</v>
      </c>
      <c r="E144" s="37">
        <f>(C144*D144)-C144</f>
        <v>2.7280000000000006</v>
      </c>
      <c r="F144" s="47">
        <f>SUM($E$2:E144)/SUM($C$2:C144)</f>
        <v>5.1970533208606132E-2</v>
      </c>
      <c r="G144" s="37">
        <f t="shared" si="0"/>
        <v>25.55598999999998</v>
      </c>
      <c r="H144" s="564" t="s">
        <v>34</v>
      </c>
      <c r="I144" s="2"/>
      <c r="J144" s="2"/>
      <c r="K144" s="2"/>
      <c r="O144" s="58"/>
      <c r="P144" s="58"/>
    </row>
    <row r="145" spans="1:16">
      <c r="A145"/>
      <c r="B145" s="477"/>
      <c r="C145" s="563">
        <v>3.41</v>
      </c>
      <c r="D145" s="40"/>
      <c r="E145" s="40">
        <f>(C145*D145)-C145</f>
        <v>-3.41</v>
      </c>
      <c r="F145" s="48">
        <f>SUM($E$2:E145)/SUM($C$2:C145)</f>
        <v>4.4725820458446891E-2</v>
      </c>
      <c r="G145" s="40">
        <f t="shared" si="0"/>
        <v>22.14598999999998</v>
      </c>
      <c r="H145" s="564" t="s">
        <v>17</v>
      </c>
      <c r="I145" s="2"/>
      <c r="J145" s="2"/>
      <c r="K145" s="2"/>
      <c r="O145" s="58"/>
      <c r="P145" s="58"/>
    </row>
    <row r="146" spans="1:16">
      <c r="A146"/>
      <c r="B146" s="477"/>
      <c r="C146" s="565">
        <v>3.41</v>
      </c>
      <c r="D146" s="97">
        <v>1.625</v>
      </c>
      <c r="E146" s="97">
        <f>(C146*D146)-C146</f>
        <v>2.1312499999999996</v>
      </c>
      <c r="F146" s="96">
        <f>SUM($E$2:E146)/SUM($C$2:C146)</f>
        <v>4.869472079589212E-2</v>
      </c>
      <c r="G146" s="97">
        <f t="shared" si="0"/>
        <v>24.277239999999978</v>
      </c>
      <c r="H146" s="364" t="s">
        <v>89</v>
      </c>
      <c r="I146" s="2"/>
      <c r="J146" s="2"/>
      <c r="K146" s="2"/>
      <c r="O146" s="58"/>
      <c r="P146" s="58"/>
    </row>
    <row r="147" spans="1:16">
      <c r="A147"/>
      <c r="B147" s="477"/>
      <c r="C147" s="566">
        <v>3.41</v>
      </c>
      <c r="D147" s="37"/>
      <c r="E147" s="37">
        <f>(C147*D147)-C147</f>
        <v>-3.41</v>
      </c>
      <c r="F147" s="47">
        <f>SUM($E$2:E147)/SUM($C$2:C147)</f>
        <v>4.157069147558614E-2</v>
      </c>
      <c r="G147" s="37">
        <f t="shared" si="0"/>
        <v>20.867239999999978</v>
      </c>
      <c r="H147" s="564" t="s">
        <v>90</v>
      </c>
      <c r="I147" s="2"/>
      <c r="J147" s="2"/>
      <c r="K147" s="2"/>
      <c r="O147" s="58"/>
      <c r="P147" s="58"/>
    </row>
    <row r="148" spans="1:16">
      <c r="A148"/>
      <c r="B148" s="477"/>
      <c r="C148" s="566">
        <v>3.41</v>
      </c>
      <c r="D148" s="37">
        <v>1.7</v>
      </c>
      <c r="E148" s="37">
        <f>(C148*D148)-C148</f>
        <v>2.3869999999999996</v>
      </c>
      <c r="F148" s="47">
        <f>SUM($E$2:E148)/SUM($C$2:C148)</f>
        <v>4.601337607344963E-2</v>
      </c>
      <c r="G148" s="37">
        <f t="shared" si="0"/>
        <v>23.254239999999978</v>
      </c>
      <c r="H148" s="578" t="s">
        <v>91</v>
      </c>
      <c r="I148" s="2"/>
      <c r="J148" s="2"/>
      <c r="K148" s="2"/>
      <c r="O148" s="58"/>
      <c r="P148" s="58"/>
    </row>
    <row r="149" spans="1:16">
      <c r="A149"/>
      <c r="B149" s="477"/>
      <c r="C149" s="583">
        <v>3.41</v>
      </c>
      <c r="D149" s="581"/>
      <c r="E149" s="581">
        <f>(C149*D149)-C149</f>
        <v>-3.41</v>
      </c>
      <c r="F149" s="582">
        <f>SUM($E$2:E149)/SUM($C$2:C149)</f>
        <v>3.9002810589830718E-2</v>
      </c>
      <c r="G149" s="581">
        <f t="shared" si="0"/>
        <v>19.844239999999978</v>
      </c>
      <c r="H149" s="373" t="s">
        <v>92</v>
      </c>
      <c r="I149" s="2">
        <f>SUM(E140:E149)</f>
        <v>2.8473499999999996</v>
      </c>
      <c r="L149" s="2">
        <f>I149/C149</f>
        <v>0.83499999999999985</v>
      </c>
      <c r="O149" s="58"/>
      <c r="P149" s="58"/>
    </row>
    <row r="150" spans="1:16">
      <c r="A150"/>
      <c r="B150" s="476">
        <v>45984</v>
      </c>
      <c r="C150" s="571">
        <v>3</v>
      </c>
      <c r="D150" s="552"/>
      <c r="E150" s="552">
        <f>(C150*D150)-C150</f>
        <v>-3</v>
      </c>
      <c r="F150" s="555">
        <f>SUM($E$2:E150)/SUM($C$2:C150)</f>
        <v>3.2912405478809616E-2</v>
      </c>
      <c r="G150" s="552">
        <f t="shared" si="0"/>
        <v>16.844239999999978</v>
      </c>
      <c r="H150" s="365" t="s">
        <v>15</v>
      </c>
      <c r="I150" s="2"/>
      <c r="J150" s="2"/>
      <c r="K150" s="2"/>
      <c r="O150" s="58"/>
      <c r="P150" s="58"/>
    </row>
    <row r="151" spans="1:16">
      <c r="A151"/>
      <c r="B151" s="477"/>
      <c r="C151" s="566">
        <v>3</v>
      </c>
      <c r="D151" s="37"/>
      <c r="E151" s="37">
        <f>(C151*D151)-C151</f>
        <v>-3</v>
      </c>
      <c r="F151" s="47">
        <f>SUM($E$2:E151)/SUM($C$2:C151)</f>
        <v>2.6892985489228565E-2</v>
      </c>
      <c r="G151" s="37">
        <f t="shared" si="0"/>
        <v>13.844239999999978</v>
      </c>
      <c r="H151" s="564" t="s">
        <v>18</v>
      </c>
      <c r="I151" s="2"/>
      <c r="J151" s="2"/>
      <c r="K151" s="2"/>
      <c r="O151" s="58"/>
      <c r="P151" s="58"/>
    </row>
    <row r="152" spans="1:16">
      <c r="A152"/>
      <c r="B152" s="477"/>
      <c r="C152" s="567">
        <v>3</v>
      </c>
      <c r="D152" s="38"/>
      <c r="E152" s="38">
        <f>(C152*D152)-C152</f>
        <v>-3</v>
      </c>
      <c r="F152" s="59">
        <f>SUM($E$2:E152)/SUM($C$2:C152)</f>
        <v>2.0943316788659443E-2</v>
      </c>
      <c r="G152" s="38">
        <f t="shared" si="0"/>
        <v>10.844239999999978</v>
      </c>
      <c r="H152" s="568" t="s">
        <v>52</v>
      </c>
      <c r="I152" s="2"/>
      <c r="J152" s="2"/>
      <c r="K152" s="2"/>
      <c r="O152" s="58"/>
      <c r="P152" s="58"/>
    </row>
    <row r="153" spans="1:16">
      <c r="A153"/>
      <c r="B153" s="477"/>
      <c r="C153" s="565">
        <v>3</v>
      </c>
      <c r="D153" s="97"/>
      <c r="E153" s="97">
        <f>(C153*D153)-C153</f>
        <v>-3</v>
      </c>
      <c r="F153" s="96">
        <f>SUM($E$2:E153)/SUM($C$2:C153)</f>
        <v>1.5062193974538634E-2</v>
      </c>
      <c r="G153" s="97">
        <f t="shared" si="0"/>
        <v>7.8442399999999779</v>
      </c>
      <c r="H153" s="364" t="s">
        <v>51</v>
      </c>
      <c r="I153" s="2"/>
      <c r="J153" s="2"/>
      <c r="K153" s="2"/>
      <c r="O153" s="58"/>
      <c r="P153" s="58"/>
    </row>
    <row r="154" spans="1:16">
      <c r="A154"/>
      <c r="B154" s="477"/>
      <c r="C154" s="566">
        <v>3</v>
      </c>
      <c r="D154" s="37"/>
      <c r="E154" s="37">
        <f>(C154*D154)-C154</f>
        <v>-3</v>
      </c>
      <c r="F154" s="47">
        <f>SUM($E$2:E154)/SUM($C$2:C154)</f>
        <v>9.2484392600087374E-3</v>
      </c>
      <c r="G154" s="37">
        <f t="shared" si="0"/>
        <v>4.8442399999999779</v>
      </c>
      <c r="H154" s="564" t="s">
        <v>14</v>
      </c>
      <c r="I154" s="2"/>
      <c r="J154" s="2"/>
      <c r="K154" s="2"/>
      <c r="O154" s="58"/>
      <c r="P154" s="58"/>
    </row>
    <row r="155" spans="1:16">
      <c r="A155"/>
      <c r="B155" s="477"/>
      <c r="C155" s="566">
        <v>3</v>
      </c>
      <c r="D155" s="37">
        <v>1.9</v>
      </c>
      <c r="E155" s="37">
        <f>(C155*D155)-C155</f>
        <v>2.6999999999999993</v>
      </c>
      <c r="F155" s="47">
        <f>SUM($E$2:E155)/SUM($C$2:C155)</f>
        <v>1.4321152641469987E-2</v>
      </c>
      <c r="G155" s="37">
        <f t="shared" si="0"/>
        <v>7.5442399999999772</v>
      </c>
      <c r="H155" s="564" t="s">
        <v>37</v>
      </c>
      <c r="I155" s="2"/>
      <c r="J155" s="2"/>
      <c r="K155" s="2"/>
      <c r="O155" s="58"/>
      <c r="P155" s="58"/>
    </row>
    <row r="156" spans="1:16">
      <c r="A156"/>
      <c r="B156" s="477"/>
      <c r="C156" s="566">
        <v>3</v>
      </c>
      <c r="D156" s="37">
        <v>1.9</v>
      </c>
      <c r="E156" s="37">
        <f>(C156*D156)-C156</f>
        <v>2.6999999999999993</v>
      </c>
      <c r="F156" s="47">
        <f>SUM($E$2:E156)/SUM($C$2:C156)</f>
        <v>1.9336416315898702E-2</v>
      </c>
      <c r="G156" s="37">
        <f t="shared" si="0"/>
        <v>10.244239999999976</v>
      </c>
      <c r="H156" s="564" t="s">
        <v>46</v>
      </c>
      <c r="I156" s="2"/>
      <c r="J156" s="2"/>
      <c r="K156" s="2"/>
      <c r="O156" s="58"/>
      <c r="P156" s="58"/>
    </row>
    <row r="157" spans="1:16">
      <c r="A157"/>
      <c r="B157" s="477"/>
      <c r="C157" s="566">
        <v>3</v>
      </c>
      <c r="D157" s="37"/>
      <c r="E157" s="37">
        <f>(C157*D157)-C157</f>
        <v>-3</v>
      </c>
      <c r="F157" s="47">
        <f>SUM($E$2:E157)/SUM($C$2:C157)</f>
        <v>1.3596801741774384E-2</v>
      </c>
      <c r="G157" s="37">
        <f t="shared" si="0"/>
        <v>7.2442399999999765</v>
      </c>
      <c r="H157" s="564" t="s">
        <v>36</v>
      </c>
      <c r="I157" s="2"/>
      <c r="J157" s="2"/>
      <c r="K157" s="2"/>
      <c r="O157" s="58"/>
      <c r="P157" s="58"/>
    </row>
    <row r="158" spans="1:16">
      <c r="A158"/>
      <c r="B158" s="477"/>
      <c r="C158" s="563">
        <v>3</v>
      </c>
      <c r="D158" s="40"/>
      <c r="E158" s="40">
        <f>(C158*D158)-C158</f>
        <v>-3</v>
      </c>
      <c r="F158" s="48">
        <f>SUM($E$2:E158)/SUM($C$2:C158)</f>
        <v>7.9214617667369217E-3</v>
      </c>
      <c r="G158" s="40">
        <f t="shared" si="0"/>
        <v>4.2442399999999765</v>
      </c>
      <c r="H158" s="564" t="s">
        <v>47</v>
      </c>
      <c r="I158" s="2"/>
      <c r="J158" s="2"/>
      <c r="K158" s="2"/>
      <c r="O158" s="58"/>
      <c r="P158" s="58"/>
    </row>
    <row r="159" spans="1:16">
      <c r="A159"/>
      <c r="B159" s="479"/>
      <c r="C159" s="572">
        <v>3</v>
      </c>
      <c r="D159" s="97"/>
      <c r="E159" s="97">
        <f>(C159*D159)-C159</f>
        <v>-3</v>
      </c>
      <c r="F159" s="96">
        <f>SUM($E$2:E159)/SUM($C$2:C159)</f>
        <v>2.3093227416989479E-3</v>
      </c>
      <c r="G159" s="97">
        <f t="shared" si="0"/>
        <v>1.2442399999999765</v>
      </c>
      <c r="H159" s="364" t="s">
        <v>93</v>
      </c>
      <c r="I159" s="2"/>
      <c r="J159" s="2"/>
      <c r="K159" s="2"/>
      <c r="O159" s="58"/>
      <c r="P159" s="58"/>
    </row>
    <row r="160" spans="1:16">
      <c r="A160"/>
      <c r="B160" s="479"/>
      <c r="C160" s="576">
        <v>3</v>
      </c>
      <c r="D160" s="37"/>
      <c r="E160" s="37">
        <f>(C160*D160)-C160</f>
        <v>-3</v>
      </c>
      <c r="F160" s="47">
        <f>SUM($E$2:E160)/SUM($C$2:C160)</f>
        <v>-3.2406652023847303E-3</v>
      </c>
      <c r="G160" s="37">
        <f t="shared" si="0"/>
        <v>-1.7557600000000235</v>
      </c>
      <c r="H160" s="564" t="s">
        <v>94</v>
      </c>
      <c r="I160" s="2"/>
      <c r="J160" s="2"/>
      <c r="K160" s="2"/>
      <c r="O160" s="58"/>
      <c r="P160" s="58"/>
    </row>
    <row r="161" spans="1:16">
      <c r="A161"/>
      <c r="B161" s="479"/>
      <c r="C161" s="576">
        <v>3</v>
      </c>
      <c r="D161" s="37"/>
      <c r="E161" s="37">
        <f>(C161*D161)-C161</f>
        <v>-3</v>
      </c>
      <c r="F161" s="47">
        <f>SUM($E$2:E161)/SUM($C$2:C161)</f>
        <v>-8.7295288092659965E-3</v>
      </c>
      <c r="G161" s="37">
        <f t="shared" si="0"/>
        <v>-4.7557600000000235</v>
      </c>
      <c r="H161" s="564" t="s">
        <v>95</v>
      </c>
      <c r="I161" s="2"/>
      <c r="J161" s="2"/>
      <c r="K161" s="2"/>
      <c r="O161" s="58"/>
      <c r="P161" s="58"/>
    </row>
    <row r="162" spans="1:16">
      <c r="A162"/>
      <c r="B162" s="479"/>
      <c r="C162" s="577">
        <v>3</v>
      </c>
      <c r="D162" s="40"/>
      <c r="E162" s="40">
        <f>(C162*D162)-C162</f>
        <v>-3</v>
      </c>
      <c r="F162" s="48">
        <f>SUM($E$2:E162)/SUM($C$2:C162)</f>
        <v>-1.415827233063769E-2</v>
      </c>
      <c r="G162" s="40">
        <f t="shared" si="0"/>
        <v>-7.7557600000000235</v>
      </c>
      <c r="H162" s="564" t="s">
        <v>96</v>
      </c>
      <c r="I162" s="2">
        <f>SUM(E150:E162)</f>
        <v>-27.6</v>
      </c>
      <c r="J162" s="2">
        <f>SUM(E88:E162)</f>
        <v>-31.943870000000008</v>
      </c>
      <c r="L162" s="2">
        <f>I162/C162</f>
        <v>-9.2000000000000011</v>
      </c>
      <c r="O162" s="58"/>
      <c r="P162" s="58"/>
    </row>
    <row r="163" spans="1:16">
      <c r="A163"/>
      <c r="B163" s="518">
        <v>45985</v>
      </c>
      <c r="C163" s="572">
        <v>2.31</v>
      </c>
      <c r="D163" s="97"/>
      <c r="E163" s="97">
        <f>(C163*D163)-C163</f>
        <v>-2.31</v>
      </c>
      <c r="F163" s="96">
        <f>SUM($E$2:E163)/SUM($C$2:C163)</f>
        <v>-1.8298054899109292E-2</v>
      </c>
      <c r="G163" s="97">
        <f t="shared" si="0"/>
        <v>-10.065760000000024</v>
      </c>
      <c r="H163" s="364" t="s">
        <v>97</v>
      </c>
      <c r="I163" s="2"/>
      <c r="J163" s="2"/>
      <c r="K163" s="2"/>
      <c r="O163" s="58"/>
      <c r="P163" s="58"/>
    </row>
    <row r="164" spans="1:16">
      <c r="A164"/>
      <c r="B164" s="479"/>
      <c r="C164" s="574">
        <v>2.31</v>
      </c>
      <c r="D164" s="38">
        <v>1.9</v>
      </c>
      <c r="E164" s="38">
        <f>(C164*D164)-C164</f>
        <v>2.0790000000000002</v>
      </c>
      <c r="F164" s="59">
        <f>SUM($E$2:E164)/SUM($C$2:C164)</f>
        <v>-1.4458029362249094E-2</v>
      </c>
      <c r="G164" s="38">
        <f t="shared" si="0"/>
        <v>-7.9867600000000234</v>
      </c>
      <c r="H164" s="568" t="s">
        <v>47</v>
      </c>
      <c r="I164" s="2"/>
      <c r="J164" s="2"/>
      <c r="K164" s="2"/>
      <c r="O164" s="58"/>
      <c r="P164" s="58"/>
    </row>
    <row r="165" spans="1:16">
      <c r="A165"/>
      <c r="B165" s="479"/>
      <c r="C165" s="575">
        <v>2.31</v>
      </c>
      <c r="D165" s="552">
        <v>1.9</v>
      </c>
      <c r="E165" s="552">
        <f>(C165*D165)-C165</f>
        <v>2.0790000000000002</v>
      </c>
      <c r="F165" s="555">
        <f>SUM($E$2:E165)/SUM($C$2:C165)</f>
        <v>-1.0649985578309819E-2</v>
      </c>
      <c r="G165" s="552">
        <f t="shared" si="0"/>
        <v>-5.9077600000000228</v>
      </c>
      <c r="H165" s="584" t="s">
        <v>60</v>
      </c>
      <c r="I165" s="2"/>
      <c r="J165" s="2"/>
      <c r="K165" s="2"/>
      <c r="O165" s="58"/>
      <c r="P165" s="58"/>
    </row>
    <row r="166" spans="1:16">
      <c r="A166"/>
      <c r="B166" s="479"/>
      <c r="C166" s="575">
        <v>2.31</v>
      </c>
      <c r="D166" s="552"/>
      <c r="E166" s="552">
        <f>(C166*D166)-C166</f>
        <v>-2.31</v>
      </c>
      <c r="F166" s="555">
        <f>SUM($E$2:E166)/SUM($C$2:C166)</f>
        <v>-1.4752814031560282E-2</v>
      </c>
      <c r="G166" s="552">
        <f t="shared" si="0"/>
        <v>-8.2177600000000233</v>
      </c>
      <c r="H166" s="365" t="s">
        <v>25</v>
      </c>
      <c r="I166" s="2"/>
      <c r="J166" s="2"/>
      <c r="K166" s="2"/>
      <c r="O166" s="58"/>
      <c r="P166" s="58"/>
    </row>
    <row r="167" spans="1:16">
      <c r="A167"/>
      <c r="B167" s="479"/>
      <c r="C167" s="576">
        <v>2.31</v>
      </c>
      <c r="D167" s="37"/>
      <c r="E167" s="37">
        <f>(C167*D167)-C167</f>
        <v>-2.31</v>
      </c>
      <c r="F167" s="47">
        <f>SUM($E$2:E167)/SUM($C$2:C167)</f>
        <v>-1.8821754210319352E-2</v>
      </c>
      <c r="G167" s="37">
        <f t="shared" si="0"/>
        <v>-10.527760000000024</v>
      </c>
      <c r="H167" s="564" t="s">
        <v>28</v>
      </c>
      <c r="I167" s="2"/>
      <c r="J167" s="2"/>
      <c r="K167" s="2"/>
      <c r="O167" s="58"/>
      <c r="P167" s="58"/>
    </row>
    <row r="168" spans="1:16">
      <c r="A168"/>
      <c r="B168" s="479"/>
      <c r="C168" s="576">
        <v>2.31</v>
      </c>
      <c r="D168" s="37"/>
      <c r="E168" s="37">
        <f>(C168*D168)-C168</f>
        <v>-2.31</v>
      </c>
      <c r="F168" s="47">
        <f>SUM($E$2:E168)/SUM($C$2:C168)</f>
        <v>-2.2857224249977794E-2</v>
      </c>
      <c r="G168" s="37">
        <f t="shared" si="0"/>
        <v>-12.837760000000024</v>
      </c>
      <c r="H168" s="564" t="s">
        <v>34</v>
      </c>
      <c r="I168" s="2"/>
      <c r="J168" s="2"/>
      <c r="K168" s="2"/>
      <c r="O168" s="58"/>
      <c r="P168" s="58"/>
    </row>
    <row r="169" spans="1:16">
      <c r="A169"/>
      <c r="B169" s="479"/>
      <c r="C169" s="576">
        <v>2.31</v>
      </c>
      <c r="D169" s="37"/>
      <c r="E169" s="37">
        <f>(C169*D169)-C169</f>
        <v>-2.31</v>
      </c>
      <c r="F169" s="47">
        <f>SUM($E$2:E169)/SUM($C$2:C169)</f>
        <v>-2.6859635435137297E-2</v>
      </c>
      <c r="G169" s="37">
        <f t="shared" si="0"/>
        <v>-15.147760000000025</v>
      </c>
      <c r="H169" s="564" t="s">
        <v>36</v>
      </c>
      <c r="I169" s="2"/>
      <c r="J169" s="2"/>
      <c r="K169" s="2"/>
      <c r="O169" s="58"/>
      <c r="P169" s="58"/>
    </row>
    <row r="170" spans="1:16">
      <c r="A170"/>
      <c r="B170" s="479"/>
      <c r="C170" s="574">
        <v>2.31</v>
      </c>
      <c r="D170" s="38">
        <v>1.774</v>
      </c>
      <c r="E170" s="38">
        <f>(C170*D170)-C170</f>
        <v>1.7879400000000003</v>
      </c>
      <c r="F170" s="59">
        <f>SUM($E$2:E170)/SUM($C$2:C170)</f>
        <v>-2.3592667808642574E-2</v>
      </c>
      <c r="G170" s="38">
        <f t="shared" si="0"/>
        <v>-13.359820000000024</v>
      </c>
      <c r="H170" s="568" t="s">
        <v>38</v>
      </c>
      <c r="I170" s="2"/>
      <c r="J170" s="2"/>
      <c r="K170" s="2"/>
      <c r="O170" s="58"/>
      <c r="P170" s="58"/>
    </row>
    <row r="171" spans="1:16">
      <c r="A171"/>
      <c r="B171" s="479"/>
      <c r="C171" s="575">
        <v>2.31</v>
      </c>
      <c r="D171" s="552">
        <v>1.6859999999999999</v>
      </c>
      <c r="E171" s="552">
        <f>(C171*D171)-C171</f>
        <v>1.58466</v>
      </c>
      <c r="F171" s="555">
        <f>SUM($E$2:E171)/SUM($C$2:C171)</f>
        <v>-2.0709768194449384E-2</v>
      </c>
      <c r="G171" s="552">
        <f t="shared" si="0"/>
        <v>-11.775160000000024</v>
      </c>
      <c r="H171" s="584" t="s">
        <v>98</v>
      </c>
      <c r="I171" s="2"/>
      <c r="J171" s="2"/>
      <c r="K171" s="2"/>
      <c r="O171" s="58"/>
      <c r="P171" s="58"/>
    </row>
    <row r="172" spans="1:16">
      <c r="A172"/>
      <c r="B172" s="477"/>
      <c r="C172" s="566">
        <v>2.31</v>
      </c>
      <c r="D172" s="37"/>
      <c r="E172" s="37">
        <f>(C172*D172)-C172</f>
        <v>-2.31</v>
      </c>
      <c r="F172" s="47">
        <f>SUM($E$2:E172)/SUM($C$2:C172)</f>
        <v>-2.4672283627318808E-2</v>
      </c>
      <c r="G172" s="37">
        <f t="shared" si="0"/>
        <v>-14.085160000000025</v>
      </c>
      <c r="H172" s="564" t="s">
        <v>99</v>
      </c>
      <c r="I172" s="2"/>
      <c r="J172" s="2"/>
      <c r="K172" s="2"/>
      <c r="O172" s="58"/>
      <c r="P172" s="58"/>
    </row>
    <row r="173" spans="1:16">
      <c r="A173"/>
      <c r="B173" s="477"/>
      <c r="C173" s="566">
        <v>2.31</v>
      </c>
      <c r="D173" s="37"/>
      <c r="E173" s="37">
        <f>(C173*D173)-C173</f>
        <v>-2.31</v>
      </c>
      <c r="F173" s="47">
        <f>SUM($E$2:E173)/SUM($C$2:C173)</f>
        <v>-2.8602861130495528E-2</v>
      </c>
      <c r="G173" s="37">
        <f t="shared" si="0"/>
        <v>-16.395160000000025</v>
      </c>
      <c r="H173" s="564" t="s">
        <v>100</v>
      </c>
      <c r="I173" s="2"/>
      <c r="J173" s="2"/>
      <c r="K173" s="2"/>
      <c r="O173" s="58"/>
      <c r="P173" s="58"/>
    </row>
    <row r="174" spans="1:16">
      <c r="A174"/>
      <c r="B174" s="478"/>
      <c r="C174" s="15">
        <v>2.31</v>
      </c>
      <c r="D174" s="554"/>
      <c r="E174" s="554">
        <f>(C174*D174)-C174</f>
        <v>-2.31</v>
      </c>
      <c r="F174" s="562">
        <f>SUM($E$2:E174)/SUM($C$2:C174)</f>
        <v>-3.2501885284356553E-2</v>
      </c>
      <c r="G174" s="554">
        <f t="shared" si="0"/>
        <v>-18.705160000000024</v>
      </c>
      <c r="H174" s="564" t="s">
        <v>101</v>
      </c>
      <c r="I174" s="2">
        <f>SUM(E163:E174)</f>
        <v>-10.949400000000001</v>
      </c>
      <c r="L174" s="2">
        <f>I174/C174</f>
        <v>-4.74</v>
      </c>
      <c r="O174" s="58"/>
      <c r="P174" s="58"/>
    </row>
    <row r="175" spans="1:16">
      <c r="A175"/>
      <c r="B175" s="518">
        <v>45986</v>
      </c>
      <c r="C175" s="585">
        <v>7.57</v>
      </c>
      <c r="D175" s="586"/>
      <c r="E175" s="586">
        <f t="shared" ref="E175:E238" si="1">(C175*D175)-C175</f>
        <v>-7.57</v>
      </c>
      <c r="F175" s="587">
        <f>SUM($E$2:E175)/SUM($C$2:C175)</f>
        <v>-4.5062701516087059E-2</v>
      </c>
      <c r="G175" s="586">
        <f t="shared" si="0"/>
        <v>-26.275160000000024</v>
      </c>
      <c r="H175" s="116" t="s">
        <v>14</v>
      </c>
      <c r="I175" s="2"/>
      <c r="J175" s="2"/>
      <c r="K175" s="2"/>
      <c r="O175" s="58"/>
      <c r="P175" s="58"/>
    </row>
    <row r="176" spans="1:16">
      <c r="A176"/>
      <c r="B176" s="479"/>
      <c r="C176" s="572">
        <v>7.57</v>
      </c>
      <c r="D176" s="97">
        <v>1.798</v>
      </c>
      <c r="E176" s="97">
        <f t="shared" si="1"/>
        <v>6.0408600000000003</v>
      </c>
      <c r="F176" s="96">
        <f>SUM($E$2:E176)/SUM($C$2:C176)</f>
        <v>-3.4257682214509505E-2</v>
      </c>
      <c r="G176" s="97">
        <f t="shared" si="0"/>
        <v>-20.234300000000026</v>
      </c>
      <c r="H176" s="364" t="s">
        <v>11</v>
      </c>
      <c r="I176" s="2"/>
      <c r="J176" s="2"/>
      <c r="K176" s="2"/>
      <c r="O176" s="58"/>
      <c r="P176" s="58"/>
    </row>
    <row r="177" spans="1:16">
      <c r="A177"/>
      <c r="B177" s="479"/>
      <c r="C177" s="574">
        <v>7.57</v>
      </c>
      <c r="D177" s="38"/>
      <c r="E177" s="38">
        <f t="shared" si="1"/>
        <v>-7.57</v>
      </c>
      <c r="F177" s="59">
        <f>SUM($E$2:E177)/SUM($C$2:C177)</f>
        <v>-4.6478385878105113E-2</v>
      </c>
      <c r="G177" s="38">
        <f t="shared" si="0"/>
        <v>-27.804300000000026</v>
      </c>
      <c r="H177" s="568" t="s">
        <v>51</v>
      </c>
      <c r="I177" s="2"/>
      <c r="J177" s="2"/>
      <c r="K177" s="2"/>
      <c r="O177" s="58"/>
      <c r="P177" s="58"/>
    </row>
    <row r="178" spans="1:16">
      <c r="A178"/>
      <c r="B178" s="479"/>
      <c r="C178" s="572">
        <v>7.57</v>
      </c>
      <c r="D178" s="97">
        <v>1.69</v>
      </c>
      <c r="E178" s="97">
        <f t="shared" si="1"/>
        <v>5.2233000000000001</v>
      </c>
      <c r="F178" s="96">
        <f>SUM($E$2:E178)/SUM($C$2:C178)</f>
        <v>-3.7275293418511421E-2</v>
      </c>
      <c r="G178" s="97">
        <f t="shared" si="0"/>
        <v>-22.581000000000024</v>
      </c>
      <c r="H178" s="364" t="s">
        <v>102</v>
      </c>
      <c r="I178" s="2"/>
      <c r="J178" s="2"/>
      <c r="K178" s="2"/>
      <c r="O178" s="58"/>
      <c r="P178" s="58"/>
    </row>
    <row r="179" spans="1:16">
      <c r="A179"/>
      <c r="B179" s="479"/>
      <c r="C179" s="577">
        <v>7.57</v>
      </c>
      <c r="D179" s="40">
        <v>1.714</v>
      </c>
      <c r="E179" s="40">
        <f t="shared" si="1"/>
        <v>5.4049800000000001</v>
      </c>
      <c r="F179" s="48">
        <f>SUM($E$2:E179)/SUM($C$2:C179)</f>
        <v>-2.8003162905960655E-2</v>
      </c>
      <c r="G179" s="40">
        <f t="shared" si="0"/>
        <v>-17.176020000000022</v>
      </c>
      <c r="H179" s="564" t="s">
        <v>103</v>
      </c>
      <c r="I179" s="2">
        <f>SUM(E175:E179)</f>
        <v>1.5291399999999999</v>
      </c>
      <c r="L179" s="2">
        <f>I179/C179</f>
        <v>0.20199999999999999</v>
      </c>
      <c r="O179" s="58"/>
      <c r="P179" s="58"/>
    </row>
    <row r="180" spans="1:16">
      <c r="A180"/>
      <c r="B180" s="476">
        <v>45987</v>
      </c>
      <c r="C180" s="565">
        <v>2.5299999999999998</v>
      </c>
      <c r="D180" s="97"/>
      <c r="E180" s="97">
        <f t="shared" si="1"/>
        <v>-2.5299999999999998</v>
      </c>
      <c r="F180" s="96">
        <f>SUM($E$2:E180)/SUM($C$2:C180)</f>
        <v>-3.1996005780253016E-2</v>
      </c>
      <c r="G180" s="97">
        <f t="shared" si="0"/>
        <v>-19.706020000000024</v>
      </c>
      <c r="H180" s="570" t="s">
        <v>97</v>
      </c>
      <c r="I180" s="2"/>
      <c r="J180" s="2"/>
      <c r="K180" s="2"/>
      <c r="O180" s="58"/>
      <c r="P180" s="58"/>
    </row>
    <row r="181" spans="1:16">
      <c r="A181"/>
      <c r="B181" s="477"/>
      <c r="C181" s="566">
        <v>5</v>
      </c>
      <c r="D181" s="37"/>
      <c r="E181" s="37">
        <f t="shared" si="1"/>
        <v>-5</v>
      </c>
      <c r="F181" s="47">
        <f>SUM($E$2:E181)/SUM($C$2:C181)</f>
        <v>-3.9791299586078105E-2</v>
      </c>
      <c r="G181" s="37">
        <f t="shared" si="0"/>
        <v>-24.706020000000024</v>
      </c>
      <c r="H181" s="578" t="s">
        <v>60</v>
      </c>
      <c r="I181" s="2"/>
      <c r="J181" s="2"/>
      <c r="K181" s="2"/>
      <c r="O181" s="58"/>
      <c r="P181" s="58"/>
    </row>
    <row r="182" spans="1:16">
      <c r="A182"/>
      <c r="B182" s="477"/>
      <c r="C182" s="566">
        <v>2.5299999999999998</v>
      </c>
      <c r="D182" s="37"/>
      <c r="E182" s="37">
        <f t="shared" si="1"/>
        <v>-2.5299999999999998</v>
      </c>
      <c r="F182" s="47">
        <f>SUM($E$2:E182)/SUM($C$2:C182)</f>
        <v>-4.3688075454749668E-2</v>
      </c>
      <c r="G182" s="37">
        <f t="shared" si="0"/>
        <v>-27.236020000000025</v>
      </c>
      <c r="H182" s="578" t="s">
        <v>104</v>
      </c>
      <c r="I182" s="2"/>
      <c r="J182" s="2"/>
      <c r="K182" s="2"/>
      <c r="O182" s="58"/>
      <c r="P182" s="58"/>
    </row>
    <row r="183" spans="1:16">
      <c r="A183"/>
      <c r="B183" s="477"/>
      <c r="C183" s="566">
        <v>2.5299999999999998</v>
      </c>
      <c r="D183" s="37">
        <v>1.798</v>
      </c>
      <c r="E183" s="37">
        <f t="shared" si="1"/>
        <v>2.0189400000000002</v>
      </c>
      <c r="F183" s="47">
        <f>SUM($E$2:E183)/SUM($C$2:C183)</f>
        <v>-4.0286093138429645E-2</v>
      </c>
      <c r="G183" s="37">
        <f t="shared" si="0"/>
        <v>-25.217080000000024</v>
      </c>
      <c r="H183" s="578" t="s">
        <v>26</v>
      </c>
      <c r="I183" s="2"/>
      <c r="J183" s="2"/>
      <c r="K183" s="2"/>
      <c r="O183" s="58"/>
      <c r="P183" s="58"/>
    </row>
    <row r="184" spans="1:16">
      <c r="A184"/>
      <c r="B184" s="477"/>
      <c r="C184" s="566">
        <v>2.5299999999999998</v>
      </c>
      <c r="D184" s="37"/>
      <c r="E184" s="37">
        <f t="shared" si="1"/>
        <v>-2.5299999999999998</v>
      </c>
      <c r="F184" s="47">
        <f>SUM($E$2:E184)/SUM($C$2:C184)</f>
        <v>-4.4149503564154848E-2</v>
      </c>
      <c r="G184" s="37">
        <f t="shared" ref="G184:G247" si="2">G183+E184</f>
        <v>-27.747080000000025</v>
      </c>
      <c r="H184" s="578" t="s">
        <v>53</v>
      </c>
      <c r="I184" s="2"/>
      <c r="J184" s="2"/>
      <c r="K184" s="2"/>
      <c r="O184" s="58"/>
      <c r="P184" s="58"/>
    </row>
    <row r="185" spans="1:16">
      <c r="A185"/>
      <c r="B185" s="477"/>
      <c r="C185" s="563">
        <v>2.5299999999999998</v>
      </c>
      <c r="D185" s="40"/>
      <c r="E185" s="40">
        <f t="shared" si="1"/>
        <v>-2.5299999999999998</v>
      </c>
      <c r="F185" s="48">
        <f>SUM($E$2:E185)/SUM($C$2:C185)</f>
        <v>-4.7981933725297604E-2</v>
      </c>
      <c r="G185" s="40">
        <f t="shared" si="2"/>
        <v>-30.277080000000026</v>
      </c>
      <c r="H185" s="564" t="s">
        <v>36</v>
      </c>
      <c r="I185" s="2"/>
      <c r="J185" s="2"/>
      <c r="K185" s="2"/>
      <c r="O185" s="58"/>
      <c r="P185" s="58"/>
    </row>
    <row r="186" spans="1:16">
      <c r="A186"/>
      <c r="B186" s="477"/>
      <c r="C186" s="565">
        <v>2.5299999999999998</v>
      </c>
      <c r="D186" s="97">
        <v>1.784</v>
      </c>
      <c r="E186" s="97">
        <f t="shared" si="1"/>
        <v>1.9835199999999999</v>
      </c>
      <c r="F186" s="96">
        <f>SUM($E$2:E186)/SUM($C$2:C186)</f>
        <v>-4.4659469015374001E-2</v>
      </c>
      <c r="G186" s="97">
        <f t="shared" si="2"/>
        <v>-28.293560000000028</v>
      </c>
      <c r="H186" s="570" t="s">
        <v>37</v>
      </c>
      <c r="I186" s="2"/>
      <c r="J186" s="2"/>
      <c r="K186" s="2"/>
      <c r="O186" s="58"/>
      <c r="P186" s="58"/>
    </row>
    <row r="187" spans="1:16">
      <c r="A187"/>
      <c r="B187" s="477"/>
      <c r="C187" s="566">
        <v>2.5299999999999998</v>
      </c>
      <c r="D187" s="37"/>
      <c r="E187" s="37">
        <f t="shared" si="1"/>
        <v>-2.5299999999999998</v>
      </c>
      <c r="F187" s="47">
        <f>SUM($E$2:E187)/SUM($C$2:C187)</f>
        <v>-4.8459383401198056E-2</v>
      </c>
      <c r="G187" s="37">
        <f t="shared" si="2"/>
        <v>-30.823560000000029</v>
      </c>
      <c r="H187" s="578" t="s">
        <v>15</v>
      </c>
      <c r="I187" s="2"/>
      <c r="J187" s="2"/>
      <c r="K187" s="2"/>
      <c r="O187" s="58"/>
      <c r="P187" s="58"/>
    </row>
    <row r="188" spans="1:16">
      <c r="A188"/>
      <c r="B188" s="477"/>
      <c r="C188" s="566">
        <v>2.5299999999999998</v>
      </c>
      <c r="D188" s="37"/>
      <c r="E188" s="37">
        <f t="shared" si="1"/>
        <v>-2.5299999999999998</v>
      </c>
      <c r="F188" s="47">
        <f>SUM($E$2:E188)/SUM($C$2:C188)</f>
        <v>-5.2229188850610793E-2</v>
      </c>
      <c r="G188" s="37">
        <f t="shared" si="2"/>
        <v>-33.35356000000003</v>
      </c>
      <c r="H188" s="578" t="s">
        <v>16</v>
      </c>
      <c r="I188" s="2"/>
      <c r="J188" s="2"/>
      <c r="K188" s="2"/>
      <c r="O188" s="58"/>
      <c r="P188" s="58"/>
    </row>
    <row r="189" spans="1:16">
      <c r="A189"/>
      <c r="B189" s="477"/>
      <c r="C189" s="566">
        <v>2.5299999999999998</v>
      </c>
      <c r="D189" s="37"/>
      <c r="E189" s="37">
        <f t="shared" si="1"/>
        <v>-2.5299999999999998</v>
      </c>
      <c r="F189" s="47">
        <f>SUM($E$2:E189)/SUM($C$2:C189)</f>
        <v>-5.5969241807433838E-2</v>
      </c>
      <c r="G189" s="37">
        <f t="shared" si="2"/>
        <v>-35.883560000000031</v>
      </c>
      <c r="H189" s="578" t="s">
        <v>25</v>
      </c>
      <c r="I189" s="2"/>
      <c r="J189" s="2"/>
      <c r="K189" s="2"/>
      <c r="O189" s="58"/>
      <c r="P189" s="58"/>
    </row>
    <row r="190" spans="1:16">
      <c r="A190"/>
      <c r="B190" s="477"/>
      <c r="C190" s="566">
        <v>2.5299999999999998</v>
      </c>
      <c r="D190" s="37">
        <v>1.754</v>
      </c>
      <c r="E190" s="37">
        <f t="shared" si="1"/>
        <v>1.9076200000000001</v>
      </c>
      <c r="F190" s="47">
        <f>SUM($E$2:E190)/SUM($C$2:C190)</f>
        <v>-5.2785538949134722E-2</v>
      </c>
      <c r="G190" s="37">
        <f t="shared" si="2"/>
        <v>-33.97594000000003</v>
      </c>
      <c r="H190" s="578" t="s">
        <v>13</v>
      </c>
      <c r="I190" s="2"/>
      <c r="J190" s="2"/>
      <c r="K190" s="2"/>
      <c r="O190" s="58"/>
      <c r="P190" s="58"/>
    </row>
    <row r="191" spans="1:16">
      <c r="A191"/>
      <c r="B191" s="477"/>
      <c r="C191" s="567">
        <v>2.5299999999999998</v>
      </c>
      <c r="D191" s="38"/>
      <c r="E191" s="38">
        <f t="shared" si="1"/>
        <v>-2.5299999999999998</v>
      </c>
      <c r="F191" s="59">
        <f>SUM($E$2:E191)/SUM($C$2:C191)</f>
        <v>-5.6494127114316318E-2</v>
      </c>
      <c r="G191" s="38">
        <f t="shared" si="2"/>
        <v>-36.505940000000031</v>
      </c>
      <c r="H191" s="568" t="s">
        <v>38</v>
      </c>
      <c r="I191" s="2"/>
      <c r="J191" s="2"/>
      <c r="K191" s="2"/>
      <c r="O191" s="58"/>
      <c r="P191" s="58"/>
    </row>
    <row r="192" spans="1:16">
      <c r="A192"/>
      <c r="B192" s="477"/>
      <c r="C192" s="571">
        <v>2.5299999999999998</v>
      </c>
      <c r="D192" s="552">
        <v>1.714</v>
      </c>
      <c r="E192" s="552">
        <f t="shared" si="1"/>
        <v>1.8064199999999997</v>
      </c>
      <c r="F192" s="555">
        <f>SUM($E$2:E192)/SUM($C$2:C192)</f>
        <v>-5.3489209520286192E-2</v>
      </c>
      <c r="G192" s="552">
        <f t="shared" si="2"/>
        <v>-34.699520000000028</v>
      </c>
      <c r="H192" s="584" t="s">
        <v>105</v>
      </c>
      <c r="I192" s="2"/>
      <c r="J192" s="2"/>
      <c r="K192" s="2"/>
      <c r="O192" s="58"/>
      <c r="P192" s="58"/>
    </row>
    <row r="193" spans="1:16">
      <c r="A193"/>
      <c r="B193" s="477"/>
      <c r="C193" s="566">
        <v>2.5299999999999998</v>
      </c>
      <c r="D193" s="37"/>
      <c r="E193" s="37">
        <f t="shared" si="1"/>
        <v>-2.5299999999999998</v>
      </c>
      <c r="F193" s="47">
        <f>SUM($E$2:E193)/SUM($C$2:C193)</f>
        <v>-5.7166249520153645E-2</v>
      </c>
      <c r="G193" s="37">
        <f t="shared" si="2"/>
        <v>-37.229520000000029</v>
      </c>
      <c r="H193" s="578" t="s">
        <v>106</v>
      </c>
      <c r="I193" s="2"/>
      <c r="J193" s="2"/>
      <c r="K193" s="2"/>
      <c r="O193" s="58"/>
      <c r="P193" s="58"/>
    </row>
    <row r="194" spans="1:16">
      <c r="A194"/>
      <c r="B194" s="477"/>
      <c r="C194" s="566">
        <v>2.5299999999999998</v>
      </c>
      <c r="D194" s="37"/>
      <c r="E194" s="37">
        <f t="shared" si="1"/>
        <v>-2.5299999999999998</v>
      </c>
      <c r="F194" s="47">
        <f>SUM($E$2:E194)/SUM($C$2:C194)</f>
        <v>-6.0814830676986245E-2</v>
      </c>
      <c r="G194" s="37">
        <f t="shared" si="2"/>
        <v>-39.75952000000003</v>
      </c>
      <c r="H194" s="578" t="s">
        <v>107</v>
      </c>
      <c r="I194" s="2"/>
      <c r="J194" s="2"/>
      <c r="K194" s="2"/>
      <c r="O194" s="58"/>
      <c r="P194" s="58"/>
    </row>
    <row r="195" spans="1:16">
      <c r="A195"/>
      <c r="B195" s="477"/>
      <c r="C195" s="566">
        <v>2.5299999999999998</v>
      </c>
      <c r="D195" s="37">
        <v>1.69</v>
      </c>
      <c r="E195" s="37">
        <f t="shared" si="1"/>
        <v>1.7456999999999998</v>
      </c>
      <c r="F195" s="47">
        <f>SUM($E$2:E195)/SUM($C$2:C195)</f>
        <v>-5.7920525361490859E-2</v>
      </c>
      <c r="G195" s="37">
        <f t="shared" si="2"/>
        <v>-38.013820000000031</v>
      </c>
      <c r="H195" s="578" t="s">
        <v>108</v>
      </c>
      <c r="I195" s="2"/>
      <c r="J195" s="2"/>
      <c r="K195" s="2"/>
      <c r="O195" s="58"/>
      <c r="P195" s="58"/>
    </row>
    <row r="196" spans="1:16">
      <c r="A196"/>
      <c r="B196" s="477"/>
      <c r="C196" s="566">
        <v>2.5299999999999998</v>
      </c>
      <c r="D196" s="37"/>
      <c r="E196" s="37">
        <f t="shared" si="1"/>
        <v>-2.5299999999999998</v>
      </c>
      <c r="F196" s="47">
        <f>SUM($E$2:E196)/SUM($C$2:C196)</f>
        <v>-6.1538188331006119E-2</v>
      </c>
      <c r="G196" s="37">
        <f t="shared" si="2"/>
        <v>-40.543820000000032</v>
      </c>
      <c r="H196" s="578" t="s">
        <v>109</v>
      </c>
      <c r="I196" s="2"/>
      <c r="J196" s="2"/>
      <c r="K196" s="2"/>
      <c r="O196" s="58"/>
      <c r="P196" s="58"/>
    </row>
    <row r="197" spans="1:16">
      <c r="A197"/>
      <c r="B197" s="477"/>
      <c r="C197" s="15">
        <v>2.5299999999999998</v>
      </c>
      <c r="D197" s="554"/>
      <c r="E197" s="554">
        <f t="shared" si="1"/>
        <v>-2.5299999999999998</v>
      </c>
      <c r="F197" s="562">
        <f>SUM($E$2:E197)/SUM($C$2:C197)</f>
        <v>-6.5128173337163878E-2</v>
      </c>
      <c r="G197" s="554">
        <f t="shared" si="2"/>
        <v>-43.073820000000033</v>
      </c>
      <c r="H197" s="365" t="s">
        <v>110</v>
      </c>
      <c r="I197" s="2">
        <f>SUM(E180:E197)</f>
        <v>-25.897800000000004</v>
      </c>
      <c r="L197" s="2">
        <f>I197/C197</f>
        <v>-10.23628458498024</v>
      </c>
      <c r="O197" s="58"/>
      <c r="P197" s="58"/>
    </row>
    <row r="198" spans="1:16">
      <c r="A198"/>
      <c r="B198" s="518">
        <v>45989</v>
      </c>
      <c r="C198" s="572">
        <v>1.99</v>
      </c>
      <c r="D198" s="97">
        <v>1.73</v>
      </c>
      <c r="E198" s="97">
        <f t="shared" si="1"/>
        <v>1.4526999999999999</v>
      </c>
      <c r="F198" s="96">
        <f>SUM($E$2:E198)/SUM($C$2:C198)</f>
        <v>-6.2742884708152549E-2</v>
      </c>
      <c r="G198" s="97">
        <f t="shared" si="2"/>
        <v>-41.621120000000033</v>
      </c>
      <c r="H198" s="570" t="s">
        <v>46</v>
      </c>
      <c r="I198" s="2"/>
      <c r="J198" s="2"/>
      <c r="K198" s="2"/>
      <c r="O198" s="58"/>
      <c r="P198" s="58"/>
    </row>
    <row r="199" spans="1:16">
      <c r="A199"/>
      <c r="B199" s="479"/>
      <c r="C199" s="576">
        <v>1.99</v>
      </c>
      <c r="D199" s="37"/>
      <c r="E199" s="37">
        <f t="shared" si="1"/>
        <v>-1.99</v>
      </c>
      <c r="F199" s="47">
        <f>SUM($E$2:E199)/SUM($C$2:C199)</f>
        <v>-6.5546133613887544E-2</v>
      </c>
      <c r="G199" s="37">
        <f t="shared" si="2"/>
        <v>-43.611120000000035</v>
      </c>
      <c r="H199" s="578" t="s">
        <v>51</v>
      </c>
      <c r="I199" s="2"/>
      <c r="J199" s="2"/>
      <c r="K199" s="2"/>
      <c r="O199" s="58"/>
      <c r="P199" s="58"/>
    </row>
    <row r="200" spans="1:16">
      <c r="A200"/>
      <c r="B200" s="479"/>
      <c r="C200" s="576">
        <v>1.99</v>
      </c>
      <c r="D200" s="37"/>
      <c r="E200" s="37">
        <f t="shared" si="1"/>
        <v>-1.99</v>
      </c>
      <c r="F200" s="47">
        <f>SUM($E$2:E200)/SUM($C$2:C200)</f>
        <v>-6.8332664009350674E-2</v>
      </c>
      <c r="G200" s="37">
        <f t="shared" si="2"/>
        <v>-45.601120000000037</v>
      </c>
      <c r="H200" s="578" t="s">
        <v>64</v>
      </c>
      <c r="I200" s="2"/>
      <c r="J200" s="2"/>
      <c r="K200" s="2"/>
      <c r="O200" s="58"/>
      <c r="P200" s="58"/>
    </row>
    <row r="201" spans="1:16">
      <c r="A201"/>
      <c r="B201" s="479"/>
      <c r="C201" s="576">
        <v>1.99</v>
      </c>
      <c r="D201" s="37"/>
      <c r="E201" s="37">
        <f t="shared" si="1"/>
        <v>-1.99</v>
      </c>
      <c r="F201" s="47">
        <f>SUM($E$2:E201)/SUM($C$2:C201)</f>
        <v>-7.1102625013072907E-2</v>
      </c>
      <c r="G201" s="37">
        <f t="shared" si="2"/>
        <v>-47.591120000000039</v>
      </c>
      <c r="H201" s="578" t="s">
        <v>11</v>
      </c>
      <c r="I201" s="2"/>
      <c r="J201" s="2"/>
      <c r="K201" s="2"/>
      <c r="O201" s="58"/>
      <c r="P201" s="58"/>
    </row>
    <row r="202" spans="1:16">
      <c r="A202"/>
      <c r="B202" s="479"/>
      <c r="C202" s="576">
        <v>1.99</v>
      </c>
      <c r="D202" s="37"/>
      <c r="E202" s="37">
        <f t="shared" si="1"/>
        <v>-1.99</v>
      </c>
      <c r="F202" s="47">
        <f>SUM($E$2:E202)/SUM($C$2:C202)</f>
        <v>-7.3856163975451486E-2</v>
      </c>
      <c r="G202" s="37">
        <f t="shared" si="2"/>
        <v>-49.581120000000041</v>
      </c>
      <c r="H202" s="578" t="s">
        <v>34</v>
      </c>
      <c r="I202" s="2"/>
      <c r="J202" s="2"/>
      <c r="K202" s="2"/>
      <c r="O202" s="58"/>
      <c r="P202" s="58"/>
    </row>
    <row r="203" spans="1:16">
      <c r="A203"/>
      <c r="B203" s="479"/>
      <c r="C203" s="576">
        <v>1.99</v>
      </c>
      <c r="D203" s="37">
        <v>1.798</v>
      </c>
      <c r="E203" s="37">
        <f t="shared" si="1"/>
        <v>1.58802</v>
      </c>
      <c r="F203" s="47">
        <f>SUM($E$2:E203)/SUM($C$2:C203)</f>
        <v>-7.1279351264647905E-2</v>
      </c>
      <c r="G203" s="37">
        <f t="shared" si="2"/>
        <v>-47.993100000000041</v>
      </c>
      <c r="H203" s="578" t="s">
        <v>12</v>
      </c>
      <c r="I203" s="2"/>
      <c r="J203" s="2"/>
      <c r="K203" s="2"/>
      <c r="O203" s="58"/>
      <c r="P203" s="58"/>
    </row>
    <row r="204" spans="1:16">
      <c r="A204"/>
      <c r="B204" s="479"/>
      <c r="C204" s="574">
        <v>1.99</v>
      </c>
      <c r="D204" s="38">
        <v>1.9</v>
      </c>
      <c r="E204" s="38">
        <f t="shared" si="1"/>
        <v>1.7909999999999997</v>
      </c>
      <c r="F204" s="59">
        <f>SUM($E$2:E204)/SUM($C$2:C204)</f>
        <v>-6.8417147934251576E-2</v>
      </c>
      <c r="G204" s="38">
        <f t="shared" si="2"/>
        <v>-46.202100000000044</v>
      </c>
      <c r="H204" s="568" t="s">
        <v>26</v>
      </c>
      <c r="I204" s="2"/>
      <c r="J204" s="2"/>
      <c r="K204" s="2"/>
      <c r="O204" s="58"/>
      <c r="P204" s="58"/>
    </row>
    <row r="205" spans="1:16">
      <c r="A205"/>
      <c r="B205" s="477"/>
      <c r="C205" s="571">
        <v>1.99</v>
      </c>
      <c r="D205" s="552">
        <v>1.91</v>
      </c>
      <c r="E205" s="552">
        <f t="shared" si="1"/>
        <v>1.8109</v>
      </c>
      <c r="F205" s="555">
        <f>SUM($E$2:E205)/SUM($C$2:C205)</f>
        <v>-6.5542382140589828E-2</v>
      </c>
      <c r="G205" s="552">
        <f t="shared" si="2"/>
        <v>-44.391200000000048</v>
      </c>
      <c r="H205" s="584" t="s">
        <v>14</v>
      </c>
      <c r="I205" s="2"/>
      <c r="J205" s="2"/>
      <c r="K205" s="2"/>
      <c r="O205" s="58"/>
      <c r="P205" s="58"/>
    </row>
    <row r="206" spans="1:16">
      <c r="A206"/>
      <c r="B206" s="477"/>
      <c r="C206" s="566">
        <v>1.99</v>
      </c>
      <c r="D206" s="37"/>
      <c r="E206" s="37">
        <f t="shared" si="1"/>
        <v>-1.99</v>
      </c>
      <c r="F206" s="47">
        <f>SUM($E$2:E206)/SUM($C$2:C206)</f>
        <v>-6.827994346955614E-2</v>
      </c>
      <c r="G206" s="37">
        <f t="shared" si="2"/>
        <v>-46.381200000000049</v>
      </c>
      <c r="H206" s="578" t="s">
        <v>28</v>
      </c>
      <c r="I206" s="2"/>
      <c r="J206" s="2"/>
      <c r="K206" s="2"/>
      <c r="O206" s="58"/>
      <c r="P206" s="58"/>
    </row>
    <row r="207" spans="1:16">
      <c r="A207"/>
      <c r="B207" s="477"/>
      <c r="C207" s="566">
        <v>1.99</v>
      </c>
      <c r="D207" s="37"/>
      <c r="E207" s="37">
        <f t="shared" si="1"/>
        <v>-1.99</v>
      </c>
      <c r="F207" s="47">
        <f>SUM($E$2:E207)/SUM($C$2:C207)</f>
        <v>-7.1001511882220106E-2</v>
      </c>
      <c r="G207" s="37">
        <f t="shared" si="2"/>
        <v>-48.371200000000051</v>
      </c>
      <c r="H207" s="578" t="s">
        <v>97</v>
      </c>
      <c r="I207" s="2"/>
      <c r="J207" s="2"/>
      <c r="K207" s="2"/>
      <c r="O207" s="58"/>
      <c r="P207" s="58"/>
    </row>
    <row r="208" spans="1:16">
      <c r="A208"/>
      <c r="B208" s="477"/>
      <c r="C208" s="566">
        <v>1.99</v>
      </c>
      <c r="D208" s="37">
        <v>1.76</v>
      </c>
      <c r="E208" s="37">
        <f t="shared" si="1"/>
        <v>1.5124000000000002</v>
      </c>
      <c r="F208" s="47">
        <f>SUM($E$2:E208)/SUM($C$2:C208)</f>
        <v>-6.8581213593654086E-2</v>
      </c>
      <c r="G208" s="37">
        <f t="shared" si="2"/>
        <v>-46.858800000000052</v>
      </c>
      <c r="H208" s="578" t="s">
        <v>47</v>
      </c>
      <c r="I208" s="2"/>
      <c r="J208" s="2"/>
      <c r="K208" s="2"/>
      <c r="O208" s="58"/>
      <c r="P208" s="58"/>
    </row>
    <row r="209" spans="1:16">
      <c r="A209"/>
      <c r="B209" s="477"/>
      <c r="C209" s="567">
        <v>1.99</v>
      </c>
      <c r="D209" s="38"/>
      <c r="E209" s="38">
        <f t="shared" si="1"/>
        <v>-1.99</v>
      </c>
      <c r="F209" s="59">
        <f>SUM($E$2:E209)/SUM($C$2:C209)</f>
        <v>-7.1286099963517105E-2</v>
      </c>
      <c r="G209" s="38">
        <f t="shared" si="2"/>
        <v>-48.848800000000054</v>
      </c>
      <c r="H209" s="568" t="s">
        <v>18</v>
      </c>
      <c r="I209" s="2"/>
      <c r="J209" s="2"/>
      <c r="K209" s="2"/>
      <c r="O209" s="58"/>
      <c r="P209" s="58"/>
    </row>
    <row r="210" spans="1:16">
      <c r="A210"/>
      <c r="B210" s="477"/>
      <c r="C210" s="571">
        <v>1.99</v>
      </c>
      <c r="D210" s="552">
        <v>1.7</v>
      </c>
      <c r="E210" s="552">
        <f t="shared" si="1"/>
        <v>1.393</v>
      </c>
      <c r="F210" s="555">
        <f>SUM($E$2:E210)/SUM($C$2:C210)</f>
        <v>-6.905273266980981E-2</v>
      </c>
      <c r="G210" s="552">
        <f t="shared" si="2"/>
        <v>-47.455800000000053</v>
      </c>
      <c r="H210" s="584" t="s">
        <v>111</v>
      </c>
      <c r="I210" s="2"/>
      <c r="J210" s="2"/>
      <c r="K210" s="2"/>
      <c r="O210" s="58"/>
      <c r="P210" s="58"/>
    </row>
    <row r="211" spans="1:16">
      <c r="A211"/>
      <c r="B211" s="477"/>
      <c r="C211" s="566">
        <v>1.99</v>
      </c>
      <c r="D211" s="37"/>
      <c r="E211" s="37">
        <f t="shared" si="1"/>
        <v>-1.99</v>
      </c>
      <c r="F211" s="47">
        <f>SUM($E$2:E211)/SUM($C$2:C211)</f>
        <v>-7.1740638103390875E-2</v>
      </c>
      <c r="G211" s="37">
        <f t="shared" si="2"/>
        <v>-49.445800000000055</v>
      </c>
      <c r="H211" s="578" t="s">
        <v>112</v>
      </c>
      <c r="I211" s="2"/>
      <c r="J211" s="2"/>
      <c r="K211" s="2"/>
      <c r="O211" s="58"/>
      <c r="P211" s="58"/>
    </row>
    <row r="212" spans="1:16">
      <c r="A212"/>
      <c r="B212" s="477"/>
      <c r="C212" s="566">
        <v>1.99</v>
      </c>
      <c r="D212" s="37"/>
      <c r="E212" s="37">
        <f t="shared" si="1"/>
        <v>-1.99</v>
      </c>
      <c r="F212" s="47">
        <f>SUM($E$2:E212)/SUM($C$2:C212)</f>
        <v>-7.4413066751540899E-2</v>
      </c>
      <c r="G212" s="37">
        <f t="shared" si="2"/>
        <v>-51.435800000000057</v>
      </c>
      <c r="H212" s="578" t="s">
        <v>113</v>
      </c>
      <c r="I212" s="2"/>
      <c r="J212" s="2"/>
      <c r="K212" s="2"/>
      <c r="O212" s="58"/>
      <c r="P212" s="58"/>
    </row>
    <row r="213" spans="1:16">
      <c r="A213"/>
      <c r="B213" s="477"/>
      <c r="C213" s="566">
        <v>1.99</v>
      </c>
      <c r="D213" s="37">
        <v>1.7310000000000001</v>
      </c>
      <c r="E213" s="37">
        <f t="shared" si="1"/>
        <v>1.45469</v>
      </c>
      <c r="F213" s="47">
        <f>SUM($E$2:E213)/SUM($C$2:C213)</f>
        <v>-7.2100965075518386E-2</v>
      </c>
      <c r="G213" s="37">
        <f t="shared" si="2"/>
        <v>-49.981110000000058</v>
      </c>
      <c r="H213" s="578" t="s">
        <v>114</v>
      </c>
      <c r="I213" s="2"/>
      <c r="J213" s="2"/>
      <c r="K213" s="2"/>
      <c r="O213" s="58"/>
      <c r="P213" s="58"/>
    </row>
    <row r="214" spans="1:16">
      <c r="A214"/>
      <c r="B214" s="477"/>
      <c r="C214" s="566">
        <v>1.99</v>
      </c>
      <c r="D214" s="37">
        <v>1.712</v>
      </c>
      <c r="E214" s="37">
        <f t="shared" si="1"/>
        <v>1.4168800000000001</v>
      </c>
      <c r="F214" s="47">
        <f>SUM($E$2:E214)/SUM($C$2:C214)</f>
        <v>-6.9856487341772286E-2</v>
      </c>
      <c r="G214" s="37">
        <f t="shared" si="2"/>
        <v>-48.564230000000059</v>
      </c>
      <c r="H214" s="578" t="s">
        <v>115</v>
      </c>
      <c r="I214" s="2"/>
      <c r="J214" s="2"/>
      <c r="K214" s="2"/>
      <c r="O214" s="58"/>
      <c r="P214" s="58"/>
    </row>
    <row r="215" spans="1:16">
      <c r="A215"/>
      <c r="B215" s="477"/>
      <c r="C215" s="583">
        <v>1.99</v>
      </c>
      <c r="D215" s="581"/>
      <c r="E215" s="581">
        <f t="shared" si="1"/>
        <v>-1.99</v>
      </c>
      <c r="F215" s="582">
        <f>SUM($E$2:E215)/SUM($C$2:C215)</f>
        <v>-7.2511410089071984E-2</v>
      </c>
      <c r="G215" s="581">
        <f t="shared" si="2"/>
        <v>-50.554230000000061</v>
      </c>
      <c r="H215" s="373" t="s">
        <v>116</v>
      </c>
      <c r="I215" s="2">
        <f>SUM(E198:E215)</f>
        <v>-7.4804100000000009</v>
      </c>
      <c r="L215" s="2">
        <f>I215/C215</f>
        <v>-3.7590000000000003</v>
      </c>
      <c r="O215" s="58"/>
      <c r="P215" s="58"/>
    </row>
    <row r="216" spans="1:16">
      <c r="A216"/>
      <c r="B216" s="476">
        <v>45990</v>
      </c>
      <c r="C216" s="565">
        <v>2.71</v>
      </c>
      <c r="D216" s="97">
        <v>1.83</v>
      </c>
      <c r="E216" s="97">
        <f t="shared" si="1"/>
        <v>2.2492999999999999</v>
      </c>
      <c r="F216" s="96">
        <f>SUM($E$2:E216)/SUM($C$2:C216)</f>
        <v>-6.9016902414630793E-2</v>
      </c>
      <c r="G216" s="97">
        <f t="shared" si="2"/>
        <v>-48.304930000000063</v>
      </c>
      <c r="H216" s="570" t="s">
        <v>37</v>
      </c>
      <c r="I216" s="2"/>
      <c r="J216" s="2"/>
      <c r="K216" s="2"/>
      <c r="O216" s="58"/>
      <c r="P216" s="58"/>
    </row>
    <row r="217" spans="1:16">
      <c r="A217"/>
      <c r="B217" s="477"/>
      <c r="C217" s="566">
        <v>2.71</v>
      </c>
      <c r="D217" s="37"/>
      <c r="E217" s="37">
        <f t="shared" si="1"/>
        <v>-2.71</v>
      </c>
      <c r="F217" s="47">
        <f>SUM($E$2:E217)/SUM($C$2:C217)</f>
        <v>-7.2607748252942736E-2</v>
      </c>
      <c r="G217" s="37">
        <f t="shared" si="2"/>
        <v>-51.014930000000064</v>
      </c>
      <c r="H217" s="578" t="s">
        <v>25</v>
      </c>
      <c r="I217" s="2"/>
      <c r="J217" s="2"/>
      <c r="K217" s="2"/>
      <c r="O217" s="58"/>
      <c r="P217" s="58"/>
    </row>
    <row r="218" spans="1:16">
      <c r="A218"/>
      <c r="B218" s="477"/>
      <c r="C218" s="566">
        <v>2.71</v>
      </c>
      <c r="D218" s="37"/>
      <c r="E218" s="37">
        <f t="shared" si="1"/>
        <v>-2.71</v>
      </c>
      <c r="F218" s="47">
        <f>SUM($E$2:E218)/SUM($C$2:C218)</f>
        <v>-7.617100039698306E-2</v>
      </c>
      <c r="G218" s="37">
        <f t="shared" si="2"/>
        <v>-53.724930000000064</v>
      </c>
      <c r="H218" s="578" t="s">
        <v>28</v>
      </c>
      <c r="I218" s="2"/>
      <c r="J218" s="2"/>
      <c r="K218" s="2"/>
      <c r="O218" s="58"/>
      <c r="P218" s="58"/>
    </row>
    <row r="219" spans="1:16">
      <c r="A219"/>
      <c r="B219" s="477"/>
      <c r="C219" s="566">
        <v>2.71</v>
      </c>
      <c r="D219" s="37"/>
      <c r="E219" s="37">
        <f t="shared" si="1"/>
        <v>-2.71</v>
      </c>
      <c r="F219" s="47">
        <f>SUM($E$2:E219)/SUM($C$2:C219)</f>
        <v>-7.9706975693120477E-2</v>
      </c>
      <c r="G219" s="37">
        <f t="shared" si="2"/>
        <v>-56.434930000000065</v>
      </c>
      <c r="H219" s="578" t="s">
        <v>13</v>
      </c>
      <c r="I219" s="2"/>
      <c r="J219" s="2"/>
      <c r="K219" s="2"/>
      <c r="O219" s="58"/>
      <c r="P219" s="58"/>
    </row>
    <row r="220" spans="1:16">
      <c r="A220"/>
      <c r="B220" s="477"/>
      <c r="C220" s="567">
        <v>2.71</v>
      </c>
      <c r="D220" s="38">
        <v>1.9</v>
      </c>
      <c r="E220" s="38">
        <f t="shared" si="1"/>
        <v>2.4390000000000001</v>
      </c>
      <c r="F220" s="59">
        <f>SUM($E$2:E220)/SUM($C$2:C220)</f>
        <v>-7.5971424149478134E-2</v>
      </c>
      <c r="G220" s="38">
        <f t="shared" si="2"/>
        <v>-53.995930000000065</v>
      </c>
      <c r="H220" s="568" t="s">
        <v>59</v>
      </c>
      <c r="I220" s="2"/>
      <c r="J220" s="2"/>
      <c r="K220" s="2"/>
      <c r="O220" s="58"/>
      <c r="P220" s="58"/>
    </row>
    <row r="221" spans="1:16">
      <c r="A221"/>
      <c r="B221" s="477"/>
      <c r="C221" s="571">
        <v>2.71</v>
      </c>
      <c r="D221" s="37">
        <v>1.73</v>
      </c>
      <c r="E221" s="37">
        <f t="shared" si="1"/>
        <v>1.9782999999999999</v>
      </c>
      <c r="F221" s="47">
        <f>SUM($E$2:E221)/SUM($C$2:C221)</f>
        <v>-7.2909986684420891E-2</v>
      </c>
      <c r="G221" s="37">
        <f t="shared" si="2"/>
        <v>-52.017630000000068</v>
      </c>
      <c r="H221" s="578" t="s">
        <v>15</v>
      </c>
      <c r="I221" s="2"/>
      <c r="J221" s="2"/>
      <c r="K221" s="2"/>
      <c r="O221" s="58"/>
      <c r="P221" s="58"/>
    </row>
    <row r="222" spans="1:16">
      <c r="A222"/>
      <c r="B222" s="477"/>
      <c r="C222" s="566">
        <v>2.71</v>
      </c>
      <c r="D222" s="37">
        <v>1.9</v>
      </c>
      <c r="E222" s="37">
        <f t="shared" si="1"/>
        <v>2.4390000000000001</v>
      </c>
      <c r="F222" s="47">
        <f>SUM($E$2:E222)/SUM($C$2:C222)</f>
        <v>-6.922842660857921E-2</v>
      </c>
      <c r="G222" s="37">
        <f t="shared" si="2"/>
        <v>-49.578630000000068</v>
      </c>
      <c r="H222" s="578" t="s">
        <v>16</v>
      </c>
      <c r="I222" s="2"/>
      <c r="J222" s="2"/>
      <c r="K222" s="2"/>
      <c r="O222" s="58"/>
      <c r="P222" s="58"/>
    </row>
    <row r="223" spans="1:16">
      <c r="A223"/>
      <c r="B223" s="477"/>
      <c r="C223" s="567">
        <v>2.71</v>
      </c>
      <c r="D223" s="38"/>
      <c r="E223" s="38">
        <f t="shared" si="1"/>
        <v>-2.71</v>
      </c>
      <c r="F223" s="59">
        <f>SUM($E$2:E223)/SUM($C$2:C223)</f>
        <v>-7.2737254301890583E-2</v>
      </c>
      <c r="G223" s="38">
        <f t="shared" si="2"/>
        <v>-52.288630000000069</v>
      </c>
      <c r="H223" s="568" t="s">
        <v>27</v>
      </c>
      <c r="I223" s="2"/>
      <c r="J223" s="2"/>
      <c r="K223" s="2"/>
      <c r="O223" s="58"/>
      <c r="P223" s="58"/>
    </row>
    <row r="224" spans="1:16">
      <c r="A224"/>
      <c r="B224" s="477"/>
      <c r="C224" s="571">
        <v>2.71</v>
      </c>
      <c r="D224" s="552">
        <v>1.6859999999999999</v>
      </c>
      <c r="E224" s="552">
        <f t="shared" si="1"/>
        <v>1.8590599999999995</v>
      </c>
      <c r="F224" s="555">
        <f>SUM($E$2:E224)/SUM($C$2:C224)</f>
        <v>-6.988770475900119E-2</v>
      </c>
      <c r="G224" s="552">
        <f t="shared" si="2"/>
        <v>-50.429570000000069</v>
      </c>
      <c r="H224" s="584" t="s">
        <v>117</v>
      </c>
      <c r="I224" s="2"/>
      <c r="J224" s="2"/>
      <c r="K224" s="2"/>
      <c r="O224" s="58"/>
      <c r="P224" s="58"/>
    </row>
    <row r="225" spans="1:16">
      <c r="A225"/>
      <c r="B225" s="477"/>
      <c r="C225" s="566">
        <v>2.71</v>
      </c>
      <c r="D225" s="37"/>
      <c r="E225" s="37">
        <f t="shared" si="1"/>
        <v>-2.71</v>
      </c>
      <c r="F225" s="47">
        <f>SUM($E$2:E225)/SUM($C$2:C225)</f>
        <v>-7.3367808474506177E-2</v>
      </c>
      <c r="G225" s="37">
        <f t="shared" si="2"/>
        <v>-53.13957000000007</v>
      </c>
      <c r="H225" s="578" t="s">
        <v>118</v>
      </c>
      <c r="I225" s="2"/>
      <c r="J225" s="2"/>
      <c r="K225" s="2"/>
      <c r="O225" s="58"/>
      <c r="P225" s="58"/>
    </row>
    <row r="226" spans="1:16">
      <c r="A226"/>
      <c r="B226" s="477"/>
      <c r="C226" s="566">
        <v>2.71</v>
      </c>
      <c r="D226" s="37"/>
      <c r="E226" s="37">
        <f t="shared" si="1"/>
        <v>-2.71</v>
      </c>
      <c r="F226" s="47">
        <f>SUM($E$2:E226)/SUM($C$2:C226)</f>
        <v>-7.6821966987620463E-2</v>
      </c>
      <c r="G226" s="37">
        <f t="shared" si="2"/>
        <v>-55.849570000000071</v>
      </c>
      <c r="H226" s="578" t="s">
        <v>119</v>
      </c>
      <c r="I226" s="2"/>
      <c r="J226" s="2"/>
      <c r="K226" s="2"/>
      <c r="O226" s="58"/>
      <c r="P226" s="58"/>
    </row>
    <row r="227" spans="1:16">
      <c r="A227"/>
      <c r="B227" s="477"/>
      <c r="C227" s="567">
        <v>2.71</v>
      </c>
      <c r="D227" s="38"/>
      <c r="E227" s="38">
        <f t="shared" si="1"/>
        <v>-2.71</v>
      </c>
      <c r="F227" s="59">
        <f>SUM($E$2:E227)/SUM($C$2:C227)</f>
        <v>-8.0250469364542179E-2</v>
      </c>
      <c r="G227" s="38">
        <f t="shared" si="2"/>
        <v>-58.559570000000072</v>
      </c>
      <c r="H227" s="568" t="s">
        <v>120</v>
      </c>
      <c r="I227" s="2">
        <f>SUM(E216:E227)</f>
        <v>-8.0053400000000003</v>
      </c>
      <c r="L227" s="2">
        <f>I227/C227</f>
        <v>-2.9540000000000002</v>
      </c>
      <c r="O227" s="58"/>
      <c r="P227" s="58"/>
    </row>
    <row r="228" spans="1:16">
      <c r="A228"/>
      <c r="B228" s="476">
        <v>45991</v>
      </c>
      <c r="C228" s="565">
        <v>2.67</v>
      </c>
      <c r="D228" s="97">
        <v>1.9</v>
      </c>
      <c r="E228" s="97">
        <f t="shared" si="1"/>
        <v>2.4029999999999996</v>
      </c>
      <c r="F228" s="96">
        <f>SUM($E$2:E228)/SUM($C$2:C228)</f>
        <v>-7.6676820776099955E-2</v>
      </c>
      <c r="G228" s="97">
        <f t="shared" si="2"/>
        <v>-56.156570000000073</v>
      </c>
      <c r="H228" s="570" t="s">
        <v>53</v>
      </c>
      <c r="I228" s="2"/>
      <c r="J228" s="2"/>
      <c r="K228" s="2"/>
      <c r="O228" s="58"/>
      <c r="P228" s="58"/>
    </row>
    <row r="229" spans="1:16">
      <c r="A229"/>
      <c r="B229" s="477"/>
      <c r="C229" s="566">
        <v>2.67</v>
      </c>
      <c r="D229" s="37">
        <v>1.9</v>
      </c>
      <c r="E229" s="37">
        <f t="shared" si="1"/>
        <v>2.4029999999999996</v>
      </c>
      <c r="F229" s="47">
        <f>SUM($E$2:E229)/SUM($C$2:C229)</f>
        <v>-7.3129134072512189E-2</v>
      </c>
      <c r="G229" s="37">
        <f t="shared" si="2"/>
        <v>-53.753570000000074</v>
      </c>
      <c r="H229" s="578" t="s">
        <v>37</v>
      </c>
      <c r="I229" s="2"/>
      <c r="J229" s="2"/>
      <c r="K229" s="2"/>
      <c r="O229" s="58"/>
      <c r="P229" s="58"/>
    </row>
    <row r="230" spans="1:16">
      <c r="A230"/>
      <c r="B230" s="477"/>
      <c r="C230" s="566">
        <v>2.67</v>
      </c>
      <c r="D230" s="37">
        <v>1.9</v>
      </c>
      <c r="E230" s="37">
        <f t="shared" si="1"/>
        <v>2.4029999999999996</v>
      </c>
      <c r="F230" s="47">
        <f>SUM($E$2:E230)/SUM($C$2:C230)</f>
        <v>-6.9607127365396204E-2</v>
      </c>
      <c r="G230" s="37">
        <f t="shared" si="2"/>
        <v>-51.350570000000076</v>
      </c>
      <c r="H230" s="578" t="s">
        <v>14</v>
      </c>
      <c r="I230" s="2"/>
      <c r="J230" s="2"/>
      <c r="K230" s="2"/>
      <c r="O230" s="58"/>
      <c r="P230" s="58"/>
    </row>
    <row r="231" spans="1:16">
      <c r="A231"/>
      <c r="B231" s="477"/>
      <c r="C231" s="566">
        <v>2.67</v>
      </c>
      <c r="D231" s="37"/>
      <c r="E231" s="37">
        <f t="shared" si="1"/>
        <v>-2.67</v>
      </c>
      <c r="F231" s="47">
        <f>SUM($E$2:E231)/SUM($C$2:C231)</f>
        <v>-7.296231715717405E-2</v>
      </c>
      <c r="G231" s="37">
        <f t="shared" si="2"/>
        <v>-54.020570000000077</v>
      </c>
      <c r="H231" s="578" t="s">
        <v>12</v>
      </c>
      <c r="I231" s="2"/>
      <c r="J231" s="2"/>
      <c r="K231" s="2"/>
      <c r="O231" s="58"/>
      <c r="P231" s="58"/>
    </row>
    <row r="232" spans="1:16">
      <c r="A232"/>
      <c r="B232" s="477"/>
      <c r="C232" s="567">
        <v>2.67</v>
      </c>
      <c r="D232" s="38"/>
      <c r="E232" s="38">
        <f t="shared" si="1"/>
        <v>-2.67</v>
      </c>
      <c r="F232" s="59">
        <f>SUM($E$2:E232)/SUM($C$2:C232)</f>
        <v>-7.629339488062889E-2</v>
      </c>
      <c r="G232" s="38">
        <f t="shared" si="2"/>
        <v>-56.690570000000079</v>
      </c>
      <c r="H232" s="568" t="s">
        <v>26</v>
      </c>
      <c r="I232" s="2"/>
      <c r="J232" s="2"/>
      <c r="K232" s="2"/>
      <c r="O232" s="58"/>
      <c r="P232" s="58"/>
    </row>
    <row r="233" spans="1:16">
      <c r="A233"/>
      <c r="B233" s="477"/>
      <c r="C233" s="571">
        <v>2.67</v>
      </c>
      <c r="D233" s="552"/>
      <c r="E233" s="552">
        <f t="shared" si="1"/>
        <v>-2.67</v>
      </c>
      <c r="F233" s="555">
        <f>SUM($E$2:E233)/SUM($C$2:C233)</f>
        <v>-7.9600619527174857E-2</v>
      </c>
      <c r="G233" s="552">
        <f t="shared" si="2"/>
        <v>-59.360570000000081</v>
      </c>
      <c r="H233" s="584" t="s">
        <v>47</v>
      </c>
      <c r="I233" s="2"/>
      <c r="J233" s="2"/>
      <c r="K233" s="2"/>
      <c r="O233" s="58"/>
      <c r="P233" s="58"/>
    </row>
    <row r="234" spans="1:16">
      <c r="A234"/>
      <c r="B234" s="477"/>
      <c r="C234" s="567">
        <v>2.67</v>
      </c>
      <c r="D234" s="38">
        <v>1.9</v>
      </c>
      <c r="E234" s="38">
        <f t="shared" si="1"/>
        <v>2.4029999999999996</v>
      </c>
      <c r="F234" s="59">
        <f>SUM($E$2:E234)/SUM($C$2:C234)</f>
        <v>-7.6105785676109178E-2</v>
      </c>
      <c r="G234" s="38">
        <f t="shared" si="2"/>
        <v>-56.957570000000082</v>
      </c>
      <c r="H234" s="568" t="s">
        <v>51</v>
      </c>
      <c r="I234" s="2"/>
      <c r="J234" s="2"/>
      <c r="K234" s="2"/>
      <c r="O234" s="58"/>
      <c r="P234" s="58"/>
    </row>
    <row r="235" spans="1:16">
      <c r="A235"/>
      <c r="B235" s="477"/>
      <c r="C235" s="571">
        <v>2.67</v>
      </c>
      <c r="D235" s="552"/>
      <c r="E235" s="552">
        <f t="shared" si="1"/>
        <v>-2.67</v>
      </c>
      <c r="F235" s="555">
        <f>SUM($E$2:E235)/SUM($C$2:C235)</f>
        <v>-7.939016336693E-2</v>
      </c>
      <c r="G235" s="552">
        <f t="shared" si="2"/>
        <v>-59.627570000000084</v>
      </c>
      <c r="H235" s="584" t="s">
        <v>121</v>
      </c>
      <c r="I235" s="2"/>
      <c r="J235" s="2"/>
      <c r="K235" s="2"/>
      <c r="O235" s="58"/>
      <c r="P235" s="58"/>
    </row>
    <row r="236" spans="1:16">
      <c r="A236"/>
      <c r="B236" s="477"/>
      <c r="C236" s="566">
        <v>2.67</v>
      </c>
      <c r="D236" s="37">
        <v>1.712</v>
      </c>
      <c r="E236" s="37">
        <f t="shared" si="1"/>
        <v>1.9010400000000001</v>
      </c>
      <c r="F236" s="47">
        <f>SUM($E$2:E236)/SUM($C$2:C236)</f>
        <v>-7.6586793854644994E-2</v>
      </c>
      <c r="G236" s="37">
        <f t="shared" si="2"/>
        <v>-57.726530000000082</v>
      </c>
      <c r="H236" s="578" t="s">
        <v>122</v>
      </c>
      <c r="I236" s="2"/>
      <c r="J236" s="2"/>
      <c r="K236" s="2"/>
      <c r="O236" s="58"/>
      <c r="P236" s="58"/>
    </row>
    <row r="237" spans="1:16">
      <c r="A237"/>
      <c r="B237" s="477"/>
      <c r="C237" s="566">
        <v>2.67</v>
      </c>
      <c r="D237" s="37">
        <v>1.714</v>
      </c>
      <c r="E237" s="37">
        <f t="shared" si="1"/>
        <v>1.9063799999999995</v>
      </c>
      <c r="F237" s="47">
        <f>SUM($E$2:E237)/SUM($C$2:C237)</f>
        <v>-7.379615552412068E-2</v>
      </c>
      <c r="G237" s="37">
        <f t="shared" si="2"/>
        <v>-55.820150000000083</v>
      </c>
      <c r="H237" s="578" t="s">
        <v>123</v>
      </c>
      <c r="I237" s="2"/>
      <c r="J237" s="2"/>
      <c r="K237" s="2"/>
      <c r="O237" s="58"/>
      <c r="P237" s="58"/>
    </row>
    <row r="238" spans="1:16">
      <c r="A238"/>
      <c r="B238" s="477"/>
      <c r="C238" s="567">
        <v>2.67</v>
      </c>
      <c r="D238" s="38"/>
      <c r="E238" s="38">
        <f t="shared" si="1"/>
        <v>-2.67</v>
      </c>
      <c r="F238" s="59">
        <f>SUM($E$2:E238)/SUM($C$2:C238)</f>
        <v>-7.7053999578437227E-2</v>
      </c>
      <c r="G238" s="38">
        <f t="shared" si="2"/>
        <v>-58.490150000000085</v>
      </c>
      <c r="H238" s="568" t="s">
        <v>124</v>
      </c>
      <c r="I238" s="444">
        <f>SUM(E228:E238)</f>
        <v>6.9419999999998261E-2</v>
      </c>
      <c r="J238" s="444">
        <f>SUM(E163:E238)</f>
        <v>-50.734390000000062</v>
      </c>
      <c r="K238" s="444">
        <f>SUM(E2:E238)</f>
        <v>-58.490150000000085</v>
      </c>
      <c r="L238" s="2">
        <f>I238/C238</f>
        <v>2.599999999999935E-2</v>
      </c>
      <c r="M238" s="588" t="s">
        <v>125</v>
      </c>
      <c r="O238" s="58"/>
      <c r="P238" s="58"/>
    </row>
    <row r="239" spans="1:16">
      <c r="A239"/>
      <c r="B239" s="476">
        <v>45992</v>
      </c>
      <c r="C239" s="571">
        <v>2.38</v>
      </c>
      <c r="D239" s="552"/>
      <c r="E239" s="552">
        <f t="shared" ref="E239:E302" si="3">(C239*D239)-C239</f>
        <v>-2.38</v>
      </c>
      <c r="F239" s="555">
        <f>SUM($E$2:E239)/SUM($C$2:C239)</f>
        <v>-7.9938736112205672E-2</v>
      </c>
      <c r="G239" s="552">
        <f t="shared" si="2"/>
        <v>-60.870150000000088</v>
      </c>
      <c r="H239" s="584" t="s">
        <v>14</v>
      </c>
      <c r="I239" s="2"/>
      <c r="J239" s="2"/>
      <c r="K239" s="2"/>
      <c r="O239" s="58"/>
      <c r="P239" s="58"/>
    </row>
    <row r="240" spans="1:16">
      <c r="A240"/>
      <c r="B240" s="477"/>
      <c r="C240" s="566">
        <v>2.38</v>
      </c>
      <c r="D240" s="37">
        <v>2</v>
      </c>
      <c r="E240" s="37">
        <f t="shared" si="3"/>
        <v>2.38</v>
      </c>
      <c r="F240" s="47">
        <f>SUM($E$2:E240)/SUM($C$2:C240)</f>
        <v>-7.6573824361122908E-2</v>
      </c>
      <c r="G240" s="37">
        <f t="shared" si="2"/>
        <v>-58.490150000000085</v>
      </c>
      <c r="H240" s="578" t="s">
        <v>46</v>
      </c>
      <c r="I240" s="2"/>
      <c r="J240" s="2"/>
      <c r="K240" s="2"/>
      <c r="O240" s="58"/>
      <c r="P240" s="58"/>
    </row>
    <row r="241" spans="1:16">
      <c r="A241"/>
      <c r="B241" s="477"/>
      <c r="C241" s="566">
        <v>2.38</v>
      </c>
      <c r="D241" s="37">
        <v>1.8</v>
      </c>
      <c r="E241" s="37">
        <f t="shared" si="3"/>
        <v>1.9039999999999999</v>
      </c>
      <c r="F241" s="47">
        <f>SUM($E$2:E241)/SUM($C$2:C241)</f>
        <v>-7.3851048001879527E-2</v>
      </c>
      <c r="G241" s="37">
        <f t="shared" si="2"/>
        <v>-56.586150000000089</v>
      </c>
      <c r="H241" s="578" t="s">
        <v>18</v>
      </c>
      <c r="I241" s="2"/>
      <c r="J241" s="2"/>
      <c r="K241" s="2"/>
      <c r="O241" s="58"/>
      <c r="P241" s="58"/>
    </row>
    <row r="242" spans="1:16">
      <c r="A242"/>
      <c r="B242" s="477"/>
      <c r="C242" s="566">
        <v>2.38</v>
      </c>
      <c r="D242" s="37">
        <v>1.91</v>
      </c>
      <c r="E242" s="37">
        <f t="shared" si="3"/>
        <v>2.1657999999999999</v>
      </c>
      <c r="F242" s="47">
        <f>SUM($E$2:E242)/SUM($C$2:C242)</f>
        <v>-7.0804514702055857E-2</v>
      </c>
      <c r="G242" s="37">
        <f t="shared" si="2"/>
        <v>-54.420350000000091</v>
      </c>
      <c r="H242" s="578" t="s">
        <v>35</v>
      </c>
      <c r="I242" s="2"/>
      <c r="J242" s="2"/>
      <c r="K242" s="2"/>
      <c r="O242" s="58"/>
      <c r="P242" s="58"/>
    </row>
    <row r="243" spans="1:16">
      <c r="A243"/>
      <c r="B243" s="477"/>
      <c r="C243" s="566">
        <v>2.38</v>
      </c>
      <c r="D243" s="37">
        <v>1.9</v>
      </c>
      <c r="E243" s="37">
        <f t="shared" si="3"/>
        <v>2.1419999999999995</v>
      </c>
      <c r="F243" s="47">
        <f>SUM($E$2:E243)/SUM($C$2:C243)</f>
        <v>-6.780766038029537E-2</v>
      </c>
      <c r="G243" s="37">
        <f t="shared" si="2"/>
        <v>-52.278350000000088</v>
      </c>
      <c r="H243" s="578" t="s">
        <v>17</v>
      </c>
      <c r="I243" s="2"/>
      <c r="J243" s="2"/>
      <c r="K243" s="2"/>
      <c r="O243" s="58"/>
      <c r="P243" s="58"/>
    </row>
    <row r="244" spans="1:16">
      <c r="A244"/>
      <c r="B244" s="477"/>
      <c r="C244" s="566">
        <v>2.38</v>
      </c>
      <c r="D244" s="37">
        <v>1.9</v>
      </c>
      <c r="E244" s="37">
        <f t="shared" si="3"/>
        <v>2.1419999999999995</v>
      </c>
      <c r="F244" s="47">
        <f>SUM($E$2:E244)/SUM($C$2:C244)</f>
        <v>-6.4829251577531971E-2</v>
      </c>
      <c r="G244" s="37">
        <f t="shared" si="2"/>
        <v>-50.136350000000093</v>
      </c>
      <c r="H244" s="578" t="s">
        <v>53</v>
      </c>
      <c r="I244" s="2"/>
      <c r="J244" s="2"/>
      <c r="K244" s="2"/>
      <c r="O244" s="58"/>
      <c r="P244" s="58"/>
    </row>
    <row r="245" spans="1:16">
      <c r="A245"/>
      <c r="B245" s="477"/>
      <c r="C245" s="567">
        <v>2.38</v>
      </c>
      <c r="D245" s="38">
        <v>1.9</v>
      </c>
      <c r="E245" s="38">
        <f t="shared" si="3"/>
        <v>2.1419999999999995</v>
      </c>
      <c r="F245" s="59">
        <f>SUM($E$2:E245)/SUM($C$2:C245)</f>
        <v>-6.1869118519091618E-2</v>
      </c>
      <c r="G245" s="38">
        <f t="shared" si="2"/>
        <v>-47.994350000000097</v>
      </c>
      <c r="H245" s="568" t="s">
        <v>36</v>
      </c>
      <c r="I245" s="2"/>
      <c r="J245" s="2"/>
      <c r="K245" s="2"/>
      <c r="O245" s="58"/>
      <c r="P245" s="58"/>
    </row>
    <row r="246" spans="1:16">
      <c r="A246"/>
      <c r="B246" s="477"/>
      <c r="C246" s="571">
        <v>2.38</v>
      </c>
      <c r="D246" s="552"/>
      <c r="E246" s="552">
        <f t="shared" si="3"/>
        <v>-2.38</v>
      </c>
      <c r="F246" s="555">
        <f>SUM($E$2:E246)/SUM($C$2:C246)</f>
        <v>-6.4738536472523686E-2</v>
      </c>
      <c r="G246" s="552">
        <f t="shared" si="2"/>
        <v>-50.374350000000099</v>
      </c>
      <c r="H246" s="584" t="s">
        <v>97</v>
      </c>
      <c r="I246" s="2"/>
      <c r="J246" s="2"/>
      <c r="K246" s="2"/>
      <c r="O246" s="58"/>
      <c r="P246" s="58"/>
    </row>
    <row r="247" spans="1:16">
      <c r="A247"/>
      <c r="B247" s="477"/>
      <c r="C247" s="566">
        <v>2.38</v>
      </c>
      <c r="D247" s="37">
        <v>1.9</v>
      </c>
      <c r="E247" s="37">
        <f t="shared" si="3"/>
        <v>2.1419999999999995</v>
      </c>
      <c r="F247" s="47">
        <f>SUM($E$2:E247)/SUM($C$2:C247)</f>
        <v>-6.1796732863549177E-2</v>
      </c>
      <c r="G247" s="37">
        <f t="shared" si="2"/>
        <v>-48.232350000000096</v>
      </c>
      <c r="H247" s="578" t="s">
        <v>60</v>
      </c>
      <c r="I247" s="2"/>
      <c r="J247" s="2"/>
      <c r="K247" s="2"/>
      <c r="O247" s="58"/>
      <c r="P247" s="58"/>
    </row>
    <row r="248" spans="1:16">
      <c r="A248"/>
      <c r="B248" s="477"/>
      <c r="C248" s="566">
        <v>2.38</v>
      </c>
      <c r="D248" s="37">
        <v>1.9</v>
      </c>
      <c r="E248" s="37">
        <f t="shared" si="3"/>
        <v>2.1419999999999995</v>
      </c>
      <c r="F248" s="47">
        <f>SUM($E$2:E248)/SUM($C$2:C248)</f>
        <v>-5.8872815757204343E-2</v>
      </c>
      <c r="G248" s="37">
        <f t="shared" ref="G248:G284" si="4">G247+E248</f>
        <v>-46.0903500000001</v>
      </c>
      <c r="H248" s="578" t="s">
        <v>11</v>
      </c>
      <c r="I248" s="2"/>
      <c r="J248" s="2"/>
      <c r="K248" s="2"/>
      <c r="O248" s="58"/>
      <c r="P248" s="58"/>
    </row>
    <row r="249" spans="1:16">
      <c r="A249"/>
      <c r="B249" s="477"/>
      <c r="C249" s="566">
        <v>2.38</v>
      </c>
      <c r="D249" s="37">
        <v>1.9</v>
      </c>
      <c r="E249" s="37">
        <f t="shared" si="3"/>
        <v>2.1419999999999995</v>
      </c>
      <c r="F249" s="47">
        <f>SUM($E$2:E249)/SUM($C$2:C249)</f>
        <v>-5.5966622519929878E-2</v>
      </c>
      <c r="G249" s="37">
        <f t="shared" si="4"/>
        <v>-43.948350000000104</v>
      </c>
      <c r="H249" s="578" t="s">
        <v>28</v>
      </c>
      <c r="I249" s="2"/>
      <c r="J249" s="2"/>
      <c r="K249" s="2"/>
      <c r="O249" s="58"/>
      <c r="P249" s="58"/>
    </row>
    <row r="250" spans="1:16">
      <c r="A250"/>
      <c r="B250" s="477"/>
      <c r="C250" s="566">
        <v>2.38</v>
      </c>
      <c r="D250" s="37">
        <v>1.764</v>
      </c>
      <c r="E250" s="37">
        <f t="shared" si="3"/>
        <v>1.8183199999999999</v>
      </c>
      <c r="F250" s="47">
        <f>SUM($E$2:E250)/SUM($C$2:C250)</f>
        <v>-5.3488941648469013E-2</v>
      </c>
      <c r="G250" s="37">
        <f t="shared" si="4"/>
        <v>-42.130030000000104</v>
      </c>
      <c r="H250" s="578" t="s">
        <v>47</v>
      </c>
      <c r="I250" s="2"/>
      <c r="J250" s="2"/>
      <c r="K250" s="2"/>
      <c r="O250" s="58"/>
      <c r="P250" s="58"/>
    </row>
    <row r="251" spans="1:16">
      <c r="A251"/>
      <c r="B251" s="477"/>
      <c r="C251" s="567">
        <v>2.38</v>
      </c>
      <c r="D251" s="38"/>
      <c r="E251" s="38">
        <f t="shared" si="3"/>
        <v>-2.38</v>
      </c>
      <c r="F251" s="59">
        <f>SUM($E$2:E251)/SUM($C$2:C251)</f>
        <v>-5.6340383787752385E-2</v>
      </c>
      <c r="G251" s="38">
        <f t="shared" si="4"/>
        <v>-44.510030000000107</v>
      </c>
      <c r="H251" s="568" t="s">
        <v>10</v>
      </c>
      <c r="I251" s="2"/>
      <c r="J251" s="2"/>
      <c r="K251" s="2"/>
      <c r="O251" s="58"/>
      <c r="P251" s="58"/>
    </row>
    <row r="252" spans="1:16">
      <c r="A252"/>
      <c r="B252" s="477"/>
      <c r="C252" s="571">
        <v>2.38</v>
      </c>
      <c r="D252" s="552"/>
      <c r="E252" s="552">
        <f t="shared" si="3"/>
        <v>-2.38</v>
      </c>
      <c r="F252" s="555">
        <f>SUM($E$2:E252)/SUM($C$2:C252)</f>
        <v>-5.9174697122665501E-2</v>
      </c>
      <c r="G252" s="552">
        <f t="shared" si="4"/>
        <v>-46.89003000000011</v>
      </c>
      <c r="H252" s="584" t="s">
        <v>126</v>
      </c>
      <c r="I252" s="2"/>
      <c r="J252" s="2"/>
      <c r="K252" s="2"/>
      <c r="O252" s="58"/>
      <c r="P252" s="58"/>
    </row>
    <row r="253" spans="1:16">
      <c r="A253"/>
      <c r="B253" s="477"/>
      <c r="C253" s="566">
        <v>2.38</v>
      </c>
      <c r="D253" s="37">
        <v>1.73</v>
      </c>
      <c r="E253" s="37">
        <f t="shared" si="3"/>
        <v>1.7374000000000001</v>
      </c>
      <c r="F253" s="47">
        <f>SUM($E$2:E253)/SUM($C$2:C253)</f>
        <v>-5.6811482422809007E-2</v>
      </c>
      <c r="G253" s="37">
        <f t="shared" si="4"/>
        <v>-45.152630000000109</v>
      </c>
      <c r="H253" s="578" t="s">
        <v>127</v>
      </c>
      <c r="I253" s="2"/>
      <c r="J253" s="2"/>
      <c r="K253" s="2"/>
      <c r="O253" s="58"/>
      <c r="P253" s="58"/>
    </row>
    <row r="254" spans="1:16">
      <c r="A254"/>
      <c r="B254" s="477"/>
      <c r="C254" s="566">
        <v>2.38</v>
      </c>
      <c r="D254" s="37">
        <v>1.714</v>
      </c>
      <c r="E254" s="37">
        <f t="shared" si="3"/>
        <v>1.6993200000000002</v>
      </c>
      <c r="F254" s="47">
        <f>SUM($E$2:E254)/SUM($C$2:C254)</f>
        <v>-5.4510148527271991E-2</v>
      </c>
      <c r="G254" s="37">
        <f t="shared" si="4"/>
        <v>-43.453310000000108</v>
      </c>
      <c r="H254" s="578" t="s">
        <v>128</v>
      </c>
      <c r="I254" s="2"/>
      <c r="J254" s="2"/>
      <c r="K254" s="2"/>
      <c r="O254" s="58"/>
      <c r="P254" s="58"/>
    </row>
    <row r="255" spans="1:16">
      <c r="A255"/>
      <c r="B255" s="477"/>
      <c r="C255" s="566">
        <v>2.38</v>
      </c>
      <c r="D255" s="37"/>
      <c r="E255" s="37">
        <f t="shared" si="3"/>
        <v>-2.38</v>
      </c>
      <c r="F255" s="47">
        <f>SUM($E$2:E255)/SUM($C$2:C255)</f>
        <v>-5.7324599144508277E-2</v>
      </c>
      <c r="G255" s="37">
        <f t="shared" si="4"/>
        <v>-45.833310000000111</v>
      </c>
      <c r="H255" s="578" t="s">
        <v>129</v>
      </c>
      <c r="I255" s="2"/>
      <c r="J255" s="2"/>
      <c r="K255" s="2"/>
      <c r="O255" s="58"/>
      <c r="P255" s="58"/>
    </row>
    <row r="256" spans="1:16">
      <c r="A256"/>
      <c r="B256" s="477"/>
      <c r="C256" s="566">
        <v>2.38</v>
      </c>
      <c r="D256" s="37">
        <v>1.73</v>
      </c>
      <c r="E256" s="37">
        <f t="shared" si="3"/>
        <v>1.7374000000000001</v>
      </c>
      <c r="F256" s="47">
        <f>SUM($E$2:E256)/SUM($C$2:C256)</f>
        <v>-5.498791650039922E-2</v>
      </c>
      <c r="G256" s="37">
        <f t="shared" si="4"/>
        <v>-44.09591000000011</v>
      </c>
      <c r="H256" s="578" t="s">
        <v>130</v>
      </c>
      <c r="I256" s="2"/>
      <c r="J256" s="2"/>
      <c r="K256" s="2"/>
      <c r="O256" s="58"/>
      <c r="P256" s="58"/>
    </row>
    <row r="257" spans="1:16">
      <c r="A257"/>
      <c r="B257" s="477"/>
      <c r="C257" s="566">
        <v>2.38</v>
      </c>
      <c r="D257" s="37">
        <v>1.712</v>
      </c>
      <c r="E257" s="37">
        <f t="shared" si="3"/>
        <v>1.6945600000000001</v>
      </c>
      <c r="F257" s="47">
        <f>SUM($E$2:E257)/SUM($C$2:C257)</f>
        <v>-5.271832649508907E-2</v>
      </c>
      <c r="G257" s="37">
        <f t="shared" si="4"/>
        <v>-42.401350000000107</v>
      </c>
      <c r="H257" s="578" t="s">
        <v>121</v>
      </c>
      <c r="I257" s="2"/>
      <c r="J257" s="2"/>
      <c r="K257" s="2"/>
      <c r="O257" s="58"/>
      <c r="P257" s="58"/>
    </row>
    <row r="258" spans="1:16">
      <c r="A258"/>
      <c r="B258" s="477"/>
      <c r="C258" s="567">
        <v>2.38</v>
      </c>
      <c r="D258" s="38">
        <v>1.712</v>
      </c>
      <c r="E258" s="38">
        <f t="shared" si="3"/>
        <v>1.6945600000000001</v>
      </c>
      <c r="F258" s="59">
        <f>SUM($E$2:E258)/SUM($C$2:C258)</f>
        <v>-5.046212872514521E-2</v>
      </c>
      <c r="G258" s="38">
        <f t="shared" si="4"/>
        <v>-40.706790000000105</v>
      </c>
      <c r="H258" s="568" t="s">
        <v>131</v>
      </c>
      <c r="I258" s="2">
        <f>SUM(E239:E258)</f>
        <v>17.783360000000002</v>
      </c>
      <c r="L258" s="2">
        <f>I258/C258</f>
        <v>7.4720000000000013</v>
      </c>
      <c r="O258" s="58"/>
      <c r="P258" s="58"/>
    </row>
    <row r="259" spans="1:16">
      <c r="A259"/>
      <c r="B259" s="476">
        <v>45993</v>
      </c>
      <c r="C259" s="571">
        <v>3.66</v>
      </c>
      <c r="D259" s="552"/>
      <c r="E259" s="552">
        <f t="shared" si="3"/>
        <v>-3.66</v>
      </c>
      <c r="F259" s="555">
        <f>SUM($E$2:E259)/SUM($C$2:C259)</f>
        <v>-5.4750832983686035E-2</v>
      </c>
      <c r="G259" s="552">
        <f t="shared" si="4"/>
        <v>-44.366790000000108</v>
      </c>
      <c r="H259" s="584" t="s">
        <v>11</v>
      </c>
      <c r="I259" s="2"/>
      <c r="J259" s="2"/>
      <c r="K259" s="2"/>
      <c r="O259" s="58"/>
      <c r="P259" s="58"/>
    </row>
    <row r="260" spans="1:16">
      <c r="A260"/>
      <c r="B260" s="477"/>
      <c r="C260" s="566">
        <v>3.66</v>
      </c>
      <c r="D260" s="37">
        <v>1.798</v>
      </c>
      <c r="E260" s="37">
        <f t="shared" si="3"/>
        <v>2.9206799999999999</v>
      </c>
      <c r="F260" s="47">
        <f>SUM($E$2:E260)/SUM($C$2:C260)</f>
        <v>-5.0916597051597227E-2</v>
      </c>
      <c r="G260" s="37">
        <f t="shared" si="4"/>
        <v>-41.446110000000111</v>
      </c>
      <c r="H260" s="578" t="s">
        <v>52</v>
      </c>
      <c r="I260" s="2"/>
      <c r="J260" s="2"/>
      <c r="K260" s="2"/>
      <c r="O260" s="58"/>
      <c r="P260" s="58"/>
    </row>
    <row r="261" spans="1:16">
      <c r="A261"/>
      <c r="B261" s="477"/>
      <c r="C261" s="566">
        <v>3.66</v>
      </c>
      <c r="D261" s="37">
        <v>1.9</v>
      </c>
      <c r="E261" s="37">
        <f t="shared" si="3"/>
        <v>3.2939999999999996</v>
      </c>
      <c r="F261" s="47">
        <f>SUM($E$2:E261)/SUM($C$2:C261)</f>
        <v>-4.66601154514103E-2</v>
      </c>
      <c r="G261" s="37">
        <f t="shared" si="4"/>
        <v>-38.152110000000114</v>
      </c>
      <c r="H261" s="578" t="s">
        <v>104</v>
      </c>
      <c r="I261" s="2"/>
      <c r="J261" s="2"/>
      <c r="K261" s="2"/>
      <c r="O261" s="58"/>
      <c r="P261" s="58"/>
    </row>
    <row r="262" spans="1:16">
      <c r="A262"/>
      <c r="B262" s="477"/>
      <c r="C262" s="566">
        <v>3.66</v>
      </c>
      <c r="D262" s="37">
        <v>1.9</v>
      </c>
      <c r="E262" s="37">
        <f t="shared" si="3"/>
        <v>3.2939999999999996</v>
      </c>
      <c r="F262" s="47">
        <f>SUM($E$2:E262)/SUM($C$2:C262)</f>
        <v>-4.2441569668338952E-2</v>
      </c>
      <c r="G262" s="37">
        <f t="shared" si="4"/>
        <v>-34.858110000000117</v>
      </c>
      <c r="H262" s="578" t="s">
        <v>26</v>
      </c>
      <c r="I262" s="2"/>
      <c r="J262" s="2"/>
      <c r="K262" s="2"/>
      <c r="O262" s="58"/>
      <c r="P262" s="58"/>
    </row>
    <row r="263" spans="1:16">
      <c r="A263"/>
      <c r="B263" s="477"/>
      <c r="C263" s="567">
        <v>3.66</v>
      </c>
      <c r="D263" s="38">
        <v>1.8069999999999999</v>
      </c>
      <c r="E263" s="38">
        <f t="shared" si="3"/>
        <v>2.9536199999999999</v>
      </c>
      <c r="F263" s="59">
        <f>SUM($E$2:E263)/SUM($C$2:C263)</f>
        <v>-3.867304661931216E-2</v>
      </c>
      <c r="G263" s="38">
        <f t="shared" si="4"/>
        <v>-31.904490000000116</v>
      </c>
      <c r="H263" s="568" t="s">
        <v>30</v>
      </c>
      <c r="I263" s="2"/>
      <c r="J263" s="2"/>
      <c r="K263" s="2"/>
      <c r="O263" s="58"/>
      <c r="P263" s="58"/>
    </row>
    <row r="264" spans="1:16">
      <c r="A264"/>
      <c r="B264" s="477"/>
      <c r="C264" s="571">
        <v>3.66</v>
      </c>
      <c r="D264" s="552"/>
      <c r="E264" s="552">
        <f t="shared" si="3"/>
        <v>-3.66</v>
      </c>
      <c r="F264" s="555">
        <f>SUM($E$2:E264)/SUM($C$2:C264)</f>
        <v>-4.2919108418613822E-2</v>
      </c>
      <c r="G264" s="552">
        <f t="shared" si="4"/>
        <v>-35.56449000000012</v>
      </c>
      <c r="H264" s="584" t="s">
        <v>51</v>
      </c>
      <c r="I264" s="2"/>
      <c r="J264" s="2"/>
      <c r="K264" s="2"/>
      <c r="O264" s="58"/>
      <c r="P264" s="58"/>
    </row>
    <row r="265" spans="1:16">
      <c r="A265"/>
      <c r="B265" s="477"/>
      <c r="C265" s="566">
        <v>3.66</v>
      </c>
      <c r="D265" s="37">
        <v>1.9</v>
      </c>
      <c r="E265" s="37">
        <f t="shared" si="3"/>
        <v>3.2939999999999996</v>
      </c>
      <c r="F265" s="47">
        <f>SUM($E$2:E265)/SUM($C$2:C265)</f>
        <v>-3.877266610597159E-2</v>
      </c>
      <c r="G265" s="37">
        <f t="shared" si="4"/>
        <v>-32.270490000000123</v>
      </c>
      <c r="H265" s="578" t="s">
        <v>25</v>
      </c>
      <c r="I265" s="2"/>
      <c r="J265" s="2"/>
      <c r="K265" s="2"/>
      <c r="O265" s="58"/>
      <c r="P265" s="58"/>
    </row>
    <row r="266" spans="1:16">
      <c r="A266"/>
      <c r="B266" s="477"/>
      <c r="C266" s="566">
        <v>3.66</v>
      </c>
      <c r="D266" s="37">
        <v>1.9390000000000001</v>
      </c>
      <c r="E266" s="37">
        <f t="shared" si="3"/>
        <v>3.4367400000000004</v>
      </c>
      <c r="F266" s="47">
        <f>SUM($E$2:E266)/SUM($C$2:C266)</f>
        <v>-3.4491781903440537E-2</v>
      </c>
      <c r="G266" s="37">
        <f t="shared" si="4"/>
        <v>-28.833750000000123</v>
      </c>
      <c r="H266" s="578" t="s">
        <v>37</v>
      </c>
      <c r="I266" s="2"/>
      <c r="J266" s="2"/>
      <c r="K266" s="2"/>
      <c r="O266" s="58"/>
      <c r="P266" s="58"/>
    </row>
    <row r="267" spans="1:16">
      <c r="A267"/>
      <c r="B267" s="477"/>
      <c r="C267" s="566">
        <v>3.66</v>
      </c>
      <c r="D267" s="37">
        <v>1.9</v>
      </c>
      <c r="E267" s="37">
        <f t="shared" si="3"/>
        <v>3.2939999999999996</v>
      </c>
      <c r="F267" s="47">
        <f>SUM($E$2:E267)/SUM($C$2:C267)</f>
        <v>-3.0418224911269564E-2</v>
      </c>
      <c r="G267" s="37">
        <f t="shared" si="4"/>
        <v>-25.539750000000122</v>
      </c>
      <c r="H267" s="578" t="s">
        <v>13</v>
      </c>
      <c r="I267" s="2"/>
      <c r="J267" s="2"/>
      <c r="K267" s="2"/>
      <c r="O267" s="58"/>
      <c r="P267" s="58"/>
    </row>
    <row r="268" spans="1:16">
      <c r="A268"/>
      <c r="B268" s="477"/>
      <c r="C268" s="566">
        <v>3.66</v>
      </c>
      <c r="D268" s="37">
        <v>1.9390000000000001</v>
      </c>
      <c r="E268" s="37">
        <f t="shared" si="3"/>
        <v>3.4367400000000004</v>
      </c>
      <c r="F268" s="47">
        <f>SUM($E$2:E268)/SUM($C$2:C268)</f>
        <v>-2.6210760364291985E-2</v>
      </c>
      <c r="G268" s="37">
        <f t="shared" si="4"/>
        <v>-22.103010000000122</v>
      </c>
      <c r="H268" s="578" t="s">
        <v>12</v>
      </c>
      <c r="I268" s="2"/>
      <c r="J268" s="2"/>
      <c r="K268" s="2"/>
      <c r="O268" s="58"/>
      <c r="P268" s="58"/>
    </row>
    <row r="269" spans="1:16">
      <c r="A269"/>
      <c r="B269" s="477"/>
      <c r="C269" s="567">
        <v>3.66</v>
      </c>
      <c r="D269" s="38">
        <v>1.798</v>
      </c>
      <c r="E269" s="38">
        <f t="shared" si="3"/>
        <v>2.9206799999999999</v>
      </c>
      <c r="F269" s="59">
        <f>SUM($E$2:E269)/SUM($C$2:C269)</f>
        <v>-2.2648983399060314E-2</v>
      </c>
      <c r="G269" s="38">
        <f t="shared" si="4"/>
        <v>-19.182330000000121</v>
      </c>
      <c r="H269" s="568" t="s">
        <v>27</v>
      </c>
      <c r="I269" s="2"/>
      <c r="J269" s="2"/>
      <c r="K269" s="2"/>
      <c r="O269" s="58"/>
      <c r="P269" s="58"/>
    </row>
    <row r="270" spans="1:16">
      <c r="A270"/>
      <c r="B270" s="477"/>
      <c r="C270" s="571">
        <v>3.66</v>
      </c>
      <c r="D270" s="552"/>
      <c r="E270" s="552">
        <f t="shared" si="3"/>
        <v>-3.66</v>
      </c>
      <c r="F270" s="555">
        <f>SUM($E$2:E270)/SUM($C$2:C270)</f>
        <v>-2.6854373383494178E-2</v>
      </c>
      <c r="G270" s="552">
        <f t="shared" si="4"/>
        <v>-22.842330000000121</v>
      </c>
      <c r="H270" s="584" t="s">
        <v>132</v>
      </c>
      <c r="I270" s="2"/>
      <c r="J270" s="2"/>
      <c r="K270" s="2"/>
      <c r="O270" s="58"/>
      <c r="P270" s="58"/>
    </row>
    <row r="271" spans="1:16">
      <c r="A271"/>
      <c r="B271" s="477"/>
      <c r="C271" s="566">
        <v>3.66</v>
      </c>
      <c r="D271" s="37">
        <v>1.714</v>
      </c>
      <c r="E271" s="37">
        <f t="shared" si="3"/>
        <v>2.6132400000000002</v>
      </c>
      <c r="F271" s="47">
        <f>SUM($E$2:E271)/SUM($C$2:C271)</f>
        <v>-2.3680249572729784E-2</v>
      </c>
      <c r="G271" s="37">
        <f t="shared" si="4"/>
        <v>-20.22909000000012</v>
      </c>
      <c r="H271" s="578" t="s">
        <v>133</v>
      </c>
      <c r="I271" s="2"/>
      <c r="J271" s="2"/>
      <c r="K271" s="2"/>
      <c r="O271" s="58"/>
      <c r="P271" s="58"/>
    </row>
    <row r="272" spans="1:16">
      <c r="A272"/>
      <c r="B272" s="477"/>
      <c r="C272" s="566">
        <v>3.66</v>
      </c>
      <c r="D272" s="37">
        <v>1.712</v>
      </c>
      <c r="E272" s="37">
        <f t="shared" si="3"/>
        <v>2.6059200000000002</v>
      </c>
      <c r="F272" s="47">
        <f>SUM($E$2:E272)/SUM($C$2:C272)</f>
        <v>-2.0541740488623811E-2</v>
      </c>
      <c r="G272" s="37">
        <f t="shared" si="4"/>
        <v>-17.623170000000119</v>
      </c>
      <c r="H272" s="578" t="s">
        <v>134</v>
      </c>
      <c r="I272" s="2"/>
      <c r="J272" s="2"/>
      <c r="K272" s="2"/>
      <c r="O272" s="58"/>
      <c r="P272" s="58"/>
    </row>
    <row r="273" spans="1:16">
      <c r="A273"/>
      <c r="B273" s="477"/>
      <c r="C273" s="566">
        <v>3.66</v>
      </c>
      <c r="D273" s="37">
        <v>1.712</v>
      </c>
      <c r="E273" s="37">
        <f t="shared" si="3"/>
        <v>2.6059200000000002</v>
      </c>
      <c r="F273" s="47">
        <f>SUM($E$2:E273)/SUM($C$2:C273)</f>
        <v>-1.7429896237145869E-2</v>
      </c>
      <c r="G273" s="37">
        <f t="shared" si="4"/>
        <v>-15.017250000000118</v>
      </c>
      <c r="H273" s="578" t="s">
        <v>135</v>
      </c>
      <c r="I273" s="2"/>
      <c r="J273" s="2"/>
      <c r="K273" s="2"/>
      <c r="O273" s="58"/>
      <c r="P273" s="58"/>
    </row>
    <row r="274" spans="1:16">
      <c r="A274"/>
      <c r="B274" s="477"/>
      <c r="C274" s="566">
        <v>3.66</v>
      </c>
      <c r="D274" s="37">
        <v>1.714</v>
      </c>
      <c r="E274" s="37">
        <f t="shared" si="3"/>
        <v>2.6132400000000002</v>
      </c>
      <c r="F274" s="47">
        <f>SUM($E$2:E274)/SUM($C$2:C274)</f>
        <v>-1.4335918357912409E-2</v>
      </c>
      <c r="G274" s="37">
        <f t="shared" si="4"/>
        <v>-12.404010000000117</v>
      </c>
      <c r="H274" s="578" t="s">
        <v>78</v>
      </c>
      <c r="I274" s="2"/>
      <c r="J274" s="2"/>
      <c r="K274" s="2"/>
      <c r="O274" s="58"/>
      <c r="P274" s="58"/>
    </row>
    <row r="275" spans="1:16">
      <c r="A275"/>
      <c r="B275" s="477"/>
      <c r="C275" s="583">
        <v>3.66</v>
      </c>
      <c r="D275" s="581">
        <v>1.726</v>
      </c>
      <c r="E275" s="581">
        <f t="shared" si="3"/>
        <v>2.6571600000000002</v>
      </c>
      <c r="F275" s="582">
        <f>SUM($E$2:E275)/SUM($C$2:C275)</f>
        <v>-1.1217458856025007E-2</v>
      </c>
      <c r="G275" s="581">
        <f t="shared" si="4"/>
        <v>-9.7468500000001157</v>
      </c>
      <c r="H275" s="373" t="s">
        <v>136</v>
      </c>
      <c r="I275" s="2">
        <f>SUM(E259:E275)</f>
        <v>30.959940000000007</v>
      </c>
      <c r="L275" s="2">
        <f>I275/C275</f>
        <v>8.4590000000000014</v>
      </c>
      <c r="O275" s="58"/>
      <c r="P275" s="58"/>
    </row>
    <row r="276" spans="1:16">
      <c r="A276"/>
      <c r="B276" s="476">
        <v>45994</v>
      </c>
      <c r="C276" s="571">
        <v>2.56</v>
      </c>
      <c r="D276" s="552">
        <v>1.798</v>
      </c>
      <c r="E276" s="552">
        <f t="shared" si="3"/>
        <v>2.0428799999999998</v>
      </c>
      <c r="F276" s="555">
        <f>SUM($E$2:E276)/SUM($C$2:C276)</f>
        <v>-8.8403024808942771E-3</v>
      </c>
      <c r="G276" s="552">
        <f t="shared" si="4"/>
        <v>-7.7039700000001154</v>
      </c>
      <c r="H276" s="584" t="s">
        <v>52</v>
      </c>
      <c r="I276" s="2"/>
      <c r="J276" s="2"/>
      <c r="K276" s="2"/>
      <c r="O276" s="58"/>
      <c r="P276" s="58"/>
    </row>
    <row r="277" spans="1:16">
      <c r="A277"/>
      <c r="B277" s="477"/>
      <c r="C277" s="566">
        <v>2.56</v>
      </c>
      <c r="D277" s="37">
        <v>1.9</v>
      </c>
      <c r="E277" s="37">
        <f t="shared" si="3"/>
        <v>2.3039999999999998</v>
      </c>
      <c r="F277" s="47">
        <f>SUM($E$2:E277)/SUM($C$2:C277)</f>
        <v>-6.1783139973915048E-3</v>
      </c>
      <c r="G277" s="37">
        <f t="shared" si="4"/>
        <v>-5.3999700000001152</v>
      </c>
      <c r="H277" s="578" t="s">
        <v>12</v>
      </c>
      <c r="I277" s="2"/>
      <c r="J277" s="2"/>
      <c r="K277" s="2"/>
      <c r="O277" s="58"/>
      <c r="P277" s="58"/>
    </row>
    <row r="278" spans="1:16">
      <c r="A278"/>
      <c r="B278" s="477"/>
      <c r="C278" s="566">
        <v>2.56</v>
      </c>
      <c r="D278" s="37">
        <v>1.9</v>
      </c>
      <c r="E278" s="37">
        <f t="shared" si="3"/>
        <v>2.3039999999999998</v>
      </c>
      <c r="F278" s="47">
        <f>SUM($E$2:E278)/SUM($C$2:C278)</f>
        <v>-3.5318738734629127E-3</v>
      </c>
      <c r="G278" s="37">
        <f t="shared" si="4"/>
        <v>-3.0959700000001154</v>
      </c>
      <c r="H278" s="578" t="s">
        <v>18</v>
      </c>
      <c r="I278" s="2"/>
      <c r="J278" s="2"/>
      <c r="K278" s="2"/>
      <c r="O278" s="58"/>
      <c r="P278" s="58"/>
    </row>
    <row r="279" spans="1:16">
      <c r="A279"/>
      <c r="B279" s="477"/>
      <c r="C279" s="566">
        <v>2.56</v>
      </c>
      <c r="D279" s="37"/>
      <c r="E279" s="37">
        <f t="shared" si="3"/>
        <v>-2.56</v>
      </c>
      <c r="F279" s="47">
        <f>SUM($E$2:E279)/SUM($C$2:C279)</f>
        <v>-6.4335259458108201E-3</v>
      </c>
      <c r="G279" s="37">
        <f t="shared" si="4"/>
        <v>-5.6559700000001154</v>
      </c>
      <c r="H279" s="578" t="s">
        <v>15</v>
      </c>
      <c r="I279" s="2"/>
      <c r="J279" s="2"/>
      <c r="K279" s="2"/>
      <c r="O279" s="58"/>
      <c r="P279" s="58"/>
    </row>
    <row r="280" spans="1:16">
      <c r="A280"/>
      <c r="B280" s="477"/>
      <c r="C280" s="566">
        <v>2.56</v>
      </c>
      <c r="D280" s="37">
        <v>1.8620000000000001</v>
      </c>
      <c r="E280" s="37">
        <f t="shared" si="3"/>
        <v>2.2067200000000002</v>
      </c>
      <c r="F280" s="47">
        <f>SUM($E$2:E280)/SUM($C$2:C280)</f>
        <v>-3.9120449132359313E-3</v>
      </c>
      <c r="G280" s="37">
        <f t="shared" si="4"/>
        <v>-3.4492500000001152</v>
      </c>
      <c r="H280" s="578" t="s">
        <v>28</v>
      </c>
      <c r="I280" s="2"/>
      <c r="J280" s="2"/>
      <c r="K280" s="2"/>
      <c r="O280" s="58"/>
      <c r="P280" s="58"/>
    </row>
    <row r="281" spans="1:16">
      <c r="A281"/>
      <c r="B281" s="477"/>
      <c r="C281" s="566">
        <v>2.56</v>
      </c>
      <c r="D281" s="37"/>
      <c r="E281" s="37">
        <f t="shared" si="3"/>
        <v>-2.56</v>
      </c>
      <c r="F281" s="47">
        <f>SUM($E$2:E281)/SUM($C$2:C281)</f>
        <v>-6.7957953543076981E-3</v>
      </c>
      <c r="G281" s="37">
        <f t="shared" si="4"/>
        <v>-6.0092500000001152</v>
      </c>
      <c r="H281" s="578" t="s">
        <v>38</v>
      </c>
      <c r="I281" s="2"/>
      <c r="J281" s="2"/>
      <c r="K281" s="2"/>
      <c r="O281" s="58"/>
      <c r="P281" s="58"/>
    </row>
    <row r="282" spans="1:16">
      <c r="A282"/>
      <c r="B282" s="477"/>
      <c r="C282" s="563">
        <v>2.56</v>
      </c>
      <c r="D282" s="40"/>
      <c r="E282" s="40">
        <f t="shared" si="3"/>
        <v>-2.56</v>
      </c>
      <c r="F282" s="48">
        <f>SUM($E$2:E282)/SUM($C$2:C282)</f>
        <v>-9.6628966419342495E-3</v>
      </c>
      <c r="G282" s="40">
        <f t="shared" si="4"/>
        <v>-8.5692500000001157</v>
      </c>
      <c r="H282" s="564" t="s">
        <v>16</v>
      </c>
      <c r="I282" s="2"/>
      <c r="J282" s="2"/>
      <c r="K282" s="2"/>
      <c r="O282" s="58"/>
      <c r="P282" s="58"/>
    </row>
    <row r="283" spans="1:16">
      <c r="A283"/>
      <c r="B283" s="479"/>
      <c r="C283" s="572">
        <v>2.56</v>
      </c>
      <c r="D283" s="97">
        <v>1.8620000000000001</v>
      </c>
      <c r="E283" s="97">
        <f t="shared" si="3"/>
        <v>2.2067200000000002</v>
      </c>
      <c r="F283" s="96">
        <f>SUM($E$2:E283)/SUM($C$2:C283)</f>
        <v>-7.1538937237177885E-3</v>
      </c>
      <c r="G283" s="97">
        <f t="shared" si="4"/>
        <v>-6.362530000000115</v>
      </c>
      <c r="H283" s="570" t="s">
        <v>60</v>
      </c>
      <c r="I283" s="2"/>
      <c r="J283" s="2"/>
      <c r="K283" s="2"/>
      <c r="O283" s="58"/>
      <c r="P283" s="58"/>
    </row>
    <row r="284" spans="1:16">
      <c r="A284"/>
      <c r="B284" s="479"/>
      <c r="C284" s="576">
        <v>2.56</v>
      </c>
      <c r="D284" s="37"/>
      <c r="E284" s="37">
        <f t="shared" si="3"/>
        <v>-2.56</v>
      </c>
      <c r="F284" s="47">
        <f>SUM($E$2:E284)/SUM($C$2:C284)</f>
        <v>-1.000350920465517E-2</v>
      </c>
      <c r="G284" s="37">
        <f t="shared" si="4"/>
        <v>-8.9225300000001155</v>
      </c>
      <c r="H284" s="578" t="s">
        <v>14</v>
      </c>
      <c r="I284" s="2"/>
      <c r="J284" s="2"/>
      <c r="K284" s="2"/>
      <c r="O284" s="58"/>
      <c r="P284" s="58"/>
    </row>
    <row r="285" spans="1:16">
      <c r="A285"/>
      <c r="B285" s="479"/>
      <c r="C285" s="576">
        <v>2.56</v>
      </c>
      <c r="D285" s="37"/>
      <c r="E285" s="37">
        <f t="shared" si="3"/>
        <v>-2.56</v>
      </c>
      <c r="F285" s="47">
        <f>SUM($E$2:E285)/SUM($C$2:C285)</f>
        <v>-1.2836813862493168E-2</v>
      </c>
      <c r="G285" s="37">
        <f>G284+E285</f>
        <v>-11.482530000000116</v>
      </c>
      <c r="H285" s="578" t="s">
        <v>29</v>
      </c>
      <c r="I285" s="2"/>
      <c r="J285" s="2"/>
      <c r="K285" s="2"/>
      <c r="O285" s="58"/>
      <c r="P285" s="58"/>
    </row>
    <row r="286" spans="1:16">
      <c r="A286"/>
      <c r="B286" s="479"/>
      <c r="C286" s="574">
        <v>2.56</v>
      </c>
      <c r="D286" s="38"/>
      <c r="E286" s="38">
        <f t="shared" si="3"/>
        <v>-2.56</v>
      </c>
      <c r="F286" s="59">
        <f>SUM($E$2:E286)/SUM($C$2:C286)</f>
        <v>-1.5653947339085619E-2</v>
      </c>
      <c r="G286" s="38">
        <f t="shared" ref="G286:G349" si="5">G285+E286</f>
        <v>-14.042530000000117</v>
      </c>
      <c r="H286" s="568" t="s">
        <v>34</v>
      </c>
      <c r="I286" s="2"/>
      <c r="J286" s="2"/>
      <c r="K286" s="2"/>
      <c r="O286" s="58"/>
      <c r="P286" s="58"/>
    </row>
    <row r="287" spans="1:16">
      <c r="A287"/>
      <c r="B287" s="477"/>
      <c r="C287" s="571">
        <v>2.56</v>
      </c>
      <c r="D287" s="552"/>
      <c r="E287" s="552">
        <f t="shared" si="3"/>
        <v>-2.56</v>
      </c>
      <c r="F287" s="555">
        <f>SUM($E$2:E287)/SUM($C$2:C287)</f>
        <v>-1.845504768680126E-2</v>
      </c>
      <c r="G287" s="552">
        <f t="shared" si="5"/>
        <v>-16.602530000000115</v>
      </c>
      <c r="H287" s="584" t="s">
        <v>137</v>
      </c>
      <c r="I287" s="2"/>
      <c r="J287" s="2"/>
      <c r="K287" s="2"/>
      <c r="O287" s="58"/>
      <c r="P287" s="58"/>
    </row>
    <row r="288" spans="1:16">
      <c r="A288"/>
      <c r="B288" s="477"/>
      <c r="C288" s="566">
        <v>2.56</v>
      </c>
      <c r="D288" s="37">
        <v>1.712</v>
      </c>
      <c r="E288" s="37">
        <f t="shared" si="3"/>
        <v>1.8227199999999999</v>
      </c>
      <c r="F288" s="47">
        <f>SUM($E$2:E288)/SUM($C$2:C288)</f>
        <v>-1.6382329468620616E-2</v>
      </c>
      <c r="G288" s="37">
        <f t="shared" si="5"/>
        <v>-14.779810000000115</v>
      </c>
      <c r="H288" s="578" t="s">
        <v>138</v>
      </c>
      <c r="I288" s="2"/>
      <c r="J288" s="2"/>
      <c r="K288" s="2"/>
      <c r="O288" s="58"/>
      <c r="P288" s="58"/>
    </row>
    <row r="289" spans="1:16">
      <c r="A289"/>
      <c r="B289" s="477"/>
      <c r="C289" s="566">
        <v>2.56</v>
      </c>
      <c r="D289" s="37"/>
      <c r="E289" s="37">
        <f t="shared" si="3"/>
        <v>-2.56</v>
      </c>
      <c r="F289" s="47">
        <f>SUM($E$2:E289)/SUM($C$2:C289)</f>
        <v>-1.9165517165152586E-2</v>
      </c>
      <c r="G289" s="37">
        <f t="shared" si="5"/>
        <v>-17.339810000000114</v>
      </c>
      <c r="H289" s="578" t="s">
        <v>139</v>
      </c>
      <c r="I289" s="2"/>
      <c r="J289" s="2"/>
      <c r="K289" s="2"/>
      <c r="O289" s="58"/>
      <c r="P289" s="58"/>
    </row>
    <row r="290" spans="1:16">
      <c r="A290"/>
      <c r="B290" s="477"/>
      <c r="C290" s="566">
        <v>2.56</v>
      </c>
      <c r="D290" s="37"/>
      <c r="E290" s="37">
        <f t="shared" si="3"/>
        <v>-2.56</v>
      </c>
      <c r="F290" s="47">
        <f>SUM($E$2:E290)/SUM($C$2:C290)</f>
        <v>-2.193299900804602E-2</v>
      </c>
      <c r="G290" s="37">
        <f t="shared" si="5"/>
        <v>-19.899810000000112</v>
      </c>
      <c r="H290" s="578" t="s">
        <v>140</v>
      </c>
      <c r="I290" s="2"/>
      <c r="J290" s="2"/>
      <c r="K290" s="2"/>
      <c r="O290" s="58"/>
      <c r="P290" s="58"/>
    </row>
    <row r="291" spans="1:16">
      <c r="A291"/>
      <c r="B291" s="477"/>
      <c r="C291" s="566">
        <v>2.56</v>
      </c>
      <c r="D291" s="37"/>
      <c r="E291" s="37">
        <f t="shared" si="3"/>
        <v>-2.56</v>
      </c>
      <c r="F291" s="47">
        <f>SUM($E$2:E291)/SUM($C$2:C291)</f>
        <v>-2.4684907568197481E-2</v>
      </c>
      <c r="G291" s="37">
        <f t="shared" si="5"/>
        <v>-22.459810000000111</v>
      </c>
      <c r="H291" s="578" t="s">
        <v>141</v>
      </c>
      <c r="I291" s="2"/>
      <c r="J291" s="2"/>
      <c r="K291" s="2"/>
      <c r="O291" s="58"/>
      <c r="P291" s="58"/>
    </row>
    <row r="292" spans="1:16">
      <c r="A292"/>
      <c r="B292" s="477"/>
      <c r="C292" s="566">
        <v>2.56</v>
      </c>
      <c r="D292" s="37"/>
      <c r="E292" s="37">
        <f t="shared" si="3"/>
        <v>-2.56</v>
      </c>
      <c r="F292" s="47">
        <f>SUM($E$2:E292)/SUM($C$2:C292)</f>
        <v>-2.742137392867338E-2</v>
      </c>
      <c r="G292" s="37">
        <f t="shared" si="5"/>
        <v>-25.01981000000011</v>
      </c>
      <c r="H292" s="578" t="s">
        <v>142</v>
      </c>
      <c r="I292" s="2"/>
      <c r="J292" s="2"/>
      <c r="K292" s="2"/>
      <c r="O292" s="58"/>
      <c r="P292" s="58"/>
    </row>
    <row r="293" spans="1:16">
      <c r="A293"/>
      <c r="B293" s="477"/>
      <c r="C293" s="583">
        <v>2.56</v>
      </c>
      <c r="D293" s="581"/>
      <c r="E293" s="581">
        <f t="shared" si="3"/>
        <v>-2.56</v>
      </c>
      <c r="F293" s="582">
        <f>SUM($E$2:E293)/SUM($C$2:C293)</f>
        <v>-3.0142527705523808E-2</v>
      </c>
      <c r="G293" s="581">
        <f t="shared" si="5"/>
        <v>-27.579810000000109</v>
      </c>
      <c r="H293" s="373" t="s">
        <v>143</v>
      </c>
      <c r="I293" s="2">
        <f>SUM(E276:E293)</f>
        <v>-17.832960000000003</v>
      </c>
      <c r="L293" s="2">
        <f>I293/C293</f>
        <v>-6.9660000000000011</v>
      </c>
      <c r="O293" s="58"/>
      <c r="P293" s="58"/>
    </row>
    <row r="294" spans="1:16">
      <c r="A294"/>
      <c r="B294" s="476">
        <v>45995</v>
      </c>
      <c r="C294" s="571">
        <v>4.4800000000000004</v>
      </c>
      <c r="D294" s="552"/>
      <c r="E294" s="552">
        <f t="shared" si="3"/>
        <v>-4.4800000000000004</v>
      </c>
      <c r="F294" s="555">
        <f>SUM($E$2:E294)/SUM($C$2:C294)</f>
        <v>-3.4868085615470154E-2</v>
      </c>
      <c r="G294" s="552">
        <f t="shared" si="5"/>
        <v>-32.059810000000112</v>
      </c>
      <c r="H294" s="584" t="s">
        <v>27</v>
      </c>
      <c r="I294" s="2"/>
      <c r="J294" s="2"/>
      <c r="K294" s="2"/>
      <c r="O294" s="58"/>
      <c r="P294" s="58"/>
    </row>
    <row r="295" spans="1:16">
      <c r="A295"/>
      <c r="B295" s="477"/>
      <c r="C295" s="566">
        <v>4.4800000000000004</v>
      </c>
      <c r="D295" s="37">
        <v>1.768</v>
      </c>
      <c r="E295" s="37">
        <f t="shared" si="3"/>
        <v>3.4406400000000001</v>
      </c>
      <c r="F295" s="47">
        <f>SUM($E$2:E295)/SUM($C$2:C295)</f>
        <v>-3.0975139078295317E-2</v>
      </c>
      <c r="G295" s="37">
        <f t="shared" si="5"/>
        <v>-28.619170000000111</v>
      </c>
      <c r="H295" s="578" t="s">
        <v>37</v>
      </c>
      <c r="I295" s="2"/>
      <c r="J295" s="2"/>
      <c r="K295" s="2"/>
      <c r="O295" s="58"/>
      <c r="P295" s="58"/>
    </row>
    <row r="296" spans="1:16">
      <c r="A296" s="42"/>
      <c r="B296" s="477"/>
      <c r="C296" s="567">
        <v>4.4800000000000004</v>
      </c>
      <c r="D296" s="38">
        <v>1.9</v>
      </c>
      <c r="E296" s="38">
        <f t="shared" si="3"/>
        <v>4.032</v>
      </c>
      <c r="F296" s="59">
        <f>SUM($E$2:E296)/SUM($C$2:C296)</f>
        <v>-2.6482809504319346E-2</v>
      </c>
      <c r="G296" s="38">
        <f t="shared" si="5"/>
        <v>-24.587170000000111</v>
      </c>
      <c r="H296" s="568" t="s">
        <v>10</v>
      </c>
      <c r="I296" s="2"/>
      <c r="J296" s="2"/>
      <c r="K296" s="2"/>
      <c r="O296" s="58"/>
      <c r="P296" s="58"/>
    </row>
    <row r="297" spans="1:16">
      <c r="A297"/>
      <c r="B297" s="477"/>
      <c r="C297" s="571">
        <v>4.4800000000000004</v>
      </c>
      <c r="D297" s="552"/>
      <c r="E297" s="552">
        <f t="shared" si="3"/>
        <v>-4.4800000000000004</v>
      </c>
      <c r="F297" s="555">
        <f>SUM($E$2:E297)/SUM($C$2:C297)</f>
        <v>-3.115786257905475E-2</v>
      </c>
      <c r="G297" s="552">
        <f t="shared" si="5"/>
        <v>-29.067170000000111</v>
      </c>
      <c r="H297" s="584" t="s">
        <v>51</v>
      </c>
      <c r="I297" s="2"/>
      <c r="J297" s="2"/>
      <c r="K297" s="2"/>
      <c r="O297" s="58"/>
      <c r="P297" s="58"/>
    </row>
    <row r="298" spans="1:16">
      <c r="A298"/>
      <c r="B298" s="477"/>
      <c r="C298" s="566">
        <v>4.4800000000000004</v>
      </c>
      <c r="D298" s="37"/>
      <c r="E298" s="37">
        <f t="shared" si="3"/>
        <v>-4.4800000000000004</v>
      </c>
      <c r="F298" s="47">
        <f>SUM($E$2:E298)/SUM($C$2:C298)</f>
        <v>-3.5788228893298538E-2</v>
      </c>
      <c r="G298" s="37">
        <f t="shared" si="5"/>
        <v>-33.547170000000108</v>
      </c>
      <c r="H298" s="578" t="s">
        <v>11</v>
      </c>
      <c r="I298" s="2"/>
      <c r="J298" s="2"/>
      <c r="K298" s="2"/>
      <c r="O298" s="58"/>
      <c r="P298" s="58"/>
    </row>
    <row r="299" spans="1:16">
      <c r="A299"/>
      <c r="B299" s="477"/>
      <c r="C299" s="566">
        <v>4.4800000000000004</v>
      </c>
      <c r="D299" s="37"/>
      <c r="E299" s="37">
        <f t="shared" si="3"/>
        <v>-4.4800000000000004</v>
      </c>
      <c r="F299" s="47">
        <f>SUM($E$2:E299)/SUM($C$2:C299)</f>
        <v>-4.0374546110887172E-2</v>
      </c>
      <c r="G299" s="37">
        <f t="shared" si="5"/>
        <v>-38.027170000000112</v>
      </c>
      <c r="H299" s="578" t="s">
        <v>28</v>
      </c>
      <c r="I299" s="2"/>
      <c r="J299" s="2"/>
      <c r="K299" s="2"/>
      <c r="O299" s="58"/>
      <c r="P299" s="58"/>
    </row>
    <row r="300" spans="1:16">
      <c r="A300"/>
      <c r="B300" s="477"/>
      <c r="C300" s="566">
        <v>4.4800000000000004</v>
      </c>
      <c r="D300" s="37">
        <v>1.9</v>
      </c>
      <c r="E300" s="37">
        <f t="shared" si="3"/>
        <v>4.032</v>
      </c>
      <c r="F300" s="47">
        <f>SUM($E$2:E300)/SUM($C$2:C300)</f>
        <v>-3.592278673626835E-2</v>
      </c>
      <c r="G300" s="37">
        <f t="shared" si="5"/>
        <v>-33.995170000000115</v>
      </c>
      <c r="H300" s="578" t="s">
        <v>25</v>
      </c>
      <c r="I300" s="2"/>
      <c r="J300" s="2"/>
      <c r="K300" s="2"/>
      <c r="O300" s="58"/>
      <c r="P300" s="58"/>
    </row>
    <row r="301" spans="1:16">
      <c r="A301"/>
      <c r="B301" s="477"/>
      <c r="C301" s="567">
        <v>4.4800000000000004</v>
      </c>
      <c r="D301" s="38">
        <v>1.9</v>
      </c>
      <c r="E301" s="38">
        <f t="shared" si="3"/>
        <v>4.032</v>
      </c>
      <c r="F301" s="59">
        <f>SUM($E$2:E301)/SUM($C$2:C301)</f>
        <v>-3.1512978271386993E-2</v>
      </c>
      <c r="G301" s="38">
        <f t="shared" si="5"/>
        <v>-29.963170000000115</v>
      </c>
      <c r="H301" s="568" t="s">
        <v>13</v>
      </c>
      <c r="I301" s="2"/>
      <c r="J301" s="2"/>
      <c r="K301" s="2"/>
      <c r="O301" s="58"/>
      <c r="P301" s="58"/>
    </row>
    <row r="302" spans="1:16">
      <c r="A302"/>
      <c r="B302" s="477"/>
      <c r="C302" s="571">
        <v>4.4800000000000004</v>
      </c>
      <c r="D302" s="552"/>
      <c r="E302" s="552">
        <f t="shared" si="3"/>
        <v>-4.4800000000000004</v>
      </c>
      <c r="F302" s="555">
        <f>SUM($E$2:E302)/SUM($C$2:C302)</f>
        <v>-3.6054820475243575E-2</v>
      </c>
      <c r="G302" s="552">
        <f t="shared" si="5"/>
        <v>-34.443170000000116</v>
      </c>
      <c r="H302" s="584" t="s">
        <v>144</v>
      </c>
      <c r="I302" s="2"/>
      <c r="J302" s="2"/>
      <c r="K302" s="2"/>
      <c r="O302" s="58"/>
      <c r="P302" s="58"/>
    </row>
    <row r="303" spans="1:16">
      <c r="A303"/>
      <c r="B303" s="477"/>
      <c r="C303" s="566">
        <v>4.4800000000000004</v>
      </c>
      <c r="D303" s="37">
        <v>1.74</v>
      </c>
      <c r="E303" s="37">
        <f t="shared" ref="E303:E366" si="6">(C303*D303)-C303</f>
        <v>3.3151999999999999</v>
      </c>
      <c r="F303" s="47">
        <f>SUM($E$2:E303)/SUM($C$2:C303)</f>
        <v>-3.2432401175269521E-2</v>
      </c>
      <c r="G303" s="37">
        <f t="shared" si="5"/>
        <v>-31.127970000000115</v>
      </c>
      <c r="H303" s="578" t="s">
        <v>145</v>
      </c>
      <c r="I303" s="2"/>
      <c r="J303" s="2"/>
      <c r="K303" s="2"/>
      <c r="O303" s="58"/>
      <c r="P303" s="58"/>
    </row>
    <row r="304" spans="1:16">
      <c r="A304" s="42"/>
      <c r="B304" s="477"/>
      <c r="C304" s="566">
        <v>4.4800000000000004</v>
      </c>
      <c r="D304" s="37">
        <v>1.752</v>
      </c>
      <c r="E304" s="37">
        <f t="shared" si="6"/>
        <v>3.3689600000000004</v>
      </c>
      <c r="F304" s="47">
        <f>SUM($E$2:E304)/SUM($C$2:C304)</f>
        <v>-2.8787889158525884E-2</v>
      </c>
      <c r="G304" s="37">
        <f t="shared" si="5"/>
        <v>-27.759010000000114</v>
      </c>
      <c r="H304" s="578" t="s">
        <v>146</v>
      </c>
      <c r="I304" s="2"/>
      <c r="J304" s="2"/>
      <c r="K304" s="2"/>
      <c r="O304" s="58"/>
      <c r="P304" s="58"/>
    </row>
    <row r="305" spans="1:16">
      <c r="A305"/>
      <c r="B305" s="477"/>
      <c r="C305" s="566">
        <v>4.4800000000000004</v>
      </c>
      <c r="D305" s="37">
        <v>1.744</v>
      </c>
      <c r="E305" s="37">
        <f t="shared" si="6"/>
        <v>3.3331200000000001</v>
      </c>
      <c r="F305" s="47">
        <f>SUM($E$2:E305)/SUM($C$2:C305)</f>
        <v>-2.5214082209881042E-2</v>
      </c>
      <c r="G305" s="37">
        <f t="shared" si="5"/>
        <v>-24.425890000000113</v>
      </c>
      <c r="H305" s="578" t="s">
        <v>147</v>
      </c>
      <c r="I305" s="2"/>
      <c r="J305" s="2"/>
      <c r="K305" s="2"/>
      <c r="O305" s="58"/>
      <c r="P305" s="58"/>
    </row>
    <row r="306" spans="1:16">
      <c r="A306"/>
      <c r="B306" s="477"/>
      <c r="C306" s="583">
        <v>4.4800000000000004</v>
      </c>
      <c r="D306" s="581">
        <v>1.744</v>
      </c>
      <c r="E306" s="581">
        <f t="shared" si="6"/>
        <v>3.3331200000000001</v>
      </c>
      <c r="F306" s="582">
        <f>SUM($E$2:E306)/SUM($C$2:C306)</f>
        <v>-2.1673177698773301E-2</v>
      </c>
      <c r="G306" s="581">
        <f t="shared" si="5"/>
        <v>-21.092770000000112</v>
      </c>
      <c r="H306" s="373" t="s">
        <v>135</v>
      </c>
      <c r="I306" s="2">
        <f>SUM(E294:E306)</f>
        <v>6.4870399999999986</v>
      </c>
      <c r="L306" s="2">
        <f>I306/C306</f>
        <v>1.4479999999999995</v>
      </c>
      <c r="O306" s="58"/>
      <c r="P306" s="58"/>
    </row>
    <row r="307" spans="1:16">
      <c r="A307"/>
      <c r="B307" s="476">
        <v>45996</v>
      </c>
      <c r="C307" s="571">
        <v>1.89</v>
      </c>
      <c r="D307" s="552"/>
      <c r="E307" s="552">
        <f t="shared" si="6"/>
        <v>-1.89</v>
      </c>
      <c r="F307" s="555">
        <f>SUM($E$2:E307)/SUM($C$2:C307)</f>
        <v>-2.3569412681646335E-2</v>
      </c>
      <c r="G307" s="552">
        <f t="shared" si="5"/>
        <v>-22.982770000000112</v>
      </c>
      <c r="H307" s="584" t="s">
        <v>10</v>
      </c>
      <c r="I307" s="2"/>
      <c r="J307" s="2"/>
      <c r="K307" s="2"/>
      <c r="O307" s="58"/>
      <c r="P307" s="58"/>
    </row>
    <row r="308" spans="1:16">
      <c r="A308"/>
      <c r="B308" s="477"/>
      <c r="C308" s="566">
        <v>1.89</v>
      </c>
      <c r="D308" s="37"/>
      <c r="E308" s="37">
        <f t="shared" si="6"/>
        <v>-1.89</v>
      </c>
      <c r="F308" s="47">
        <f>SUM($E$2:E308)/SUM($C$2:C308)</f>
        <v>-2.545831115660201E-2</v>
      </c>
      <c r="G308" s="37">
        <f t="shared" si="5"/>
        <v>-24.872770000000113</v>
      </c>
      <c r="H308" s="578" t="s">
        <v>12</v>
      </c>
      <c r="I308" s="2"/>
      <c r="J308" s="2"/>
      <c r="K308" s="2"/>
      <c r="O308" s="58"/>
      <c r="P308" s="58"/>
    </row>
    <row r="309" spans="1:16">
      <c r="A309"/>
      <c r="B309" s="477"/>
      <c r="C309" s="566">
        <v>1.89</v>
      </c>
      <c r="D309" s="37">
        <v>1.8620000000000001</v>
      </c>
      <c r="E309" s="37">
        <f t="shared" si="6"/>
        <v>1.6291800000000001</v>
      </c>
      <c r="F309" s="47">
        <f>SUM($E$2:E309)/SUM($C$2:C309)</f>
        <v>-2.3744843649439833E-2</v>
      </c>
      <c r="G309" s="37">
        <f t="shared" si="5"/>
        <v>-23.243590000000111</v>
      </c>
      <c r="H309" s="578" t="s">
        <v>52</v>
      </c>
      <c r="I309" s="2"/>
      <c r="J309" s="2"/>
      <c r="K309" s="2"/>
      <c r="O309" s="58"/>
      <c r="P309" s="58"/>
    </row>
    <row r="310" spans="1:16">
      <c r="A310"/>
      <c r="B310" s="477"/>
      <c r="C310" s="566">
        <v>1.89</v>
      </c>
      <c r="D310" s="37">
        <v>1.8</v>
      </c>
      <c r="E310" s="37">
        <f t="shared" si="6"/>
        <v>1.5119999999999998</v>
      </c>
      <c r="F310" s="47">
        <f>SUM($E$2:E310)/SUM($C$2:C310)</f>
        <v>-2.2157456310283808E-2</v>
      </c>
      <c r="G310" s="37">
        <f t="shared" si="5"/>
        <v>-21.731590000000111</v>
      </c>
      <c r="H310" s="578" t="s">
        <v>47</v>
      </c>
      <c r="I310" s="2"/>
      <c r="J310" s="2"/>
      <c r="K310" s="2"/>
      <c r="O310" s="58"/>
      <c r="P310" s="58"/>
    </row>
    <row r="311" spans="1:16">
      <c r="A311"/>
      <c r="B311" s="477"/>
      <c r="C311" s="566">
        <v>1.89</v>
      </c>
      <c r="D311" s="37"/>
      <c r="E311" s="37">
        <f t="shared" si="6"/>
        <v>-1.89</v>
      </c>
      <c r="F311" s="47">
        <f>SUM($E$2:E311)/SUM($C$2:C311)</f>
        <v>-2.4038171512308464E-2</v>
      </c>
      <c r="G311" s="37">
        <f t="shared" si="5"/>
        <v>-23.621590000000111</v>
      </c>
      <c r="H311" s="578" t="s">
        <v>15</v>
      </c>
      <c r="I311" s="2"/>
      <c r="J311" s="2"/>
      <c r="K311" s="2"/>
      <c r="O311" s="58"/>
      <c r="P311" s="58"/>
    </row>
    <row r="312" spans="1:16">
      <c r="A312"/>
      <c r="B312" s="477"/>
      <c r="C312" s="566">
        <v>1.89</v>
      </c>
      <c r="D312" s="37"/>
      <c r="E312" s="37">
        <f t="shared" si="6"/>
        <v>-1.89</v>
      </c>
      <c r="F312" s="47">
        <f>SUM($E$2:E312)/SUM($C$2:C312)</f>
        <v>-2.5911666124969694E-2</v>
      </c>
      <c r="G312" s="37">
        <f t="shared" si="5"/>
        <v>-25.511590000000112</v>
      </c>
      <c r="H312" s="578" t="s">
        <v>36</v>
      </c>
      <c r="I312" s="2"/>
      <c r="J312" s="2"/>
      <c r="K312" s="2"/>
      <c r="O312" s="58"/>
      <c r="P312" s="58"/>
    </row>
    <row r="313" spans="1:16">
      <c r="A313"/>
      <c r="B313" s="477"/>
      <c r="C313" s="566">
        <v>1.89</v>
      </c>
      <c r="D313" s="37"/>
      <c r="E313" s="37">
        <f t="shared" si="6"/>
        <v>-1.89</v>
      </c>
      <c r="F313" s="47">
        <f>SUM($E$2:E313)/SUM($C$2:C313)</f>
        <v>-2.7777981651376318E-2</v>
      </c>
      <c r="G313" s="37">
        <f t="shared" si="5"/>
        <v>-27.401590000000112</v>
      </c>
      <c r="H313" s="578" t="s">
        <v>18</v>
      </c>
      <c r="I313" s="2"/>
      <c r="J313" s="2"/>
      <c r="K313" s="2"/>
      <c r="O313" s="58"/>
      <c r="P313" s="58"/>
    </row>
    <row r="314" spans="1:16">
      <c r="A314"/>
      <c r="B314" s="477"/>
      <c r="C314" s="567">
        <v>1.89</v>
      </c>
      <c r="D314" s="38">
        <v>1.9</v>
      </c>
      <c r="E314" s="38">
        <f t="shared" si="6"/>
        <v>1.7009999999999998</v>
      </c>
      <c r="F314" s="59">
        <f>SUM($E$2:E314)/SUM($C$2:C314)</f>
        <v>-2.6003794240848456E-2</v>
      </c>
      <c r="G314" s="38">
        <f t="shared" si="5"/>
        <v>-25.700590000000112</v>
      </c>
      <c r="H314" s="568" t="s">
        <v>17</v>
      </c>
      <c r="I314" s="2"/>
      <c r="J314" s="2"/>
      <c r="K314" s="2"/>
      <c r="O314" s="58"/>
      <c r="P314" s="58"/>
    </row>
    <row r="315" spans="1:16">
      <c r="A315"/>
      <c r="B315" s="477"/>
      <c r="C315" s="571">
        <v>1.89</v>
      </c>
      <c r="D315" s="552">
        <v>2</v>
      </c>
      <c r="E315" s="552">
        <f t="shared" si="6"/>
        <v>1.89</v>
      </c>
      <c r="F315" s="555">
        <f>SUM($E$2:E315)/SUM($C$2:C315)</f>
        <v>-2.4045514678408209E-2</v>
      </c>
      <c r="G315" s="552">
        <f t="shared" si="5"/>
        <v>-23.810590000000111</v>
      </c>
      <c r="H315" s="584" t="s">
        <v>37</v>
      </c>
      <c r="I315" s="2"/>
      <c r="J315" s="2"/>
      <c r="K315" s="2"/>
      <c r="O315" s="58"/>
      <c r="P315" s="58"/>
    </row>
    <row r="316" spans="1:16">
      <c r="A316"/>
      <c r="B316" s="477"/>
      <c r="C316" s="566">
        <v>1.89</v>
      </c>
      <c r="D316" s="37">
        <v>1.9</v>
      </c>
      <c r="E316" s="37">
        <f t="shared" si="6"/>
        <v>1.7009999999999998</v>
      </c>
      <c r="F316" s="47">
        <f>SUM($E$2:E316)/SUM($C$2:C316)</f>
        <v>-2.2285197355158808E-2</v>
      </c>
      <c r="G316" s="37">
        <f t="shared" si="5"/>
        <v>-22.109590000000111</v>
      </c>
      <c r="H316" s="578" t="s">
        <v>14</v>
      </c>
      <c r="I316" s="2"/>
      <c r="J316" s="2"/>
      <c r="K316" s="2"/>
      <c r="O316" s="58"/>
      <c r="P316" s="58"/>
    </row>
    <row r="317" spans="1:16">
      <c r="A317"/>
      <c r="B317" s="477"/>
      <c r="C317" s="566">
        <v>1.89</v>
      </c>
      <c r="D317" s="37">
        <v>1.9</v>
      </c>
      <c r="E317" s="37">
        <f t="shared" si="6"/>
        <v>1.7009999999999998</v>
      </c>
      <c r="F317" s="47">
        <f>SUM($E$2:E317)/SUM($C$2:C317)</f>
        <v>-2.0531574129033059E-2</v>
      </c>
      <c r="G317" s="37">
        <f t="shared" si="5"/>
        <v>-20.40859000000011</v>
      </c>
      <c r="H317" s="578" t="s">
        <v>46</v>
      </c>
      <c r="I317" s="2"/>
      <c r="J317" s="2"/>
      <c r="K317" s="2"/>
      <c r="O317" s="58"/>
      <c r="P317" s="58"/>
    </row>
    <row r="318" spans="1:16">
      <c r="A318"/>
      <c r="B318" s="477"/>
      <c r="C318" s="566">
        <v>1.89</v>
      </c>
      <c r="D318" s="37">
        <v>1.83</v>
      </c>
      <c r="E318" s="37">
        <f t="shared" si="6"/>
        <v>1.5687</v>
      </c>
      <c r="F318" s="47">
        <f>SUM($E$2:E318)/SUM($C$2:C318)</f>
        <v>-1.891745155136073E-2</v>
      </c>
      <c r="G318" s="37">
        <f t="shared" si="5"/>
        <v>-18.839890000000111</v>
      </c>
      <c r="H318" s="578" t="s">
        <v>29</v>
      </c>
      <c r="I318" s="2"/>
      <c r="J318" s="2"/>
      <c r="K318" s="2"/>
      <c r="O318" s="58"/>
      <c r="P318" s="58"/>
    </row>
    <row r="319" spans="1:16">
      <c r="A319"/>
      <c r="B319" s="477"/>
      <c r="C319" s="566">
        <v>1.89</v>
      </c>
      <c r="D319" s="37">
        <v>1.768</v>
      </c>
      <c r="E319" s="37">
        <f t="shared" si="6"/>
        <v>1.4515200000000001</v>
      </c>
      <c r="F319" s="47">
        <f>SUM($E$2:E319)/SUM($C$2:C319)</f>
        <v>-1.7426883412341422E-2</v>
      </c>
      <c r="G319" s="37">
        <f t="shared" si="5"/>
        <v>-17.388370000000112</v>
      </c>
      <c r="H319" s="578" t="s">
        <v>53</v>
      </c>
      <c r="I319" s="2"/>
      <c r="J319" s="2"/>
      <c r="K319" s="2"/>
      <c r="O319" s="58"/>
      <c r="P319" s="58"/>
    </row>
    <row r="320" spans="1:16">
      <c r="A320"/>
      <c r="B320" s="477"/>
      <c r="C320" s="566">
        <v>1.89</v>
      </c>
      <c r="D320" s="37"/>
      <c r="E320" s="37">
        <f t="shared" si="6"/>
        <v>-1.89</v>
      </c>
      <c r="F320" s="47">
        <f>SUM($E$2:E320)/SUM($C$2:C320)</f>
        <v>-1.9284541053137157E-2</v>
      </c>
      <c r="G320" s="37">
        <f t="shared" si="5"/>
        <v>-19.278370000000113</v>
      </c>
      <c r="H320" s="578" t="s">
        <v>26</v>
      </c>
      <c r="I320" s="2"/>
      <c r="J320" s="2"/>
      <c r="K320" s="2"/>
      <c r="O320" s="58"/>
      <c r="P320" s="58"/>
    </row>
    <row r="321" spans="1:16">
      <c r="A321"/>
      <c r="B321" s="477"/>
      <c r="C321" s="567">
        <v>1.89</v>
      </c>
      <c r="D321" s="38"/>
      <c r="E321" s="38">
        <f t="shared" si="6"/>
        <v>-1.89</v>
      </c>
      <c r="F321" s="59">
        <f>SUM($E$2:E321)/SUM($C$2:C321)</f>
        <v>-2.1135187755224456E-2</v>
      </c>
      <c r="G321" s="38">
        <f t="shared" si="5"/>
        <v>-21.168370000000113</v>
      </c>
      <c r="H321" s="568" t="s">
        <v>34</v>
      </c>
      <c r="I321" s="2"/>
      <c r="J321" s="2"/>
      <c r="K321" s="2"/>
      <c r="O321" s="58"/>
      <c r="P321" s="58"/>
    </row>
    <row r="322" spans="1:16">
      <c r="A322"/>
      <c r="B322" s="477"/>
      <c r="C322" s="571">
        <v>1.89</v>
      </c>
      <c r="D322" s="552">
        <v>1.75</v>
      </c>
      <c r="E322" s="552">
        <f t="shared" si="6"/>
        <v>1.4174999999999998</v>
      </c>
      <c r="F322" s="555">
        <f>SUM($E$2:E322)/SUM($C$2:C322)</f>
        <v>-1.968276762402104E-2</v>
      </c>
      <c r="G322" s="552">
        <f t="shared" si="5"/>
        <v>-19.750870000000113</v>
      </c>
      <c r="H322" s="584" t="s">
        <v>148</v>
      </c>
      <c r="I322" s="2"/>
      <c r="J322" s="2"/>
      <c r="K322" s="2"/>
      <c r="O322" s="58"/>
      <c r="P322" s="58"/>
    </row>
    <row r="323" spans="1:16">
      <c r="A323"/>
      <c r="B323" s="477"/>
      <c r="C323" s="566">
        <v>1.89</v>
      </c>
      <c r="D323" s="37">
        <v>1.736</v>
      </c>
      <c r="E323" s="37">
        <f t="shared" si="6"/>
        <v>1.3910400000000001</v>
      </c>
      <c r="F323" s="47">
        <f>SUM($E$2:E323)/SUM($C$2:C323)</f>
        <v>-1.8262127617247874E-2</v>
      </c>
      <c r="G323" s="37">
        <f t="shared" si="5"/>
        <v>-18.359830000000112</v>
      </c>
      <c r="H323" s="578" t="s">
        <v>149</v>
      </c>
      <c r="I323" s="2"/>
      <c r="J323" s="2"/>
      <c r="K323" s="2"/>
      <c r="O323" s="58"/>
      <c r="P323" s="58"/>
    </row>
    <row r="324" spans="1:16">
      <c r="A324"/>
      <c r="B324" s="477"/>
      <c r="C324" s="566">
        <v>1.89</v>
      </c>
      <c r="D324" s="37">
        <v>1.744</v>
      </c>
      <c r="E324" s="37">
        <f t="shared" si="6"/>
        <v>1.4061600000000001</v>
      </c>
      <c r="F324" s="47">
        <f>SUM($E$2:E324)/SUM($C$2:C324)</f>
        <v>-1.6831807712164082E-2</v>
      </c>
      <c r="G324" s="37">
        <f t="shared" si="5"/>
        <v>-16.953670000000113</v>
      </c>
      <c r="H324" s="578" t="s">
        <v>150</v>
      </c>
      <c r="I324" s="2"/>
      <c r="J324" s="2"/>
      <c r="K324" s="2"/>
      <c r="O324" s="58"/>
      <c r="P324" s="58"/>
    </row>
    <row r="325" spans="1:16">
      <c r="A325"/>
      <c r="B325" s="477"/>
      <c r="C325" s="566">
        <v>1.89</v>
      </c>
      <c r="D325" s="37">
        <v>1.77</v>
      </c>
      <c r="E325" s="37">
        <f t="shared" si="6"/>
        <v>1.4553</v>
      </c>
      <c r="F325" s="47">
        <f>SUM($E$2:E325)/SUM($C$2:C325)</f>
        <v>-1.5358150089681355E-2</v>
      </c>
      <c r="G325" s="37">
        <f t="shared" si="5"/>
        <v>-15.498370000000113</v>
      </c>
      <c r="H325" s="578" t="s">
        <v>151</v>
      </c>
      <c r="I325" s="2"/>
      <c r="J325" s="2"/>
      <c r="K325" s="2"/>
      <c r="O325" s="58"/>
      <c r="P325" s="58"/>
    </row>
    <row r="326" spans="1:16">
      <c r="A326"/>
      <c r="B326" s="477"/>
      <c r="C326" s="566">
        <v>1.89</v>
      </c>
      <c r="D326" s="37"/>
      <c r="E326" s="37">
        <f t="shared" si="6"/>
        <v>-1.89</v>
      </c>
      <c r="F326" s="47">
        <f>SUM($E$2:E326)/SUM($C$2:C326)</f>
        <v>-1.7198838796463126E-2</v>
      </c>
      <c r="G326" s="37">
        <f t="shared" si="5"/>
        <v>-17.388370000000112</v>
      </c>
      <c r="H326" s="578" t="s">
        <v>152</v>
      </c>
      <c r="I326" s="2"/>
      <c r="J326" s="2"/>
      <c r="K326" s="2"/>
      <c r="O326" s="58"/>
      <c r="P326" s="58"/>
    </row>
    <row r="327" spans="1:16">
      <c r="A327"/>
      <c r="B327" s="477"/>
      <c r="C327" s="566">
        <v>1.89</v>
      </c>
      <c r="D327" s="37"/>
      <c r="E327" s="37">
        <f t="shared" si="6"/>
        <v>-1.89</v>
      </c>
      <c r="F327" s="47">
        <f>SUM($E$2:E327)/SUM($C$2:C327)</f>
        <v>-1.9032658380310347E-2</v>
      </c>
      <c r="G327" s="37">
        <f t="shared" si="5"/>
        <v>-19.278370000000113</v>
      </c>
      <c r="H327" s="578" t="s">
        <v>153</v>
      </c>
      <c r="I327" s="2"/>
      <c r="J327" s="2"/>
      <c r="K327" s="2"/>
      <c r="O327" s="58"/>
      <c r="P327" s="58"/>
    </row>
    <row r="328" spans="1:16">
      <c r="A328"/>
      <c r="B328" s="477"/>
      <c r="C328" s="566">
        <v>1.89</v>
      </c>
      <c r="D328" s="37"/>
      <c r="E328" s="37">
        <f t="shared" si="6"/>
        <v>-1.89</v>
      </c>
      <c r="F328" s="47">
        <f>SUM($E$2:E328)/SUM($C$2:C328)</f>
        <v>-2.0859647221127472E-2</v>
      </c>
      <c r="G328" s="37">
        <f t="shared" si="5"/>
        <v>-21.168370000000113</v>
      </c>
      <c r="H328" s="578" t="s">
        <v>154</v>
      </c>
      <c r="I328" s="2"/>
      <c r="J328" s="2"/>
      <c r="K328" s="2"/>
      <c r="O328" s="58"/>
      <c r="P328" s="58"/>
    </row>
    <row r="329" spans="1:16">
      <c r="A329"/>
      <c r="B329" s="477"/>
      <c r="C329" s="567">
        <v>1.89</v>
      </c>
      <c r="D329" s="38"/>
      <c r="E329" s="38">
        <f t="shared" si="6"/>
        <v>-1.89</v>
      </c>
      <c r="F329" s="59">
        <f>SUM($E$2:E329)/SUM($C$2:C329)</f>
        <v>-2.2679843413430018E-2</v>
      </c>
      <c r="G329" s="38">
        <f t="shared" si="5"/>
        <v>-23.058370000000114</v>
      </c>
      <c r="H329" s="568" t="s">
        <v>84</v>
      </c>
      <c r="I329" s="2">
        <f>SUM(E307:E329)</f>
        <v>-1.9655999999999982</v>
      </c>
      <c r="L329" s="2">
        <f>I329/C329</f>
        <v>-1.0399999999999991</v>
      </c>
      <c r="O329" s="58"/>
      <c r="P329" s="58"/>
    </row>
    <row r="330" spans="1:16">
      <c r="A330"/>
      <c r="B330" s="476">
        <v>45997</v>
      </c>
      <c r="C330" s="571">
        <v>3.22</v>
      </c>
      <c r="D330" s="552"/>
      <c r="E330" s="552">
        <f t="shared" si="6"/>
        <v>-3.22</v>
      </c>
      <c r="F330" s="555">
        <f>SUM($E$2:E330)/SUM($C$2:C330)</f>
        <v>-2.5765381259130873E-2</v>
      </c>
      <c r="G330" s="552">
        <f t="shared" si="5"/>
        <v>-26.278370000000113</v>
      </c>
      <c r="H330" s="584" t="s">
        <v>13</v>
      </c>
      <c r="I330" s="2"/>
      <c r="J330" s="2"/>
      <c r="K330" s="2"/>
      <c r="O330" s="58"/>
      <c r="P330" s="58"/>
    </row>
    <row r="331" spans="1:16">
      <c r="A331"/>
      <c r="B331" s="477"/>
      <c r="C331" s="566">
        <v>3.22</v>
      </c>
      <c r="D331" s="37">
        <v>1.9</v>
      </c>
      <c r="E331" s="37">
        <f t="shared" si="6"/>
        <v>2.8980000000000001</v>
      </c>
      <c r="F331" s="47">
        <f>SUM($E$2:E331)/SUM($C$2:C331)</f>
        <v>-2.2851807688172729E-2</v>
      </c>
      <c r="G331" s="37">
        <f t="shared" si="5"/>
        <v>-23.380370000000113</v>
      </c>
      <c r="H331" s="578" t="s">
        <v>14</v>
      </c>
      <c r="I331" s="2"/>
      <c r="J331" s="2"/>
      <c r="K331" s="2"/>
      <c r="O331" s="58"/>
      <c r="P331" s="58"/>
    </row>
    <row r="332" spans="1:16">
      <c r="A332"/>
      <c r="B332" s="477"/>
      <c r="C332" s="566">
        <v>3.22</v>
      </c>
      <c r="D332" s="37"/>
      <c r="E332" s="37">
        <f t="shared" si="6"/>
        <v>-3.22</v>
      </c>
      <c r="F332" s="47">
        <f>SUM($E$2:E332)/SUM($C$2:C332)</f>
        <v>-2.591744531592553E-2</v>
      </c>
      <c r="G332" s="37">
        <f t="shared" si="5"/>
        <v>-26.600370000000112</v>
      </c>
      <c r="H332" s="578" t="s">
        <v>27</v>
      </c>
      <c r="I332" s="2"/>
      <c r="J332" s="2"/>
      <c r="K332" s="2"/>
      <c r="O332" s="58"/>
      <c r="P332" s="58"/>
    </row>
    <row r="333" spans="1:16">
      <c r="A333"/>
      <c r="B333" s="477"/>
      <c r="C333" s="566">
        <v>3.22</v>
      </c>
      <c r="D333" s="37">
        <v>1.8620000000000001</v>
      </c>
      <c r="E333" s="37">
        <f t="shared" si="6"/>
        <v>2.7756400000000006</v>
      </c>
      <c r="F333" s="47">
        <f>SUM($E$2:E333)/SUM($C$2:C333)</f>
        <v>-2.3140466408306536E-2</v>
      </c>
      <c r="G333" s="37">
        <f t="shared" si="5"/>
        <v>-23.824730000000113</v>
      </c>
      <c r="H333" s="578" t="s">
        <v>34</v>
      </c>
      <c r="I333" s="2"/>
      <c r="J333" s="2"/>
      <c r="K333" s="2"/>
      <c r="O333" s="58"/>
      <c r="P333" s="58"/>
    </row>
    <row r="334" spans="1:16">
      <c r="A334"/>
      <c r="B334" s="477"/>
      <c r="C334" s="567">
        <v>3.22</v>
      </c>
      <c r="D334" s="38"/>
      <c r="E334" s="38">
        <f t="shared" si="6"/>
        <v>-3.22</v>
      </c>
      <c r="F334" s="59">
        <f>SUM($E$2:E334)/SUM($C$2:C334)</f>
        <v>-2.6186088168940604E-2</v>
      </c>
      <c r="G334" s="38">
        <f t="shared" si="5"/>
        <v>-27.044730000000111</v>
      </c>
      <c r="H334" s="568" t="s">
        <v>18</v>
      </c>
      <c r="I334" s="2"/>
      <c r="J334" s="2"/>
      <c r="K334" s="2"/>
      <c r="O334" s="58"/>
      <c r="P334" s="58"/>
    </row>
    <row r="335" spans="1:16">
      <c r="A335"/>
      <c r="B335" s="477"/>
      <c r="C335" s="571">
        <v>3.22</v>
      </c>
      <c r="D335" s="552">
        <v>1.9</v>
      </c>
      <c r="E335" s="552">
        <f t="shared" si="6"/>
        <v>2.8980000000000001</v>
      </c>
      <c r="F335" s="555">
        <f>SUM($E$2:E335)/SUM($C$2:C335)</f>
        <v>-2.3307429464966709E-2</v>
      </c>
      <c r="G335" s="552">
        <f t="shared" si="5"/>
        <v>-24.146730000000112</v>
      </c>
      <c r="H335" s="584" t="s">
        <v>28</v>
      </c>
      <c r="I335" s="2"/>
      <c r="J335" s="2"/>
      <c r="K335" s="2"/>
      <c r="O335" s="58"/>
      <c r="P335" s="58"/>
    </row>
    <row r="336" spans="1:16">
      <c r="A336"/>
      <c r="B336" s="477"/>
      <c r="C336" s="566">
        <v>3.22</v>
      </c>
      <c r="D336" s="37">
        <v>1.8620000000000001</v>
      </c>
      <c r="E336" s="37">
        <f t="shared" si="6"/>
        <v>2.7756400000000006</v>
      </c>
      <c r="F336" s="47">
        <f>SUM($E$2:E336)/SUM($C$2:C336)</f>
        <v>-2.0564350528757016E-2</v>
      </c>
      <c r="G336" s="37">
        <f t="shared" si="5"/>
        <v>-21.371090000000112</v>
      </c>
      <c r="H336" s="578" t="s">
        <v>11</v>
      </c>
      <c r="I336" s="2"/>
      <c r="J336" s="2"/>
      <c r="K336" s="2"/>
      <c r="O336" s="58"/>
      <c r="P336" s="58"/>
    </row>
    <row r="337" spans="1:16">
      <c r="A337"/>
      <c r="B337" s="477"/>
      <c r="C337" s="566">
        <v>3.22</v>
      </c>
      <c r="D337" s="37"/>
      <c r="E337" s="37">
        <f t="shared" si="6"/>
        <v>-3.22</v>
      </c>
      <c r="F337" s="47">
        <f>SUM($E$2:E337)/SUM($C$2:C337)</f>
        <v>-2.3589706940380987E-2</v>
      </c>
      <c r="G337" s="37">
        <f t="shared" si="5"/>
        <v>-24.591090000000111</v>
      </c>
      <c r="H337" s="578" t="s">
        <v>46</v>
      </c>
      <c r="I337" s="2"/>
      <c r="J337" s="2"/>
      <c r="K337" s="2"/>
      <c r="O337" s="58"/>
      <c r="P337" s="58"/>
    </row>
    <row r="338" spans="1:16">
      <c r="A338"/>
      <c r="B338" s="477"/>
      <c r="C338" s="566">
        <v>3.22</v>
      </c>
      <c r="D338" s="37">
        <v>1.9</v>
      </c>
      <c r="E338" s="37">
        <f t="shared" si="6"/>
        <v>2.8980000000000001</v>
      </c>
      <c r="F338" s="47">
        <f>SUM($E$2:E338)/SUM($C$2:C338)</f>
        <v>-2.074563676877041E-2</v>
      </c>
      <c r="G338" s="37">
        <f t="shared" si="5"/>
        <v>-21.693090000000112</v>
      </c>
      <c r="H338" s="578" t="s">
        <v>97</v>
      </c>
      <c r="I338" s="2"/>
      <c r="J338" s="2"/>
      <c r="K338" s="2"/>
      <c r="O338" s="58"/>
      <c r="P338" s="58"/>
    </row>
    <row r="339" spans="1:16">
      <c r="A339"/>
      <c r="B339" s="477"/>
      <c r="C339" s="566">
        <v>3.22</v>
      </c>
      <c r="D339" s="37"/>
      <c r="E339" s="37">
        <f t="shared" si="6"/>
        <v>-3.22</v>
      </c>
      <c r="F339" s="47">
        <f>SUM($E$2:E339)/SUM($C$2:C339)</f>
        <v>-2.3751861491672299E-2</v>
      </c>
      <c r="G339" s="37">
        <f t="shared" si="5"/>
        <v>-24.913090000000111</v>
      </c>
      <c r="H339" s="578" t="s">
        <v>16</v>
      </c>
      <c r="I339" s="2"/>
      <c r="J339" s="2"/>
      <c r="K339" s="2"/>
      <c r="O339" s="58"/>
      <c r="P339" s="58"/>
    </row>
    <row r="340" spans="1:16">
      <c r="A340"/>
      <c r="B340" s="477"/>
      <c r="C340" s="566">
        <v>3.22</v>
      </c>
      <c r="D340" s="37"/>
      <c r="E340" s="37">
        <f t="shared" si="6"/>
        <v>-3.22</v>
      </c>
      <c r="F340" s="47">
        <f>SUM($E$2:E340)/SUM($C$2:C340)</f>
        <v>-2.6739685013924552E-2</v>
      </c>
      <c r="G340" s="37">
        <f t="shared" si="5"/>
        <v>-28.133090000000109</v>
      </c>
      <c r="H340" s="578" t="s">
        <v>104</v>
      </c>
      <c r="I340" s="2"/>
      <c r="J340" s="2"/>
      <c r="K340" s="2"/>
      <c r="O340" s="58"/>
      <c r="P340" s="58"/>
    </row>
    <row r="341" spans="1:16">
      <c r="A341"/>
      <c r="B341" s="477"/>
      <c r="C341" s="567">
        <v>3.22</v>
      </c>
      <c r="D341" s="38">
        <v>1.9</v>
      </c>
      <c r="E341" s="38">
        <f t="shared" si="6"/>
        <v>2.8980000000000001</v>
      </c>
      <c r="F341" s="59">
        <f>SUM($E$2:E341)/SUM($C$2:C341)</f>
        <v>-2.391203699316816E-2</v>
      </c>
      <c r="G341" s="38">
        <f t="shared" si="5"/>
        <v>-25.23509000000011</v>
      </c>
      <c r="H341" s="568" t="s">
        <v>17</v>
      </c>
      <c r="I341" s="2"/>
      <c r="J341" s="2"/>
      <c r="K341" s="2"/>
      <c r="O341" s="58"/>
      <c r="P341" s="58"/>
    </row>
    <row r="342" spans="1:16">
      <c r="A342"/>
      <c r="B342" s="477"/>
      <c r="C342" s="571">
        <v>3.22</v>
      </c>
      <c r="D342" s="552"/>
      <c r="E342" s="552">
        <f t="shared" si="6"/>
        <v>-3.22</v>
      </c>
      <c r="F342" s="555">
        <f>SUM($E$2:E342)/SUM($C$2:C342)</f>
        <v>-2.6881195975627187E-2</v>
      </c>
      <c r="G342" s="552">
        <f t="shared" si="5"/>
        <v>-28.455090000000109</v>
      </c>
      <c r="H342" s="584" t="s">
        <v>155</v>
      </c>
      <c r="I342" s="2"/>
      <c r="J342" s="2"/>
      <c r="K342" s="2"/>
      <c r="O342" s="58"/>
      <c r="P342" s="58"/>
    </row>
    <row r="343" spans="1:16">
      <c r="A343"/>
      <c r="B343" s="477"/>
      <c r="C343" s="566">
        <v>3.22</v>
      </c>
      <c r="D343" s="37">
        <v>1.79</v>
      </c>
      <c r="E343" s="37">
        <f t="shared" si="6"/>
        <v>2.5438000000000005</v>
      </c>
      <c r="F343" s="47">
        <f>SUM($E$2:E343)/SUM($C$2:C343)</f>
        <v>-2.4403863360238236E-2</v>
      </c>
      <c r="G343" s="37">
        <f t="shared" si="5"/>
        <v>-25.911290000000108</v>
      </c>
      <c r="H343" s="578" t="s">
        <v>102</v>
      </c>
      <c r="I343" s="2"/>
      <c r="J343" s="2"/>
      <c r="K343" s="2"/>
      <c r="O343" s="58"/>
      <c r="P343" s="58"/>
    </row>
    <row r="344" spans="1:16">
      <c r="A344"/>
      <c r="B344" s="477"/>
      <c r="C344" s="566">
        <v>3.22</v>
      </c>
      <c r="D344" s="37"/>
      <c r="E344" s="37">
        <f t="shared" si="6"/>
        <v>-3.22</v>
      </c>
      <c r="F344" s="47">
        <f>SUM($E$2:E344)/SUM($C$2:C344)</f>
        <v>-2.7353580784796248E-2</v>
      </c>
      <c r="G344" s="37">
        <f t="shared" si="5"/>
        <v>-29.131290000000106</v>
      </c>
      <c r="H344" s="578" t="s">
        <v>156</v>
      </c>
      <c r="I344" s="2"/>
      <c r="J344" s="2"/>
      <c r="K344" s="2"/>
      <c r="O344" s="58"/>
      <c r="P344" s="58"/>
    </row>
    <row r="345" spans="1:16">
      <c r="A345"/>
      <c r="B345" s="477"/>
      <c r="C345" s="566">
        <v>3.22</v>
      </c>
      <c r="D345" s="37">
        <v>1.79</v>
      </c>
      <c r="E345" s="37">
        <f t="shared" si="6"/>
        <v>2.5438000000000005</v>
      </c>
      <c r="F345" s="47">
        <f>SUM($E$2:E345)/SUM($C$2:C345)</f>
        <v>-2.4889759504217474E-2</v>
      </c>
      <c r="G345" s="37">
        <f t="shared" si="5"/>
        <v>-26.587490000000106</v>
      </c>
      <c r="H345" s="578" t="s">
        <v>157</v>
      </c>
      <c r="I345" s="2"/>
      <c r="J345" s="2"/>
      <c r="K345" s="2"/>
      <c r="O345" s="58"/>
      <c r="P345" s="58"/>
    </row>
    <row r="346" spans="1:16">
      <c r="A346"/>
      <c r="B346" s="477"/>
      <c r="C346" s="566">
        <v>3.22</v>
      </c>
      <c r="D346" s="37"/>
      <c r="E346" s="37">
        <f t="shared" si="6"/>
        <v>-3.22</v>
      </c>
      <c r="F346" s="47">
        <f>SUM($E$2:E346)/SUM($C$2:C346)</f>
        <v>-2.7820286906284269E-2</v>
      </c>
      <c r="G346" s="37">
        <f t="shared" si="5"/>
        <v>-29.807490000000104</v>
      </c>
      <c r="H346" s="578" t="s">
        <v>158</v>
      </c>
      <c r="I346" s="2"/>
      <c r="J346" s="2"/>
      <c r="K346" s="2"/>
      <c r="O346" s="58"/>
      <c r="P346" s="58"/>
    </row>
    <row r="347" spans="1:16">
      <c r="A347"/>
      <c r="B347" s="477"/>
      <c r="C347" s="583">
        <v>3.22</v>
      </c>
      <c r="D347" s="581">
        <v>1.79</v>
      </c>
      <c r="E347" s="581">
        <f t="shared" si="6"/>
        <v>2.5438000000000005</v>
      </c>
      <c r="F347" s="582">
        <f>SUM($E$2:E347)/SUM($C$2:C347)</f>
        <v>-2.5369832038338199E-2</v>
      </c>
      <c r="G347" s="581">
        <f t="shared" si="5"/>
        <v>-27.263690000000103</v>
      </c>
      <c r="H347" s="373" t="s">
        <v>159</v>
      </c>
      <c r="I347" s="2">
        <f>SUM(E330:E347)</f>
        <v>-4.2053199999999986</v>
      </c>
      <c r="L347" s="2">
        <f>I347/C347</f>
        <v>-1.3059999999999994</v>
      </c>
      <c r="O347" s="58"/>
      <c r="P347" s="58"/>
    </row>
    <row r="348" spans="1:16">
      <c r="A348"/>
      <c r="B348" s="476">
        <v>45998</v>
      </c>
      <c r="C348" s="571">
        <v>3.2</v>
      </c>
      <c r="D348" s="552"/>
      <c r="E348" s="552">
        <f t="shared" si="6"/>
        <v>-3.2</v>
      </c>
      <c r="F348" s="555">
        <f>SUM($E$2:E348)/SUM($C$2:C348)</f>
        <v>-2.8263385443243635E-2</v>
      </c>
      <c r="G348" s="552">
        <f t="shared" si="5"/>
        <v>-30.463690000000103</v>
      </c>
      <c r="H348" s="584" t="s">
        <v>64</v>
      </c>
      <c r="I348" s="2"/>
      <c r="J348" s="2"/>
      <c r="K348" s="2"/>
      <c r="O348" s="58"/>
      <c r="P348" s="58"/>
    </row>
    <row r="349" spans="1:16">
      <c r="A349"/>
      <c r="B349" s="477"/>
      <c r="C349" s="566">
        <v>3.2</v>
      </c>
      <c r="D349" s="37"/>
      <c r="E349" s="37">
        <f t="shared" si="6"/>
        <v>-3.2</v>
      </c>
      <c r="F349" s="47">
        <f>SUM($E$2:E349)/SUM($C$2:C349)</f>
        <v>-3.1139808519495077E-2</v>
      </c>
      <c r="G349" s="37">
        <f t="shared" si="5"/>
        <v>-33.663690000000102</v>
      </c>
      <c r="H349" s="578" t="s">
        <v>59</v>
      </c>
      <c r="I349" s="2"/>
      <c r="J349" s="2"/>
      <c r="K349" s="2"/>
      <c r="O349" s="58"/>
      <c r="P349" s="58"/>
    </row>
    <row r="350" spans="1:16">
      <c r="A350"/>
      <c r="B350" s="477"/>
      <c r="C350" s="567">
        <v>3.2</v>
      </c>
      <c r="D350" s="38"/>
      <c r="E350" s="38">
        <f t="shared" si="6"/>
        <v>-3.2</v>
      </c>
      <c r="F350" s="59">
        <f>SUM($E$2:E350)/SUM($C$2:C350)</f>
        <v>-3.3999252939820299E-2</v>
      </c>
      <c r="G350" s="38">
        <f t="shared" ref="G350:G362" si="7">G349+E350</f>
        <v>-36.863690000000105</v>
      </c>
      <c r="H350" s="568" t="s">
        <v>52</v>
      </c>
      <c r="I350" s="2"/>
      <c r="J350" s="2"/>
      <c r="K350" s="2"/>
      <c r="O350" s="58"/>
      <c r="P350" s="58"/>
    </row>
    <row r="351" spans="1:16">
      <c r="A351"/>
      <c r="B351" s="477"/>
      <c r="C351" s="571">
        <v>3.2</v>
      </c>
      <c r="D351" s="552"/>
      <c r="E351" s="552">
        <f t="shared" si="6"/>
        <v>-3.2</v>
      </c>
      <c r="F351" s="555">
        <f>SUM($E$2:E351)/SUM($C$2:C351)</f>
        <v>-3.6841868591659541E-2</v>
      </c>
      <c r="G351" s="552">
        <f t="shared" si="7"/>
        <v>-40.063690000000108</v>
      </c>
      <c r="H351" s="584" t="s">
        <v>29</v>
      </c>
      <c r="I351" s="2"/>
      <c r="J351" s="2"/>
      <c r="K351" s="2"/>
      <c r="O351" s="58"/>
      <c r="P351" s="58"/>
    </row>
    <row r="352" spans="1:16">
      <c r="A352"/>
      <c r="B352" s="477"/>
      <c r="C352" s="566">
        <v>3.2</v>
      </c>
      <c r="D352" s="37">
        <v>1.784</v>
      </c>
      <c r="E352" s="37">
        <f t="shared" si="6"/>
        <v>2.5087999999999999</v>
      </c>
      <c r="F352" s="47">
        <f>SUM($E$2:E352)/SUM($C$2:C352)</f>
        <v>-3.4433493788108158E-2</v>
      </c>
      <c r="G352" s="37">
        <f t="shared" si="7"/>
        <v>-37.554890000000107</v>
      </c>
      <c r="H352" s="578" t="s">
        <v>25</v>
      </c>
      <c r="I352" s="2"/>
      <c r="J352" s="2"/>
      <c r="K352" s="2"/>
      <c r="O352" s="58"/>
      <c r="P352" s="58"/>
    </row>
    <row r="353" spans="1:16">
      <c r="A353"/>
      <c r="B353" s="477"/>
      <c r="C353" s="566">
        <v>3.2</v>
      </c>
      <c r="D353" s="37"/>
      <c r="E353" s="37">
        <f t="shared" si="6"/>
        <v>-3.2</v>
      </c>
      <c r="F353" s="47">
        <f>SUM($E$2:E353)/SUM($C$2:C353)</f>
        <v>-3.7258207249623039E-2</v>
      </c>
      <c r="G353" s="37">
        <f t="shared" si="7"/>
        <v>-40.75489000000011</v>
      </c>
      <c r="H353" s="578" t="s">
        <v>15</v>
      </c>
      <c r="I353" s="2"/>
      <c r="J353" s="2"/>
      <c r="K353" s="2"/>
      <c r="O353" s="58"/>
      <c r="P353" s="58"/>
    </row>
    <row r="354" spans="1:16">
      <c r="A354"/>
      <c r="B354" s="477"/>
      <c r="C354" s="566">
        <v>3.2</v>
      </c>
      <c r="D354" s="37">
        <v>1.8069999999999999</v>
      </c>
      <c r="E354" s="37">
        <f t="shared" si="6"/>
        <v>2.5823999999999998</v>
      </c>
      <c r="F354" s="47">
        <f>SUM($E$2:E354)/SUM($C$2:C354)</f>
        <v>-3.4795579052914777E-2</v>
      </c>
      <c r="G354" s="37">
        <f t="shared" si="7"/>
        <v>-38.17249000000011</v>
      </c>
      <c r="H354" s="578" t="s">
        <v>26</v>
      </c>
      <c r="I354" s="2"/>
      <c r="J354" s="2"/>
      <c r="K354" s="2"/>
      <c r="O354" s="58"/>
      <c r="P354" s="58"/>
    </row>
    <row r="355" spans="1:16">
      <c r="A355"/>
      <c r="B355" s="477"/>
      <c r="C355" s="566">
        <v>3.2</v>
      </c>
      <c r="D355" s="37"/>
      <c r="E355" s="37">
        <f t="shared" si="6"/>
        <v>-3.2</v>
      </c>
      <c r="F355" s="47">
        <f>SUM($E$2:E355)/SUM($C$2:C355)</f>
        <v>-3.760280845262455E-2</v>
      </c>
      <c r="G355" s="37">
        <f t="shared" si="7"/>
        <v>-41.372490000000113</v>
      </c>
      <c r="H355" s="578" t="s">
        <v>35</v>
      </c>
      <c r="I355" s="2"/>
      <c r="J355" s="2"/>
      <c r="K355" s="2"/>
      <c r="O355" s="58"/>
      <c r="P355" s="58"/>
    </row>
    <row r="356" spans="1:16">
      <c r="A356"/>
      <c r="B356" s="477"/>
      <c r="C356" s="566">
        <v>3.2</v>
      </c>
      <c r="D356" s="37"/>
      <c r="E356" s="37">
        <f t="shared" si="6"/>
        <v>-3.2</v>
      </c>
      <c r="F356" s="47">
        <f>SUM($E$2:E356)/SUM($C$2:C356)</f>
        <v>-4.0393755947256485E-2</v>
      </c>
      <c r="G356" s="37">
        <f t="shared" si="7"/>
        <v>-44.572490000000116</v>
      </c>
      <c r="H356" s="578" t="s">
        <v>51</v>
      </c>
      <c r="I356" s="2"/>
      <c r="J356" s="2"/>
      <c r="K356" s="2"/>
      <c r="O356" s="58"/>
      <c r="P356" s="58"/>
    </row>
    <row r="357" spans="1:16">
      <c r="A357"/>
      <c r="B357" s="477"/>
      <c r="C357" s="567">
        <v>3.2</v>
      </c>
      <c r="D357" s="38"/>
      <c r="E357" s="38">
        <f t="shared" si="6"/>
        <v>-3.2</v>
      </c>
      <c r="F357" s="59">
        <f>SUM($E$2:E357)/SUM($C$2:C357)</f>
        <v>-4.3168562779560091E-2</v>
      </c>
      <c r="G357" s="38">
        <f t="shared" si="7"/>
        <v>-47.772490000000118</v>
      </c>
      <c r="H357" s="568" t="s">
        <v>47</v>
      </c>
      <c r="I357" s="2"/>
      <c r="J357" s="2"/>
      <c r="K357" s="2"/>
      <c r="O357" s="58"/>
      <c r="P357" s="58"/>
    </row>
    <row r="358" spans="1:16">
      <c r="A358"/>
      <c r="B358" s="477"/>
      <c r="C358" s="571">
        <v>3.2</v>
      </c>
      <c r="D358" s="552"/>
      <c r="E358" s="552">
        <f t="shared" si="6"/>
        <v>-3.2</v>
      </c>
      <c r="F358" s="555">
        <f>SUM($E$2:E358)/SUM($C$2:C358)</f>
        <v>-4.5927368563319526E-2</v>
      </c>
      <c r="G358" s="552">
        <f t="shared" si="7"/>
        <v>-50.972490000000121</v>
      </c>
      <c r="H358" s="584" t="s">
        <v>160</v>
      </c>
      <c r="I358" s="2"/>
      <c r="J358" s="2"/>
      <c r="K358" s="2"/>
      <c r="O358" s="58"/>
      <c r="P358" s="58"/>
    </row>
    <row r="359" spans="1:16">
      <c r="A359"/>
      <c r="B359" s="477"/>
      <c r="C359" s="566">
        <v>3.2</v>
      </c>
      <c r="D359" s="37">
        <v>1.794</v>
      </c>
      <c r="E359" s="37">
        <f t="shared" si="6"/>
        <v>2.5407999999999999</v>
      </c>
      <c r="F359" s="47">
        <f>SUM($E$2:E359)/SUM($C$2:C359)</f>
        <v>-4.3512591527784174E-2</v>
      </c>
      <c r="G359" s="37">
        <f t="shared" si="7"/>
        <v>-48.431690000000124</v>
      </c>
      <c r="H359" s="578" t="s">
        <v>161</v>
      </c>
      <c r="I359" s="2"/>
      <c r="J359" s="2"/>
      <c r="K359" s="2"/>
      <c r="O359" s="58"/>
      <c r="P359" s="58"/>
    </row>
    <row r="360" spans="1:16">
      <c r="A360"/>
      <c r="B360" s="477"/>
      <c r="C360" s="566">
        <v>3.2</v>
      </c>
      <c r="D360" s="37"/>
      <c r="E360" s="37">
        <f t="shared" si="6"/>
        <v>-3.2</v>
      </c>
      <c r="F360" s="47">
        <f>SUM($E$2:E360)/SUM($C$2:C360)</f>
        <v>-4.6254593505039354E-2</v>
      </c>
      <c r="G360" s="37">
        <f t="shared" si="7"/>
        <v>-51.631690000000127</v>
      </c>
      <c r="H360" s="578" t="s">
        <v>162</v>
      </c>
      <c r="I360" s="2"/>
      <c r="J360" s="2"/>
      <c r="K360" s="2"/>
      <c r="O360" s="58"/>
      <c r="P360" s="58"/>
    </row>
    <row r="361" spans="1:16">
      <c r="A361"/>
      <c r="B361" s="477"/>
      <c r="C361" s="566">
        <v>3.2</v>
      </c>
      <c r="D361" s="37"/>
      <c r="E361" s="37">
        <f t="shared" si="6"/>
        <v>-3.2</v>
      </c>
      <c r="F361" s="47">
        <f>SUM($E$2:E361)/SUM($C$2:C361)</f>
        <v>-4.8980919201393705E-2</v>
      </c>
      <c r="G361" s="37">
        <f t="shared" si="7"/>
        <v>-54.83169000000013</v>
      </c>
      <c r="H361" s="578" t="s">
        <v>163</v>
      </c>
      <c r="I361" s="2"/>
      <c r="J361" s="2"/>
      <c r="K361" s="2"/>
      <c r="O361" s="58"/>
      <c r="P361" s="58"/>
    </row>
    <row r="362" spans="1:16">
      <c r="A362"/>
      <c r="B362" s="477"/>
      <c r="C362" s="583">
        <v>3.2</v>
      </c>
      <c r="D362" s="581"/>
      <c r="E362" s="581">
        <f t="shared" si="6"/>
        <v>-3.2</v>
      </c>
      <c r="F362" s="582">
        <f>SUM($E$2:E362)/SUM($C$2:C362)</f>
        <v>-5.1691702667795117E-2</v>
      </c>
      <c r="G362" s="581">
        <f t="shared" si="7"/>
        <v>-58.031690000000133</v>
      </c>
      <c r="H362" s="373" t="s">
        <v>164</v>
      </c>
      <c r="I362" s="444">
        <f>SUM(E348:E362)</f>
        <v>-30.767999999999994</v>
      </c>
      <c r="J362" s="444">
        <f>SUM(E239:E362)</f>
        <v>0.45845999999998011</v>
      </c>
      <c r="L362" s="2">
        <f>I362/C362</f>
        <v>-9.6149999999999967</v>
      </c>
      <c r="O362" s="58"/>
      <c r="P362" s="58"/>
    </row>
    <row r="363" spans="1:16">
      <c r="A363"/>
      <c r="B363" s="476">
        <v>45999</v>
      </c>
      <c r="C363" s="571">
        <v>7.13</v>
      </c>
      <c r="D363" s="552"/>
      <c r="E363" s="552">
        <f t="shared" si="6"/>
        <v>-7.13</v>
      </c>
      <c r="F363" s="555">
        <f>SUM($E$2:E363)/SUM($C$2:C363)</f>
        <v>-5.7676441431075247E-2</v>
      </c>
      <c r="G363" s="552">
        <f>G362+E363</f>
        <v>-65.161690000000135</v>
      </c>
      <c r="H363" s="584" t="s">
        <v>38</v>
      </c>
      <c r="I363" s="2"/>
      <c r="J363" s="2"/>
      <c r="K363" s="2"/>
      <c r="O363" s="58"/>
      <c r="P363" s="58"/>
    </row>
    <row r="364" spans="1:16">
      <c r="A364"/>
      <c r="B364" s="477"/>
      <c r="C364" s="566">
        <v>7.13</v>
      </c>
      <c r="D364" s="37">
        <v>1.9</v>
      </c>
      <c r="E364" s="37">
        <f t="shared" si="6"/>
        <v>6.4169999999999989</v>
      </c>
      <c r="F364" s="47">
        <f>SUM($E$2:E364)/SUM($C$2:C364)</f>
        <v>-5.1670484031277913E-2</v>
      </c>
      <c r="G364" s="37">
        <f t="shared" ref="G364:G427" si="8">G363+E364</f>
        <v>-58.744690000000134</v>
      </c>
      <c r="H364" s="578" t="s">
        <v>36</v>
      </c>
      <c r="I364" s="2"/>
      <c r="J364" s="2"/>
      <c r="K364" s="2"/>
      <c r="O364" s="58"/>
      <c r="P364" s="58"/>
    </row>
    <row r="365" spans="1:16">
      <c r="A365"/>
      <c r="B365" s="477"/>
      <c r="C365" s="567">
        <v>7.13</v>
      </c>
      <c r="D365" s="38">
        <v>1.91</v>
      </c>
      <c r="E365" s="38">
        <f t="shared" si="6"/>
        <v>6.4882999999999997</v>
      </c>
      <c r="F365" s="59">
        <f>SUM($E$2:E365)/SUM($C$2:C365)</f>
        <v>-4.5677065487220871E-2</v>
      </c>
      <c r="G365" s="38">
        <f t="shared" si="8"/>
        <v>-52.256390000000131</v>
      </c>
      <c r="H365" s="568" t="s">
        <v>12</v>
      </c>
      <c r="I365" s="2"/>
      <c r="J365" s="2"/>
      <c r="K365" s="2"/>
      <c r="O365" s="58"/>
      <c r="P365" s="58"/>
    </row>
    <row r="366" spans="1:16">
      <c r="A366"/>
      <c r="B366" s="477"/>
      <c r="C366" s="571">
        <v>7.13</v>
      </c>
      <c r="D366" s="552"/>
      <c r="E366" s="552">
        <f t="shared" si="6"/>
        <v>-7.13</v>
      </c>
      <c r="F366" s="555">
        <f>SUM($E$2:E366)/SUM($C$2:C366)</f>
        <v>-5.158785409626742E-2</v>
      </c>
      <c r="G366" s="552">
        <f t="shared" si="8"/>
        <v>-59.386390000000134</v>
      </c>
      <c r="H366" s="584" t="s">
        <v>60</v>
      </c>
      <c r="I366" s="2"/>
      <c r="J366" s="2"/>
      <c r="K366" s="2"/>
      <c r="O366" s="58"/>
      <c r="P366" s="58"/>
    </row>
    <row r="367" spans="1:16">
      <c r="A367"/>
      <c r="B367" s="477"/>
      <c r="C367" s="566">
        <v>7.13</v>
      </c>
      <c r="D367" s="37"/>
      <c r="E367" s="37">
        <f t="shared" ref="E367:E430" si="9">(C367*D367)-C367</f>
        <v>-7.13</v>
      </c>
      <c r="F367" s="47">
        <f>SUM($E$2:E367)/SUM($C$2:C367)</f>
        <v>-5.7425874125874264E-2</v>
      </c>
      <c r="G367" s="37">
        <f t="shared" si="8"/>
        <v>-66.516390000000129</v>
      </c>
      <c r="H367" s="578" t="s">
        <v>104</v>
      </c>
      <c r="I367" s="2"/>
      <c r="J367" s="2"/>
      <c r="K367" s="2"/>
      <c r="O367" s="58"/>
      <c r="P367" s="58"/>
    </row>
    <row r="368" spans="1:16">
      <c r="A368"/>
      <c r="B368" s="477"/>
      <c r="C368" s="567">
        <v>7.13</v>
      </c>
      <c r="D368" s="38">
        <v>1.83</v>
      </c>
      <c r="E368" s="38">
        <f t="shared" si="9"/>
        <v>5.9179000000000004</v>
      </c>
      <c r="F368" s="59">
        <f>SUM($E$2:E368)/SUM($C$2:C368)</f>
        <v>-5.1996679337240455E-2</v>
      </c>
      <c r="G368" s="38">
        <f t="shared" si="8"/>
        <v>-60.598490000000126</v>
      </c>
      <c r="H368" s="568" t="s">
        <v>13</v>
      </c>
      <c r="I368" s="2"/>
      <c r="J368" s="2"/>
      <c r="K368" s="2"/>
      <c r="O368" s="58"/>
      <c r="P368" s="58"/>
    </row>
    <row r="369" spans="1:16">
      <c r="A369"/>
      <c r="B369" s="477"/>
      <c r="C369" s="571">
        <v>7.13</v>
      </c>
      <c r="D369" s="552"/>
      <c r="E369" s="552">
        <f t="shared" si="9"/>
        <v>-7.13</v>
      </c>
      <c r="F369" s="555">
        <f>SUM($E$2:E369)/SUM($C$2:C369)</f>
        <v>-5.7761214777921926E-2</v>
      </c>
      <c r="G369" s="552">
        <f t="shared" si="8"/>
        <v>-67.728490000000122</v>
      </c>
      <c r="H369" s="584" t="s">
        <v>165</v>
      </c>
      <c r="I369" s="2"/>
      <c r="J369" s="2"/>
      <c r="K369" s="2"/>
      <c r="O369" s="58"/>
      <c r="P369" s="58"/>
    </row>
    <row r="370" spans="1:16">
      <c r="A370"/>
      <c r="B370" s="477"/>
      <c r="C370" s="566">
        <v>7.13</v>
      </c>
      <c r="D370" s="37"/>
      <c r="E370" s="37">
        <f t="shared" si="9"/>
        <v>-7.13</v>
      </c>
      <c r="F370" s="47">
        <f>SUM($E$2:E370)/SUM($C$2:C370)</f>
        <v>-6.345606896727117E-2</v>
      </c>
      <c r="G370" s="37">
        <f t="shared" si="8"/>
        <v>-74.858490000000117</v>
      </c>
      <c r="H370" s="578" t="s">
        <v>166</v>
      </c>
      <c r="I370" s="2"/>
      <c r="J370" s="2"/>
      <c r="K370" s="2"/>
      <c r="O370" s="58"/>
      <c r="P370" s="58"/>
    </row>
    <row r="371" spans="1:16">
      <c r="A371"/>
      <c r="B371" s="477"/>
      <c r="C371" s="583">
        <v>7.13</v>
      </c>
      <c r="D371" s="581">
        <v>1.8</v>
      </c>
      <c r="E371" s="581">
        <f t="shared" si="9"/>
        <v>5.7039999999999997</v>
      </c>
      <c r="F371" s="582">
        <f>SUM($E$2:E371)/SUM($C$2:C371)</f>
        <v>-5.8268726512866423E-2</v>
      </c>
      <c r="G371" s="581">
        <f t="shared" si="8"/>
        <v>-69.154490000000123</v>
      </c>
      <c r="H371" s="373" t="s">
        <v>167</v>
      </c>
      <c r="I371" s="2">
        <f>SUM(E363:E371)</f>
        <v>-11.122799999999998</v>
      </c>
      <c r="L371" s="2">
        <f>I371/C371</f>
        <v>-1.5599999999999998</v>
      </c>
      <c r="O371" s="58"/>
      <c r="P371" s="58"/>
    </row>
    <row r="372" spans="1:16">
      <c r="A372"/>
      <c r="B372" s="476">
        <v>46000</v>
      </c>
      <c r="C372" s="571">
        <v>10.51</v>
      </c>
      <c r="D372" s="552"/>
      <c r="E372" s="552">
        <f t="shared" si="9"/>
        <v>-10.51</v>
      </c>
      <c r="F372" s="555">
        <f>SUM($E$2:E372)/SUM($C$2:C372)</f>
        <v>-6.6535115632281941E-2</v>
      </c>
      <c r="G372" s="552">
        <f t="shared" si="8"/>
        <v>-79.664490000000129</v>
      </c>
      <c r="H372" s="584" t="s">
        <v>16</v>
      </c>
      <c r="I372" s="2"/>
      <c r="J372" s="2"/>
      <c r="K372" s="2"/>
      <c r="O372" s="58"/>
      <c r="P372" s="58"/>
    </row>
    <row r="373" spans="1:16">
      <c r="A373"/>
      <c r="B373" s="477"/>
      <c r="C373" s="567">
        <v>10.51</v>
      </c>
      <c r="D373" s="38">
        <v>1.9</v>
      </c>
      <c r="E373" s="38">
        <f t="shared" si="9"/>
        <v>9.4589999999999979</v>
      </c>
      <c r="F373" s="59">
        <f>SUM($E$2:E373)/SUM($C$2:C373)</f>
        <v>-5.8124826135912147E-2</v>
      </c>
      <c r="G373" s="38">
        <f t="shared" si="8"/>
        <v>-70.205490000000125</v>
      </c>
      <c r="H373" s="568" t="s">
        <v>29</v>
      </c>
      <c r="I373" s="2"/>
      <c r="J373" s="2"/>
      <c r="K373" s="2"/>
      <c r="O373" s="58"/>
      <c r="P373" s="58"/>
    </row>
    <row r="374" spans="1:16">
      <c r="A374"/>
      <c r="B374" s="477"/>
      <c r="C374" s="567">
        <v>10.51</v>
      </c>
      <c r="D374" s="38"/>
      <c r="E374" s="38">
        <f t="shared" si="9"/>
        <v>-10.51</v>
      </c>
      <c r="F374" s="59">
        <f>SUM($E$2:E374)/SUM($C$2:C374)</f>
        <v>-6.6249837895514543E-2</v>
      </c>
      <c r="G374" s="38">
        <f t="shared" si="8"/>
        <v>-80.715490000000131</v>
      </c>
      <c r="H374" s="568" t="s">
        <v>25</v>
      </c>
      <c r="I374" s="2"/>
      <c r="J374" s="2"/>
      <c r="K374" s="2"/>
      <c r="O374" s="58"/>
      <c r="P374" s="58"/>
    </row>
    <row r="375" spans="1:16">
      <c r="A375"/>
      <c r="B375" s="477"/>
      <c r="C375" s="571">
        <v>10.51</v>
      </c>
      <c r="D375" s="552"/>
      <c r="E375" s="552">
        <f t="shared" si="9"/>
        <v>-10.51</v>
      </c>
      <c r="F375" s="555">
        <f>SUM($E$2:E375)/SUM($C$2:C375)</f>
        <v>-7.423586901681245E-2</v>
      </c>
      <c r="G375" s="552">
        <f t="shared" si="8"/>
        <v>-91.225490000000136</v>
      </c>
      <c r="H375" s="584" t="s">
        <v>168</v>
      </c>
      <c r="I375" s="2"/>
      <c r="J375" s="2"/>
      <c r="K375" s="2"/>
      <c r="O375" s="58"/>
      <c r="P375" s="58"/>
    </row>
    <row r="376" spans="1:16">
      <c r="A376"/>
      <c r="B376" s="477"/>
      <c r="C376" s="583">
        <v>10.51</v>
      </c>
      <c r="D376" s="581"/>
      <c r="E376" s="581">
        <f t="shared" si="9"/>
        <v>-10.51</v>
      </c>
      <c r="F376" s="582">
        <f>SUM($E$2:E376)/SUM($C$2:C376)</f>
        <v>-8.2086455215149748E-2</v>
      </c>
      <c r="G376" s="445">
        <f t="shared" si="8"/>
        <v>-101.73549000000014</v>
      </c>
      <c r="H376" s="373" t="s">
        <v>169</v>
      </c>
      <c r="I376" s="2">
        <f>SUM(E372:E376)</f>
        <v>-32.581000000000003</v>
      </c>
      <c r="L376" s="2">
        <f>I376/C376</f>
        <v>-3.1000000000000005</v>
      </c>
      <c r="O376" s="58"/>
      <c r="P376" s="58"/>
    </row>
    <row r="377" spans="1:16">
      <c r="A377"/>
      <c r="B377" s="476">
        <v>46002</v>
      </c>
      <c r="C377" s="571">
        <v>4.99</v>
      </c>
      <c r="D377" s="552">
        <v>1.9</v>
      </c>
      <c r="E377" s="552">
        <f t="shared" si="9"/>
        <v>4.4909999999999997</v>
      </c>
      <c r="F377" s="555">
        <f>SUM($E$2:E377)/SUM($C$2:C377)</f>
        <v>-7.8148196663345132E-2</v>
      </c>
      <c r="G377" s="552">
        <f t="shared" si="8"/>
        <v>-97.244490000000141</v>
      </c>
      <c r="H377" s="584" t="s">
        <v>18</v>
      </c>
      <c r="I377" s="2"/>
      <c r="J377" s="2"/>
      <c r="K377" s="2"/>
      <c r="O377" s="58"/>
      <c r="P377" s="58"/>
    </row>
    <row r="378" spans="1:16">
      <c r="A378"/>
      <c r="B378" s="477"/>
      <c r="C378" s="567">
        <v>4.99</v>
      </c>
      <c r="D378" s="38">
        <v>1.9</v>
      </c>
      <c r="E378" s="38">
        <f t="shared" si="9"/>
        <v>4.4909999999999997</v>
      </c>
      <c r="F378" s="59">
        <f>SUM($E$2:E378)/SUM($C$2:C378)</f>
        <v>-7.4241397526714006E-2</v>
      </c>
      <c r="G378" s="38">
        <f t="shared" si="8"/>
        <v>-92.753490000000141</v>
      </c>
      <c r="H378" s="568" t="s">
        <v>59</v>
      </c>
      <c r="I378" s="2"/>
      <c r="J378" s="2"/>
      <c r="K378" s="2"/>
      <c r="O378" s="58"/>
      <c r="P378" s="58"/>
    </row>
    <row r="379" spans="1:16">
      <c r="A379"/>
      <c r="B379" s="477"/>
      <c r="C379" s="571">
        <v>4.99</v>
      </c>
      <c r="D379" s="552"/>
      <c r="E379" s="552">
        <f t="shared" si="9"/>
        <v>-4.99</v>
      </c>
      <c r="F379" s="555">
        <f>SUM($E$2:E379)/SUM($C$2:C379)</f>
        <v>-7.7924239042046137E-2</v>
      </c>
      <c r="G379" s="552">
        <f t="shared" si="8"/>
        <v>-97.743490000000136</v>
      </c>
      <c r="H379" s="584" t="s">
        <v>53</v>
      </c>
      <c r="I379" s="2"/>
      <c r="J379" s="2"/>
      <c r="K379" s="2"/>
      <c r="O379" s="58"/>
      <c r="P379" s="58"/>
    </row>
    <row r="380" spans="1:16">
      <c r="A380"/>
      <c r="B380" s="477"/>
      <c r="C380" s="571">
        <v>4.99</v>
      </c>
      <c r="D380" s="552">
        <v>1.9</v>
      </c>
      <c r="E380" s="552">
        <f t="shared" si="9"/>
        <v>4.4909999999999997</v>
      </c>
      <c r="F380" s="555">
        <f>SUM($E$2:E380)/SUM($C$2:C380)</f>
        <v>-7.4049288113520795E-2</v>
      </c>
      <c r="G380" s="552">
        <f t="shared" si="8"/>
        <v>-93.252490000000137</v>
      </c>
      <c r="H380" s="584" t="s">
        <v>34</v>
      </c>
      <c r="I380" s="2"/>
      <c r="J380" s="2"/>
      <c r="K380" s="2"/>
      <c r="O380" s="58"/>
      <c r="P380" s="58"/>
    </row>
    <row r="381" spans="1:16">
      <c r="A381"/>
      <c r="B381" s="477"/>
      <c r="C381" s="571">
        <v>4.99</v>
      </c>
      <c r="D381" s="552">
        <v>1.83</v>
      </c>
      <c r="E381" s="552">
        <f t="shared" si="9"/>
        <v>4.1417000000000002</v>
      </c>
      <c r="F381" s="555">
        <f>SUM($E$2:E381)/SUM($C$2:C381)</f>
        <v>-7.0481199379903936E-2</v>
      </c>
      <c r="G381" s="552">
        <f t="shared" si="8"/>
        <v>-89.110790000000137</v>
      </c>
      <c r="H381" s="584" t="s">
        <v>13</v>
      </c>
      <c r="I381" s="2"/>
      <c r="J381" s="2"/>
      <c r="K381" s="2"/>
      <c r="O381" s="58"/>
      <c r="P381" s="58"/>
    </row>
    <row r="382" spans="1:16">
      <c r="A382"/>
      <c r="B382" s="477"/>
      <c r="C382" s="567">
        <v>4.99</v>
      </c>
      <c r="D382" s="38"/>
      <c r="E382" s="38">
        <f t="shared" si="9"/>
        <v>-4.99</v>
      </c>
      <c r="F382" s="59">
        <f>SUM($E$2:E382)/SUM($C$2:C382)</f>
        <v>-7.4135388518171391E-2</v>
      </c>
      <c r="G382" s="38">
        <f t="shared" si="8"/>
        <v>-94.100790000000131</v>
      </c>
      <c r="H382" s="568" t="s">
        <v>38</v>
      </c>
      <c r="I382" s="2"/>
      <c r="J382" s="2"/>
      <c r="K382" s="2"/>
      <c r="O382" s="58"/>
      <c r="P382" s="58"/>
    </row>
    <row r="383" spans="1:16">
      <c r="A383"/>
      <c r="B383" s="477"/>
      <c r="C383" s="571">
        <v>4.99</v>
      </c>
      <c r="D383" s="552">
        <v>1.825</v>
      </c>
      <c r="E383" s="552">
        <f t="shared" si="9"/>
        <v>4.1167499999999997</v>
      </c>
      <c r="F383" s="555">
        <f>SUM($E$2:E383)/SUM($C$2:C383)</f>
        <v>-7.0614486384681902E-2</v>
      </c>
      <c r="G383" s="552">
        <f t="shared" si="8"/>
        <v>-89.984040000000135</v>
      </c>
      <c r="H383" s="584" t="s">
        <v>170</v>
      </c>
      <c r="I383" s="2"/>
      <c r="J383" s="2"/>
      <c r="K383" s="2"/>
      <c r="O383" s="58"/>
      <c r="P383" s="58"/>
    </row>
    <row r="384" spans="1:16">
      <c r="A384"/>
      <c r="B384" s="477"/>
      <c r="C384" s="571">
        <v>4.99</v>
      </c>
      <c r="D384" s="552"/>
      <c r="E384" s="552">
        <f t="shared" si="9"/>
        <v>-4.99</v>
      </c>
      <c r="F384" s="555">
        <f>SUM($E$2:E384)/SUM($C$2:C384)</f>
        <v>-7.4239648555057991E-2</v>
      </c>
      <c r="G384" s="552">
        <f t="shared" si="8"/>
        <v>-94.97404000000013</v>
      </c>
      <c r="H384" s="584" t="s">
        <v>171</v>
      </c>
      <c r="I384" s="2"/>
      <c r="J384" s="2"/>
      <c r="K384" s="2"/>
      <c r="O384" s="58"/>
      <c r="P384" s="58"/>
    </row>
    <row r="385" spans="1:16">
      <c r="A385"/>
      <c r="B385" s="477"/>
      <c r="C385" s="571">
        <v>4.99</v>
      </c>
      <c r="D385" s="552">
        <v>1.81</v>
      </c>
      <c r="E385" s="552">
        <f t="shared" si="9"/>
        <v>4.0419</v>
      </c>
      <c r="F385" s="555">
        <f>SUM($E$2:E385)/SUM($C$2:C385)</f>
        <v>-7.0803983554988112E-2</v>
      </c>
      <c r="G385" s="552">
        <f t="shared" si="8"/>
        <v>-90.932140000000132</v>
      </c>
      <c r="H385" s="584" t="s">
        <v>42</v>
      </c>
      <c r="I385" s="2"/>
      <c r="J385" s="2"/>
      <c r="K385" s="2"/>
      <c r="O385" s="58"/>
      <c r="P385" s="58"/>
    </row>
    <row r="386" spans="1:16">
      <c r="A386"/>
      <c r="B386" s="477"/>
      <c r="C386" s="583">
        <v>4.99</v>
      </c>
      <c r="D386" s="581">
        <v>1.8160000000000001</v>
      </c>
      <c r="E386" s="581">
        <f t="shared" si="9"/>
        <v>4.0718399999999999</v>
      </c>
      <c r="F386" s="582">
        <f>SUM($E$2:E386)/SUM($C$2:C386)</f>
        <v>-6.7371690956898198E-2</v>
      </c>
      <c r="G386" s="581">
        <f t="shared" si="8"/>
        <v>-86.860300000000137</v>
      </c>
      <c r="H386" s="373" t="s">
        <v>172</v>
      </c>
      <c r="I386" s="2">
        <f>SUM(E377:E386)</f>
        <v>14.875189999999998</v>
      </c>
      <c r="L386" s="2">
        <f>I386/C386</f>
        <v>2.9809999999999994</v>
      </c>
      <c r="O386" s="58"/>
      <c r="P386" s="58"/>
    </row>
    <row r="387" spans="1:16">
      <c r="A387"/>
      <c r="B387" s="476">
        <v>46003</v>
      </c>
      <c r="C387" s="571">
        <v>2.92</v>
      </c>
      <c r="D387" s="552">
        <v>1.91</v>
      </c>
      <c r="E387" s="552">
        <f t="shared" si="9"/>
        <v>2.6571999999999996</v>
      </c>
      <c r="F387" s="555">
        <f>SUM($E$2:E387)/SUM($C$2:C387)</f>
        <v>-6.5163095210456767E-2</v>
      </c>
      <c r="G387" s="552">
        <f t="shared" si="8"/>
        <v>-84.203100000000134</v>
      </c>
      <c r="H387" s="584" t="s">
        <v>35</v>
      </c>
      <c r="I387" s="2"/>
      <c r="J387" s="2"/>
      <c r="K387" s="2"/>
      <c r="O387" s="58"/>
      <c r="P387" s="58"/>
    </row>
    <row r="388" spans="1:16">
      <c r="A388"/>
      <c r="B388" s="477"/>
      <c r="C388" s="571">
        <v>2.92</v>
      </c>
      <c r="D388" s="552">
        <v>1.8620000000000001</v>
      </c>
      <c r="E388" s="552">
        <f t="shared" si="9"/>
        <v>2.5170400000000006</v>
      </c>
      <c r="F388" s="555">
        <f>SUM($E$2:E388)/SUM($C$2:C388)</f>
        <v>-6.3072681085004467E-2</v>
      </c>
      <c r="G388" s="552">
        <f t="shared" si="8"/>
        <v>-81.68606000000014</v>
      </c>
      <c r="H388" s="584" t="s">
        <v>14</v>
      </c>
      <c r="I388" s="2"/>
      <c r="J388" s="2"/>
      <c r="K388" s="2"/>
      <c r="O388" s="58"/>
      <c r="P388" s="58"/>
    </row>
    <row r="389" spans="1:16">
      <c r="A389"/>
      <c r="B389" s="477"/>
      <c r="C389" s="571">
        <v>2.92</v>
      </c>
      <c r="D389" s="552">
        <v>1.8620000000000001</v>
      </c>
      <c r="E389" s="552">
        <f t="shared" si="9"/>
        <v>2.5170400000000006</v>
      </c>
      <c r="F389" s="555">
        <f>SUM($E$2:E389)/SUM($C$2:C389)</f>
        <v>-6.0991671995254453E-2</v>
      </c>
      <c r="G389" s="552">
        <f t="shared" si="8"/>
        <v>-79.169020000000145</v>
      </c>
      <c r="H389" s="584" t="s">
        <v>28</v>
      </c>
      <c r="I389" s="2"/>
      <c r="J389" s="2"/>
      <c r="K389" s="2"/>
      <c r="O389" s="58"/>
      <c r="P389" s="58"/>
    </row>
    <row r="390" spans="1:16">
      <c r="A390"/>
      <c r="B390" s="477"/>
      <c r="C390" s="583">
        <v>2.92</v>
      </c>
      <c r="D390" s="581">
        <v>1.8</v>
      </c>
      <c r="E390" s="581">
        <f t="shared" si="9"/>
        <v>2.3360000000000003</v>
      </c>
      <c r="F390" s="582">
        <f>SUM($E$2:E390)/SUM($C$2:C390)</f>
        <v>-5.9059164456743252E-2</v>
      </c>
      <c r="G390" s="581">
        <f t="shared" si="8"/>
        <v>-76.833020000000147</v>
      </c>
      <c r="H390" s="373" t="s">
        <v>104</v>
      </c>
      <c r="I390" s="2"/>
      <c r="J390" s="2"/>
      <c r="K390" s="2"/>
      <c r="O390" s="58"/>
      <c r="P390" s="58"/>
    </row>
    <row r="391" spans="1:16">
      <c r="A391"/>
      <c r="B391" s="477"/>
      <c r="C391" s="571">
        <v>2.92</v>
      </c>
      <c r="D391" s="552">
        <v>2</v>
      </c>
      <c r="E391" s="552">
        <f t="shared" si="9"/>
        <v>2.92</v>
      </c>
      <c r="F391" s="555">
        <f>SUM($E$2:E391)/SUM($C$2:C391)</f>
        <v>-5.6687415156419063E-2</v>
      </c>
      <c r="G391" s="552">
        <f t="shared" si="8"/>
        <v>-73.913020000000145</v>
      </c>
      <c r="H391" s="584" t="s">
        <v>15</v>
      </c>
      <c r="I391" s="2"/>
      <c r="J391" s="2"/>
      <c r="K391" s="2"/>
      <c r="O391" s="58"/>
      <c r="P391" s="58"/>
    </row>
    <row r="392" spans="1:16">
      <c r="A392"/>
      <c r="B392" s="477"/>
      <c r="C392" s="571">
        <v>2.92</v>
      </c>
      <c r="D392" s="552">
        <v>1.83</v>
      </c>
      <c r="E392" s="552">
        <f t="shared" si="9"/>
        <v>2.4236000000000004</v>
      </c>
      <c r="F392" s="555">
        <f>SUM($E$2:E392)/SUM($C$2:C392)</f>
        <v>-5.4706127227787262E-2</v>
      </c>
      <c r="G392" s="552">
        <f t="shared" si="8"/>
        <v>-71.489420000000138</v>
      </c>
      <c r="H392" s="584" t="s">
        <v>97</v>
      </c>
      <c r="I392" s="2"/>
      <c r="J392" s="2"/>
      <c r="K392" s="2"/>
      <c r="O392" s="58"/>
      <c r="P392" s="58"/>
    </row>
    <row r="393" spans="1:16">
      <c r="A393"/>
      <c r="B393" s="477"/>
      <c r="C393" s="571">
        <v>2.92</v>
      </c>
      <c r="D393" s="552"/>
      <c r="E393" s="552">
        <f t="shared" si="9"/>
        <v>-2.92</v>
      </c>
      <c r="F393" s="555">
        <f>SUM($E$2:E393)/SUM($C$2:C393)</f>
        <v>-5.6813661039466834E-2</v>
      </c>
      <c r="G393" s="552">
        <f t="shared" si="8"/>
        <v>-74.409420000000139</v>
      </c>
      <c r="H393" s="584" t="s">
        <v>51</v>
      </c>
      <c r="I393" s="2"/>
      <c r="J393" s="2"/>
      <c r="K393" s="2"/>
      <c r="O393" s="58"/>
      <c r="P393" s="58"/>
    </row>
    <row r="394" spans="1:16">
      <c r="A394"/>
      <c r="B394" s="477"/>
      <c r="C394" s="571">
        <v>2.92</v>
      </c>
      <c r="D394" s="552">
        <v>1.9</v>
      </c>
      <c r="E394" s="552">
        <f t="shared" si="9"/>
        <v>2.6280000000000001</v>
      </c>
      <c r="F394" s="555">
        <f>SUM($E$2:E394)/SUM($C$2:C394)</f>
        <v>-5.4685189276490791E-2</v>
      </c>
      <c r="G394" s="552">
        <f t="shared" si="8"/>
        <v>-71.781420000000139</v>
      </c>
      <c r="H394" s="584" t="s">
        <v>11</v>
      </c>
      <c r="I394" s="2"/>
      <c r="J394" s="2"/>
      <c r="K394" s="2"/>
      <c r="O394" s="58"/>
      <c r="P394" s="58"/>
    </row>
    <row r="395" spans="1:16">
      <c r="A395"/>
      <c r="B395" s="477"/>
      <c r="C395" s="571">
        <v>2.92</v>
      </c>
      <c r="D395" s="552">
        <v>1.9</v>
      </c>
      <c r="E395" s="552">
        <f t="shared" si="9"/>
        <v>2.6280000000000001</v>
      </c>
      <c r="F395" s="555">
        <f>SUM($E$2:E395)/SUM($C$2:C395)</f>
        <v>-5.2566166242256171E-2</v>
      </c>
      <c r="G395" s="552">
        <f t="shared" si="8"/>
        <v>-69.153420000000139</v>
      </c>
      <c r="H395" s="584" t="s">
        <v>17</v>
      </c>
      <c r="I395" s="2"/>
      <c r="J395" s="2"/>
      <c r="K395" s="2"/>
      <c r="O395" s="58"/>
      <c r="P395" s="58"/>
    </row>
    <row r="396" spans="1:16">
      <c r="A396"/>
      <c r="B396" s="477"/>
      <c r="C396" s="583">
        <v>2.92</v>
      </c>
      <c r="D396" s="581">
        <v>2</v>
      </c>
      <c r="E396" s="581">
        <f t="shared" si="9"/>
        <v>2.92</v>
      </c>
      <c r="F396" s="582">
        <f>SUM($E$2:E396)/SUM($C$2:C396)</f>
        <v>-5.0235060335085444E-2</v>
      </c>
      <c r="G396" s="581">
        <f t="shared" si="8"/>
        <v>-66.233420000000137</v>
      </c>
      <c r="H396" s="373" t="s">
        <v>27</v>
      </c>
      <c r="I396" s="2"/>
      <c r="J396" s="2"/>
      <c r="K396" s="2"/>
      <c r="O396" s="58"/>
      <c r="P396" s="58"/>
    </row>
    <row r="397" spans="1:16">
      <c r="A397"/>
      <c r="B397" s="477"/>
      <c r="C397" s="571">
        <v>2.92</v>
      </c>
      <c r="D397" s="552">
        <v>1.83</v>
      </c>
      <c r="E397" s="552">
        <f t="shared" si="9"/>
        <v>2.4236000000000004</v>
      </c>
      <c r="F397" s="555">
        <f>SUM($E$2:E397)/SUM($C$2:C397)</f>
        <v>-4.8289921976100998E-2</v>
      </c>
      <c r="G397" s="552">
        <f t="shared" si="8"/>
        <v>-63.809820000000137</v>
      </c>
      <c r="H397" s="584" t="s">
        <v>173</v>
      </c>
      <c r="I397" s="2"/>
      <c r="J397" s="2"/>
      <c r="K397" s="2"/>
      <c r="O397" s="58"/>
      <c r="P397" s="58"/>
    </row>
    <row r="398" spans="1:16">
      <c r="A398"/>
      <c r="B398" s="477"/>
      <c r="C398" s="571">
        <v>2.92</v>
      </c>
      <c r="D398" s="552">
        <v>1.9</v>
      </c>
      <c r="E398" s="552">
        <f t="shared" si="9"/>
        <v>2.6280000000000001</v>
      </c>
      <c r="F398" s="555">
        <f>SUM($E$2:E398)/SUM($C$2:C398)</f>
        <v>-4.6199016846508824E-2</v>
      </c>
      <c r="G398" s="552">
        <f t="shared" si="8"/>
        <v>-61.181820000000137</v>
      </c>
      <c r="H398" s="584" t="s">
        <v>126</v>
      </c>
      <c r="I398" s="2"/>
      <c r="J398" s="2"/>
      <c r="K398" s="2"/>
      <c r="O398" s="58"/>
      <c r="P398" s="58"/>
    </row>
    <row r="399" spans="1:16">
      <c r="A399"/>
      <c r="B399" s="477"/>
      <c r="C399" s="571">
        <v>2.92</v>
      </c>
      <c r="D399" s="552">
        <v>1.8250000000000002</v>
      </c>
      <c r="E399" s="552">
        <f t="shared" si="9"/>
        <v>2.4090000000000007</v>
      </c>
      <c r="F399" s="555">
        <f>SUM($E$2:E399)/SUM($C$2:C399)</f>
        <v>-4.428231730747504E-2</v>
      </c>
      <c r="G399" s="552">
        <f t="shared" si="8"/>
        <v>-58.772820000000138</v>
      </c>
      <c r="H399" s="584" t="s">
        <v>174</v>
      </c>
      <c r="I399" s="2"/>
      <c r="J399" s="2"/>
      <c r="K399" s="2"/>
      <c r="O399" s="58"/>
      <c r="P399" s="58"/>
    </row>
    <row r="400" spans="1:16">
      <c r="A400"/>
      <c r="B400" s="477"/>
      <c r="C400" s="571">
        <v>2.92</v>
      </c>
      <c r="D400" s="552">
        <v>1.8250000000000002</v>
      </c>
      <c r="E400" s="552">
        <f t="shared" si="9"/>
        <v>2.4090000000000007</v>
      </c>
      <c r="F400" s="555">
        <f>SUM($E$2:E400)/SUM($C$2:C400)</f>
        <v>-4.2374033003796635E-2</v>
      </c>
      <c r="G400" s="552">
        <f t="shared" si="8"/>
        <v>-56.363820000000139</v>
      </c>
      <c r="H400" s="584" t="s">
        <v>175</v>
      </c>
      <c r="I400" s="2"/>
      <c r="J400" s="2"/>
      <c r="K400" s="2"/>
      <c r="O400" s="58"/>
      <c r="P400" s="58"/>
    </row>
    <row r="401" spans="1:16">
      <c r="A401"/>
      <c r="B401" s="477"/>
      <c r="C401" s="583">
        <v>2.92</v>
      </c>
      <c r="D401" s="581">
        <v>1.8560000000000001</v>
      </c>
      <c r="E401" s="581">
        <f t="shared" si="9"/>
        <v>2.4995200000000004</v>
      </c>
      <c r="F401" s="582">
        <f>SUM($E$2:E401)/SUM($C$2:C401)</f>
        <v>-4.0406205225532114E-2</v>
      </c>
      <c r="G401" s="581">
        <f t="shared" si="8"/>
        <v>-53.864300000000142</v>
      </c>
      <c r="H401" s="373" t="s">
        <v>176</v>
      </c>
      <c r="I401" s="2">
        <f>SUM(E387:E401)</f>
        <v>32.995999999999995</v>
      </c>
      <c r="L401" s="2">
        <f>I401/C401</f>
        <v>11.299999999999999</v>
      </c>
      <c r="O401" s="58"/>
      <c r="P401" s="58"/>
    </row>
    <row r="402" spans="1:16">
      <c r="A402"/>
      <c r="B402" s="476">
        <v>46005</v>
      </c>
      <c r="C402" s="571">
        <v>2.69</v>
      </c>
      <c r="D402" s="552"/>
      <c r="E402" s="552">
        <f t="shared" si="9"/>
        <v>-2.69</v>
      </c>
      <c r="F402" s="555">
        <f>SUM($E$2:E402)/SUM($C$2:C402)</f>
        <v>-4.2338668623106014E-2</v>
      </c>
      <c r="G402" s="552">
        <f t="shared" si="8"/>
        <v>-56.55430000000014</v>
      </c>
      <c r="H402" s="584" t="s">
        <v>11</v>
      </c>
      <c r="I402" s="2"/>
      <c r="J402" s="2"/>
      <c r="K402" s="2"/>
      <c r="L402" s="2"/>
      <c r="O402" s="58"/>
      <c r="P402" s="58"/>
    </row>
    <row r="403" spans="1:16">
      <c r="A403"/>
      <c r="B403" s="477"/>
      <c r="C403" s="571">
        <v>2.69</v>
      </c>
      <c r="D403" s="552">
        <v>1.784</v>
      </c>
      <c r="E403" s="552">
        <f t="shared" si="9"/>
        <v>2.1089600000000002</v>
      </c>
      <c r="F403" s="555">
        <f>SUM($E$2:E403)/SUM($C$2:C403)</f>
        <v>-4.0677903545145569E-2</v>
      </c>
      <c r="G403" s="552">
        <f t="shared" si="8"/>
        <v>-54.445340000000137</v>
      </c>
      <c r="H403" s="584" t="s">
        <v>15</v>
      </c>
      <c r="I403" s="2"/>
      <c r="J403" s="2"/>
      <c r="K403" s="2"/>
      <c r="L403" s="2"/>
      <c r="O403" s="58"/>
      <c r="P403" s="58"/>
    </row>
    <row r="404" spans="1:16">
      <c r="A404"/>
      <c r="B404" s="477"/>
      <c r="C404" s="571">
        <v>2.69</v>
      </c>
      <c r="D404" s="552">
        <v>1.7749999999999999</v>
      </c>
      <c r="E404" s="552">
        <f t="shared" si="9"/>
        <v>2.0847500000000001</v>
      </c>
      <c r="F404" s="555">
        <f>SUM($E$2:E404)/SUM($C$2:C404)</f>
        <v>-3.9041852453882586E-2</v>
      </c>
      <c r="G404" s="552">
        <f t="shared" si="8"/>
        <v>-52.360590000000137</v>
      </c>
      <c r="H404" s="584" t="s">
        <v>51</v>
      </c>
      <c r="I404" s="2"/>
      <c r="J404" s="2"/>
      <c r="K404" s="2"/>
      <c r="L404" s="2"/>
      <c r="O404" s="58"/>
      <c r="P404" s="58"/>
    </row>
    <row r="405" spans="1:16">
      <c r="A405"/>
      <c r="B405" s="477"/>
      <c r="C405" s="571">
        <v>2.69</v>
      </c>
      <c r="D405" s="552"/>
      <c r="E405" s="552">
        <f t="shared" si="9"/>
        <v>-2.69</v>
      </c>
      <c r="F405" s="555">
        <f>SUM($E$2:E405)/SUM($C$2:C405)</f>
        <v>-4.0965442057403156E-2</v>
      </c>
      <c r="G405" s="552">
        <f t="shared" si="8"/>
        <v>-55.050590000000135</v>
      </c>
      <c r="H405" s="584" t="s">
        <v>34</v>
      </c>
      <c r="I405" s="2"/>
      <c r="J405" s="2"/>
      <c r="K405" s="2"/>
      <c r="L405" s="2"/>
      <c r="O405" s="58"/>
      <c r="P405" s="58"/>
    </row>
    <row r="406" spans="1:16">
      <c r="A406"/>
      <c r="B406" s="477"/>
      <c r="C406" s="571">
        <v>2.69</v>
      </c>
      <c r="D406" s="552"/>
      <c r="E406" s="552">
        <f t="shared" si="9"/>
        <v>-2.69</v>
      </c>
      <c r="F406" s="555">
        <f>SUM($E$2:E406)/SUM($C$2:C406)</f>
        <v>-4.2881345988176986E-2</v>
      </c>
      <c r="G406" s="552">
        <f t="shared" si="8"/>
        <v>-57.740590000000132</v>
      </c>
      <c r="H406" s="584" t="s">
        <v>38</v>
      </c>
      <c r="I406" s="2"/>
      <c r="J406" s="2"/>
      <c r="K406" s="2"/>
      <c r="L406" s="2"/>
      <c r="O406" s="58"/>
      <c r="P406" s="58"/>
    </row>
    <row r="407" spans="1:16">
      <c r="A407"/>
      <c r="B407" s="477"/>
      <c r="C407" s="571">
        <v>2.69</v>
      </c>
      <c r="D407" s="552"/>
      <c r="E407" s="552">
        <f t="shared" si="9"/>
        <v>-2.69</v>
      </c>
      <c r="F407" s="555">
        <f>SUM($E$2:E407)/SUM($C$2:C407)</f>
        <v>-4.4789610216348877E-2</v>
      </c>
      <c r="G407" s="552">
        <f t="shared" si="8"/>
        <v>-60.43059000000013</v>
      </c>
      <c r="H407" s="584" t="s">
        <v>13</v>
      </c>
      <c r="I407" s="2"/>
      <c r="J407" s="2"/>
      <c r="K407" s="2"/>
      <c r="L407" s="2"/>
      <c r="O407" s="58"/>
      <c r="P407" s="58"/>
    </row>
    <row r="408" spans="1:16">
      <c r="A408"/>
      <c r="B408" s="477"/>
      <c r="C408" s="583">
        <v>2.69</v>
      </c>
      <c r="D408" s="581">
        <v>1.8160000000000001</v>
      </c>
      <c r="E408" s="581">
        <f t="shared" si="9"/>
        <v>2.1950400000000001</v>
      </c>
      <c r="F408" s="582">
        <f>SUM($E$2:E408)/SUM($C$2:C408)</f>
        <v>-4.3076817811968392E-2</v>
      </c>
      <c r="G408" s="581">
        <f t="shared" si="8"/>
        <v>-58.235550000000131</v>
      </c>
      <c r="H408" s="373" t="s">
        <v>10</v>
      </c>
      <c r="I408" s="2"/>
      <c r="J408" s="2"/>
      <c r="K408" s="2"/>
      <c r="L408" s="2"/>
      <c r="O408" s="58"/>
      <c r="P408" s="58"/>
    </row>
    <row r="409" spans="1:16">
      <c r="A409"/>
      <c r="B409" s="477"/>
      <c r="C409" s="571">
        <v>2.69</v>
      </c>
      <c r="D409" s="552"/>
      <c r="E409" s="552">
        <f t="shared" si="9"/>
        <v>-2.69</v>
      </c>
      <c r="F409" s="555">
        <f>SUM($E$2:E409)/SUM($C$2:C409)</f>
        <v>-4.497711484655878E-2</v>
      </c>
      <c r="G409" s="552">
        <f t="shared" si="8"/>
        <v>-60.925550000000129</v>
      </c>
      <c r="H409" s="584" t="s">
        <v>60</v>
      </c>
      <c r="I409" s="2"/>
      <c r="J409" s="2"/>
      <c r="K409" s="2"/>
      <c r="L409" s="2"/>
      <c r="O409" s="58"/>
      <c r="P409" s="58"/>
    </row>
    <row r="410" spans="1:16">
      <c r="A410"/>
      <c r="B410" s="477"/>
      <c r="C410" s="571">
        <v>2.69</v>
      </c>
      <c r="D410" s="552">
        <v>1.87</v>
      </c>
      <c r="E410" s="552">
        <f t="shared" si="9"/>
        <v>2.3403000000000005</v>
      </c>
      <c r="F410" s="555">
        <f>SUM($E$2:E410)/SUM($C$2:C410)</f>
        <v>-4.3163717140162726E-2</v>
      </c>
      <c r="G410" s="552">
        <f t="shared" si="8"/>
        <v>-58.58525000000013</v>
      </c>
      <c r="H410" s="584" t="s">
        <v>14</v>
      </c>
      <c r="I410" s="2"/>
      <c r="J410" s="2"/>
      <c r="K410" s="2"/>
      <c r="L410" s="2"/>
      <c r="O410" s="58"/>
      <c r="P410" s="58"/>
    </row>
    <row r="411" spans="1:16">
      <c r="A411"/>
      <c r="B411" s="477"/>
      <c r="C411" s="571">
        <v>2.69</v>
      </c>
      <c r="D411" s="552">
        <v>1.86</v>
      </c>
      <c r="E411" s="552">
        <f t="shared" si="9"/>
        <v>2.3134000000000001</v>
      </c>
      <c r="F411" s="555">
        <f>SUM($E$2:E411)/SUM($C$2:C411)</f>
        <v>-4.137727302808155E-2</v>
      </c>
      <c r="G411" s="552">
        <f t="shared" si="8"/>
        <v>-56.271850000000128</v>
      </c>
      <c r="H411" s="584" t="s">
        <v>28</v>
      </c>
      <c r="I411" s="2"/>
      <c r="J411" s="2"/>
      <c r="K411" s="2"/>
      <c r="L411" s="2"/>
      <c r="O411" s="58"/>
      <c r="P411" s="58"/>
    </row>
    <row r="412" spans="1:16">
      <c r="A412"/>
      <c r="B412" s="477"/>
      <c r="C412" s="583">
        <v>2.69</v>
      </c>
      <c r="D412" s="581"/>
      <c r="E412" s="581">
        <f t="shared" si="9"/>
        <v>-2.69</v>
      </c>
      <c r="F412" s="582">
        <f>SUM($E$2:E412)/SUM($C$2:C412)</f>
        <v>-4.3269671084496537E-2</v>
      </c>
      <c r="G412" s="581">
        <f t="shared" si="8"/>
        <v>-58.961850000000126</v>
      </c>
      <c r="H412" s="373" t="s">
        <v>35</v>
      </c>
      <c r="I412" s="2"/>
      <c r="J412" s="2"/>
      <c r="K412" s="2"/>
      <c r="L412" s="2"/>
      <c r="O412" s="58"/>
      <c r="P412" s="58"/>
    </row>
    <row r="413" spans="1:16">
      <c r="A413"/>
      <c r="B413" s="477"/>
      <c r="C413" s="571">
        <v>2.69</v>
      </c>
      <c r="D413" s="552"/>
      <c r="E413" s="552">
        <f t="shared" si="9"/>
        <v>-2.69</v>
      </c>
      <c r="F413" s="555">
        <f>SUM($E$2:E413)/SUM($C$2:C413)</f>
        <v>-4.5154612370454497E-2</v>
      </c>
      <c r="G413" s="552">
        <f t="shared" si="8"/>
        <v>-61.651850000000124</v>
      </c>
      <c r="H413" s="584" t="s">
        <v>177</v>
      </c>
      <c r="I413" s="2"/>
      <c r="J413" s="2"/>
      <c r="K413" s="2"/>
      <c r="L413" s="2"/>
      <c r="O413" s="58"/>
      <c r="P413" s="58"/>
    </row>
    <row r="414" spans="1:16">
      <c r="A414"/>
      <c r="B414" s="477"/>
      <c r="C414" s="571">
        <v>2.69</v>
      </c>
      <c r="D414" s="552">
        <v>1.845</v>
      </c>
      <c r="E414" s="552">
        <f t="shared" si="9"/>
        <v>2.27305</v>
      </c>
      <c r="F414" s="555">
        <f>SUM($E$2:E414)/SUM($C$2:C414)</f>
        <v>-4.3404286424373592E-2</v>
      </c>
      <c r="G414" s="552">
        <f t="shared" si="8"/>
        <v>-59.378800000000126</v>
      </c>
      <c r="H414" s="584" t="s">
        <v>178</v>
      </c>
      <c r="I414" s="2"/>
      <c r="J414" s="2"/>
      <c r="K414" s="2"/>
      <c r="L414" s="2"/>
      <c r="O414" s="58"/>
      <c r="P414" s="58"/>
    </row>
    <row r="415" spans="1:16">
      <c r="A415"/>
      <c r="B415" s="477"/>
      <c r="C415" s="571">
        <v>2.69</v>
      </c>
      <c r="D415" s="552"/>
      <c r="E415" s="552">
        <f t="shared" si="9"/>
        <v>-2.69</v>
      </c>
      <c r="F415" s="555">
        <f>SUM($E$2:E415)/SUM($C$2:C415)</f>
        <v>-4.5281565297323356E-2</v>
      </c>
      <c r="G415" s="552">
        <f t="shared" si="8"/>
        <v>-62.068800000000124</v>
      </c>
      <c r="H415" s="584" t="s">
        <v>179</v>
      </c>
      <c r="O415" s="58"/>
      <c r="P415" s="58"/>
    </row>
    <row r="416" spans="1:16">
      <c r="A416"/>
      <c r="B416" s="477"/>
      <c r="C416" s="571">
        <v>2.69</v>
      </c>
      <c r="D416" s="552"/>
      <c r="E416" s="552">
        <f t="shared" si="9"/>
        <v>-2.69</v>
      </c>
      <c r="F416" s="555">
        <f>SUM($E$2:E416)/SUM($C$2:C416)</f>
        <v>-4.715149043992372E-2</v>
      </c>
      <c r="G416" s="552">
        <f t="shared" si="8"/>
        <v>-64.758800000000122</v>
      </c>
      <c r="H416" s="584" t="s">
        <v>180</v>
      </c>
      <c r="I416" s="2"/>
      <c r="J416" s="2"/>
      <c r="K416" s="2"/>
      <c r="L416" s="2"/>
      <c r="O416" s="58"/>
      <c r="P416" s="58"/>
    </row>
    <row r="417" spans="1:16">
      <c r="A417"/>
      <c r="B417" s="477"/>
      <c r="C417" s="583">
        <v>2.69</v>
      </c>
      <c r="D417" s="581"/>
      <c r="E417" s="581">
        <f t="shared" si="9"/>
        <v>-2.69</v>
      </c>
      <c r="F417" s="582">
        <f>SUM($E$2:E417)/SUM($C$2:C417)</f>
        <v>-4.9014104977073071E-2</v>
      </c>
      <c r="G417" s="581">
        <f t="shared" si="8"/>
        <v>-67.448800000000119</v>
      </c>
      <c r="H417" s="373" t="s">
        <v>181</v>
      </c>
      <c r="I417" s="444">
        <f>SUM(E402:E417)</f>
        <v>-13.584499999999997</v>
      </c>
      <c r="J417" s="444">
        <f>SUM(E363:E417)</f>
        <v>-9.4171099999999885</v>
      </c>
      <c r="L417" s="2">
        <f>I417/C417</f>
        <v>-5.0499999999999989</v>
      </c>
      <c r="O417" s="58"/>
      <c r="P417" s="58"/>
    </row>
    <row r="418" spans="1:16">
      <c r="A418"/>
      <c r="B418" s="476">
        <v>46006</v>
      </c>
      <c r="C418" s="571">
        <v>4.22</v>
      </c>
      <c r="D418" s="552"/>
      <c r="E418" s="552">
        <f t="shared" si="9"/>
        <v>-4.22</v>
      </c>
      <c r="F418" s="555">
        <f>SUM($E$2:E418)/SUM($C$2:C418)</f>
        <v>-5.192149703331813E-2</v>
      </c>
      <c r="G418" s="552">
        <f t="shared" si="8"/>
        <v>-71.668800000000118</v>
      </c>
      <c r="H418" s="584" t="s">
        <v>97</v>
      </c>
      <c r="I418" s="2"/>
      <c r="J418" s="2"/>
      <c r="K418" s="2"/>
      <c r="L418" s="2"/>
      <c r="O418" s="58"/>
      <c r="P418" s="58"/>
    </row>
    <row r="419" spans="1:16">
      <c r="A419"/>
      <c r="B419" s="477"/>
      <c r="C419" s="571">
        <v>4.22</v>
      </c>
      <c r="D419" s="552">
        <v>1.9</v>
      </c>
      <c r="E419" s="552">
        <f t="shared" si="9"/>
        <v>3.7979999999999992</v>
      </c>
      <c r="F419" s="555">
        <f>SUM($E$2:E419)/SUM($C$2:C419)</f>
        <v>-4.902011483875629E-2</v>
      </c>
      <c r="G419" s="552">
        <f t="shared" si="8"/>
        <v>-67.870800000000116</v>
      </c>
      <c r="H419" s="584" t="s">
        <v>53</v>
      </c>
      <c r="I419" s="2"/>
      <c r="J419" s="2"/>
      <c r="K419" s="2"/>
      <c r="L419" s="2"/>
      <c r="O419" s="58"/>
      <c r="P419" s="58"/>
    </row>
    <row r="420" spans="1:16">
      <c r="A420"/>
      <c r="B420" s="477"/>
      <c r="C420" s="583">
        <v>4.22</v>
      </c>
      <c r="D420" s="581">
        <v>1.9</v>
      </c>
      <c r="E420" s="581">
        <f t="shared" si="9"/>
        <v>3.7979999999999992</v>
      </c>
      <c r="F420" s="582">
        <f>SUM($E$2:E420)/SUM($C$2:C420)</f>
        <v>-4.6136365272867373E-2</v>
      </c>
      <c r="G420" s="581">
        <f t="shared" si="8"/>
        <v>-64.072800000000115</v>
      </c>
      <c r="H420" s="373" t="s">
        <v>26</v>
      </c>
      <c r="I420" s="2"/>
      <c r="J420" s="2"/>
      <c r="K420" s="2"/>
      <c r="L420" s="2"/>
      <c r="O420" s="58"/>
      <c r="P420" s="58"/>
    </row>
    <row r="421" spans="1:16">
      <c r="A421"/>
      <c r="B421" s="477"/>
      <c r="C421" s="571">
        <v>4.22</v>
      </c>
      <c r="D421" s="552"/>
      <c r="E421" s="552">
        <f t="shared" si="9"/>
        <v>-4.22</v>
      </c>
      <c r="F421" s="555">
        <f>SUM($E$2:E421)/SUM($C$2:C421)</f>
        <v>-4.9026051874026387E-2</v>
      </c>
      <c r="G421" s="552">
        <f t="shared" si="8"/>
        <v>-68.292800000000113</v>
      </c>
      <c r="H421" s="584" t="s">
        <v>37</v>
      </c>
      <c r="I421" s="2"/>
      <c r="J421" s="2"/>
      <c r="K421" s="2"/>
      <c r="L421" s="2"/>
      <c r="O421" s="58"/>
      <c r="P421" s="58"/>
    </row>
    <row r="422" spans="1:16">
      <c r="A422"/>
      <c r="B422" s="477"/>
      <c r="C422" s="571">
        <v>4.22</v>
      </c>
      <c r="D422" s="552">
        <v>1.9</v>
      </c>
      <c r="E422" s="552">
        <f t="shared" si="9"/>
        <v>3.7979999999999992</v>
      </c>
      <c r="F422" s="555">
        <f>SUM($E$2:E422)/SUM($C$2:C422)</f>
        <v>-4.6159703981506012E-2</v>
      </c>
      <c r="G422" s="552">
        <f t="shared" si="8"/>
        <v>-64.494800000000112</v>
      </c>
      <c r="H422" s="584" t="s">
        <v>47</v>
      </c>
      <c r="I422" s="2"/>
      <c r="J422" s="2"/>
      <c r="K422" s="2"/>
      <c r="L422" s="2"/>
      <c r="O422" s="58"/>
      <c r="P422" s="58"/>
    </row>
    <row r="423" spans="1:16">
      <c r="A423"/>
      <c r="B423" s="477"/>
      <c r="C423" s="583">
        <v>4.22</v>
      </c>
      <c r="D423" s="581">
        <v>1.9</v>
      </c>
      <c r="E423" s="581">
        <f t="shared" si="9"/>
        <v>3.7979999999999992</v>
      </c>
      <c r="F423" s="582">
        <f>SUM($E$2:E423)/SUM($C$2:C423)</f>
        <v>-4.3310618439736569E-2</v>
      </c>
      <c r="G423" s="581">
        <f t="shared" si="8"/>
        <v>-60.69680000000011</v>
      </c>
      <c r="H423" s="373" t="s">
        <v>59</v>
      </c>
      <c r="I423" s="2"/>
      <c r="J423" s="2"/>
      <c r="K423" s="2"/>
      <c r="L423" s="2"/>
      <c r="O423" s="58"/>
      <c r="P423" s="58"/>
    </row>
    <row r="424" spans="1:16">
      <c r="A424"/>
      <c r="B424" s="477"/>
      <c r="C424" s="571">
        <v>4.22</v>
      </c>
      <c r="D424" s="552"/>
      <c r="E424" s="552">
        <f t="shared" si="9"/>
        <v>-4.22</v>
      </c>
      <c r="F424" s="555">
        <f>SUM($E$2:E424)/SUM($C$2:C424)</f>
        <v>-4.6182762423078297E-2</v>
      </c>
      <c r="G424" s="552">
        <f t="shared" si="8"/>
        <v>-64.916800000000109</v>
      </c>
      <c r="H424" s="584" t="s">
        <v>105</v>
      </c>
      <c r="I424" s="2"/>
      <c r="J424" s="2"/>
      <c r="K424" s="2"/>
      <c r="L424" s="2"/>
      <c r="O424" s="58"/>
      <c r="P424" s="58"/>
    </row>
    <row r="425" spans="1:16">
      <c r="A425"/>
      <c r="B425" s="477"/>
      <c r="C425" s="571">
        <v>4.22</v>
      </c>
      <c r="D425" s="552">
        <v>1.825</v>
      </c>
      <c r="E425" s="552">
        <f t="shared" si="9"/>
        <v>3.4814999999999996</v>
      </c>
      <c r="F425" s="555">
        <f>SUM($E$2:E425)/SUM($C$2:C425)</f>
        <v>-4.3575152319008145E-2</v>
      </c>
      <c r="G425" s="552">
        <f t="shared" si="8"/>
        <v>-61.435300000000112</v>
      </c>
      <c r="H425" s="584" t="s">
        <v>182</v>
      </c>
      <c r="I425" s="2"/>
      <c r="J425" s="2"/>
      <c r="K425" s="2"/>
      <c r="L425" s="2"/>
      <c r="O425" s="58"/>
      <c r="P425" s="58"/>
    </row>
    <row r="426" spans="1:16">
      <c r="A426"/>
      <c r="B426" s="477"/>
      <c r="C426" s="571">
        <v>4.22</v>
      </c>
      <c r="D426" s="552">
        <v>1.84</v>
      </c>
      <c r="E426" s="552">
        <f t="shared" si="9"/>
        <v>3.5448000000000004</v>
      </c>
      <c r="F426" s="555">
        <f>SUM($E$2:E426)/SUM($C$2:C426)</f>
        <v>-4.0938341972576016E-2</v>
      </c>
      <c r="G426" s="552">
        <f t="shared" si="8"/>
        <v>-57.89050000000011</v>
      </c>
      <c r="H426" s="584" t="s">
        <v>183</v>
      </c>
      <c r="I426" s="2"/>
      <c r="J426" s="2"/>
      <c r="K426" s="2"/>
      <c r="L426" s="2"/>
      <c r="O426" s="58"/>
      <c r="P426" s="58"/>
    </row>
    <row r="427" spans="1:16">
      <c r="A427"/>
      <c r="B427" s="477"/>
      <c r="C427" s="583">
        <v>4.22</v>
      </c>
      <c r="D427" s="581"/>
      <c r="E427" s="581">
        <f t="shared" si="9"/>
        <v>-4.22</v>
      </c>
      <c r="F427" s="582">
        <f>SUM($E$2:E427)/SUM($C$2:C427)</f>
        <v>-4.3791907269919841E-2</v>
      </c>
      <c r="G427" s="581">
        <f t="shared" si="8"/>
        <v>-62.110500000000108</v>
      </c>
      <c r="H427" s="373" t="s">
        <v>116</v>
      </c>
      <c r="I427" s="2">
        <f>SUM(E418:E427)</f>
        <v>5.3382999999999976</v>
      </c>
      <c r="L427" s="2">
        <f>I427/C427</f>
        <v>1.2649999999999995</v>
      </c>
      <c r="O427" s="58"/>
      <c r="P427" s="58"/>
    </row>
    <row r="428" spans="1:16">
      <c r="A428"/>
      <c r="B428" s="476">
        <v>46008</v>
      </c>
      <c r="C428" s="571">
        <v>10.63</v>
      </c>
      <c r="D428" s="552"/>
      <c r="E428" s="552">
        <f t="shared" si="9"/>
        <v>-10.63</v>
      </c>
      <c r="F428" s="555">
        <f>SUM($E$2:E428)/SUM($C$2:C428)</f>
        <v>-5.0905216454154821E-2</v>
      </c>
      <c r="G428" s="552">
        <f t="shared" ref="G428:G491" si="10">G427+E428</f>
        <v>-72.740500000000111</v>
      </c>
      <c r="H428" s="584" t="s">
        <v>46</v>
      </c>
      <c r="I428" s="2"/>
      <c r="J428" s="2"/>
      <c r="K428" s="2"/>
      <c r="L428" s="2"/>
      <c r="O428" s="58"/>
      <c r="P428" s="58"/>
    </row>
    <row r="429" spans="1:16">
      <c r="A429"/>
      <c r="B429" s="477"/>
      <c r="C429" s="583">
        <v>10.63</v>
      </c>
      <c r="D429" s="581">
        <v>1.8</v>
      </c>
      <c r="E429" s="581">
        <f t="shared" si="9"/>
        <v>8.5039999999999996</v>
      </c>
      <c r="F429" s="582">
        <f>SUM($E$2:E429)/SUM($C$2:C429)</f>
        <v>-4.4622005182102985E-2</v>
      </c>
      <c r="G429" s="581">
        <f t="shared" si="10"/>
        <v>-64.236500000000106</v>
      </c>
      <c r="H429" s="373" t="s">
        <v>26</v>
      </c>
      <c r="I429" s="2"/>
      <c r="J429" s="2"/>
      <c r="K429" s="2"/>
      <c r="L429" s="2"/>
      <c r="O429" s="58"/>
      <c r="P429" s="58"/>
    </row>
    <row r="430" spans="1:16">
      <c r="A430"/>
      <c r="B430" s="477"/>
      <c r="C430" s="571">
        <v>10.63</v>
      </c>
      <c r="D430" s="552">
        <v>1.9</v>
      </c>
      <c r="E430" s="552">
        <f t="shared" si="9"/>
        <v>9.5669999999999984</v>
      </c>
      <c r="F430" s="555">
        <f>SUM($E$2:E430)/SUM($C$2:C430)</f>
        <v>-3.7697903737415536E-2</v>
      </c>
      <c r="G430" s="552">
        <f t="shared" si="10"/>
        <v>-54.669500000000106</v>
      </c>
      <c r="H430" s="584" t="s">
        <v>35</v>
      </c>
      <c r="I430" s="2"/>
      <c r="J430" s="2"/>
      <c r="K430" s="2"/>
      <c r="L430" s="2"/>
      <c r="O430" s="58"/>
      <c r="P430" s="58"/>
    </row>
    <row r="431" spans="1:16">
      <c r="A431"/>
      <c r="B431" s="477"/>
      <c r="C431" s="583">
        <v>10.63</v>
      </c>
      <c r="D431" s="581"/>
      <c r="E431" s="581">
        <f t="shared" ref="E431:E494" si="11">(C431*D431)-C431</f>
        <v>-10.63</v>
      </c>
      <c r="F431" s="582">
        <f>SUM($E$2:E431)/SUM($C$2:C431)</f>
        <v>-4.4700273132397328E-2</v>
      </c>
      <c r="G431" s="581">
        <f t="shared" si="10"/>
        <v>-65.299500000000108</v>
      </c>
      <c r="H431" s="373" t="s">
        <v>104</v>
      </c>
      <c r="I431" s="2"/>
      <c r="J431" s="2"/>
      <c r="K431" s="2"/>
      <c r="L431" s="2"/>
      <c r="O431" s="58"/>
      <c r="P431" s="58"/>
    </row>
    <row r="432" spans="1:16">
      <c r="A432"/>
      <c r="B432" s="477"/>
      <c r="C432" s="571">
        <v>10.63</v>
      </c>
      <c r="D432" s="552"/>
      <c r="E432" s="552">
        <f t="shared" si="11"/>
        <v>-10.63</v>
      </c>
      <c r="F432" s="555">
        <f>SUM($E$2:E432)/SUM($C$2:C432)</f>
        <v>-5.160147064819972E-2</v>
      </c>
      <c r="G432" s="552">
        <f t="shared" si="10"/>
        <v>-75.929500000000104</v>
      </c>
      <c r="H432" s="584" t="s">
        <v>184</v>
      </c>
      <c r="I432" s="2"/>
      <c r="J432" s="2"/>
      <c r="K432" s="2"/>
      <c r="L432" s="2"/>
      <c r="O432" s="58"/>
      <c r="P432" s="58"/>
    </row>
    <row r="433" spans="1:16">
      <c r="A433"/>
      <c r="B433" s="477"/>
      <c r="C433" s="583">
        <v>10.63</v>
      </c>
      <c r="D433" s="581"/>
      <c r="E433" s="581">
        <f t="shared" si="11"/>
        <v>-10.63</v>
      </c>
      <c r="F433" s="582">
        <f>SUM($E$2:E433)/SUM($C$2:C433)</f>
        <v>-5.8403673191236655E-2</v>
      </c>
      <c r="G433" s="581">
        <f t="shared" si="10"/>
        <v>-86.559500000000099</v>
      </c>
      <c r="H433" s="373" t="s">
        <v>185</v>
      </c>
      <c r="I433" s="2">
        <f>SUM(E428:E433)</f>
        <v>-24.449000000000005</v>
      </c>
      <c r="L433" s="2">
        <f>I433/C433</f>
        <v>-2.3000000000000003</v>
      </c>
      <c r="O433" s="58"/>
      <c r="P433" s="58"/>
    </row>
    <row r="434" spans="1:16">
      <c r="A434"/>
      <c r="B434" s="476">
        <v>46009</v>
      </c>
      <c r="C434" s="571">
        <v>1.7</v>
      </c>
      <c r="D434" s="552">
        <v>1.8</v>
      </c>
      <c r="E434" s="552">
        <f t="shared" si="11"/>
        <v>1.36</v>
      </c>
      <c r="F434" s="555">
        <f>SUM($E$2:E434)/SUM($C$2:C434)</f>
        <v>-5.7420187492839239E-2</v>
      </c>
      <c r="G434" s="552">
        <f t="shared" si="10"/>
        <v>-85.1995000000001</v>
      </c>
      <c r="H434" s="584" t="s">
        <v>14</v>
      </c>
      <c r="I434" s="2"/>
      <c r="J434" s="2"/>
      <c r="K434" s="2"/>
      <c r="L434" s="2"/>
      <c r="O434" s="58"/>
      <c r="P434" s="58"/>
    </row>
    <row r="435" spans="1:16">
      <c r="A435"/>
      <c r="B435" s="477"/>
      <c r="C435" s="571">
        <v>1.7</v>
      </c>
      <c r="D435" s="552"/>
      <c r="E435" s="552">
        <f t="shared" si="11"/>
        <v>-1.7</v>
      </c>
      <c r="F435" s="555">
        <f>SUM($E$2:E435)/SUM($C$2:C435)</f>
        <v>-5.8498879157718953E-2</v>
      </c>
      <c r="G435" s="552">
        <f t="shared" si="10"/>
        <v>-86.899500000000103</v>
      </c>
      <c r="H435" s="584" t="s">
        <v>29</v>
      </c>
      <c r="I435" s="2"/>
      <c r="J435" s="2"/>
      <c r="K435" s="2"/>
      <c r="L435" s="2"/>
      <c r="O435" s="58"/>
      <c r="P435" s="58"/>
    </row>
    <row r="436" spans="1:16">
      <c r="A436"/>
      <c r="B436" s="477"/>
      <c r="C436" s="571">
        <v>1.7</v>
      </c>
      <c r="D436" s="552"/>
      <c r="E436" s="552">
        <f t="shared" si="11"/>
        <v>-1.7</v>
      </c>
      <c r="F436" s="555">
        <f>SUM($E$2:E436)/SUM($C$2:C436)</f>
        <v>-5.9575104727707912E-2</v>
      </c>
      <c r="G436" s="552">
        <f t="shared" si="10"/>
        <v>-88.599500000000106</v>
      </c>
      <c r="H436" s="584" t="s">
        <v>18</v>
      </c>
      <c r="I436" s="2"/>
      <c r="J436" s="2"/>
      <c r="K436" s="2"/>
      <c r="L436" s="2"/>
      <c r="O436" s="58"/>
      <c r="P436" s="58"/>
    </row>
    <row r="437" spans="1:16">
      <c r="A437"/>
      <c r="B437" s="477"/>
      <c r="C437" s="571">
        <v>1.7</v>
      </c>
      <c r="D437" s="552">
        <v>1.9</v>
      </c>
      <c r="E437" s="552">
        <f t="shared" si="11"/>
        <v>1.53</v>
      </c>
      <c r="F437" s="555">
        <f>SUM($E$2:E437)/SUM($C$2:C437)</f>
        <v>-5.8479471283976604E-2</v>
      </c>
      <c r="G437" s="552">
        <f t="shared" si="10"/>
        <v>-87.069500000000104</v>
      </c>
      <c r="H437" s="589" t="s">
        <v>53</v>
      </c>
      <c r="I437" s="2"/>
      <c r="J437" s="2"/>
      <c r="K437" s="2"/>
      <c r="L437" s="2"/>
      <c r="O437" s="58"/>
      <c r="P437" s="58"/>
    </row>
    <row r="438" spans="1:16">
      <c r="A438"/>
      <c r="B438" s="477"/>
      <c r="C438" s="571">
        <v>1.7</v>
      </c>
      <c r="D438" s="552"/>
      <c r="E438" s="552">
        <f t="shared" si="11"/>
        <v>-1.7</v>
      </c>
      <c r="F438" s="555">
        <f>SUM($E$2:E438)/SUM($C$2:C438)</f>
        <v>-5.9553264143728267E-2</v>
      </c>
      <c r="G438" s="552">
        <f t="shared" si="10"/>
        <v>-88.769500000000107</v>
      </c>
      <c r="H438" s="589" t="s">
        <v>97</v>
      </c>
      <c r="I438" s="2"/>
      <c r="J438" s="2"/>
      <c r="K438" s="2"/>
      <c r="L438" s="2"/>
      <c r="O438" s="58"/>
      <c r="P438" s="58"/>
    </row>
    <row r="439" spans="1:16">
      <c r="A439"/>
      <c r="B439" s="477"/>
      <c r="C439" s="583">
        <v>1.7</v>
      </c>
      <c r="D439" s="581"/>
      <c r="E439" s="581">
        <f t="shared" si="11"/>
        <v>-1.7</v>
      </c>
      <c r="F439" s="582">
        <f>SUM($E$2:E439)/SUM($C$2:C439)</f>
        <v>-6.0624610497959461E-2</v>
      </c>
      <c r="G439" s="581">
        <f t="shared" si="10"/>
        <v>-90.46950000000011</v>
      </c>
      <c r="H439" s="373" t="s">
        <v>64</v>
      </c>
      <c r="I439" s="2"/>
      <c r="J439" s="2"/>
      <c r="K439" s="2"/>
      <c r="L439" s="2"/>
      <c r="O439" s="58"/>
      <c r="P439" s="58"/>
    </row>
    <row r="440" spans="1:16">
      <c r="A440"/>
      <c r="B440" s="477"/>
      <c r="C440" s="571">
        <v>1.7</v>
      </c>
      <c r="D440" s="552">
        <v>2</v>
      </c>
      <c r="E440" s="552">
        <f t="shared" si="11"/>
        <v>1.7</v>
      </c>
      <c r="F440" s="555">
        <f>SUM($E$2:E440)/SUM($C$2:C440)</f>
        <v>-5.9417733719770494E-2</v>
      </c>
      <c r="G440" s="552">
        <f t="shared" si="10"/>
        <v>-88.769500000000107</v>
      </c>
      <c r="H440" s="584" t="s">
        <v>15</v>
      </c>
      <c r="I440" s="2"/>
      <c r="J440" s="2"/>
      <c r="K440" s="2"/>
      <c r="L440" s="2"/>
      <c r="O440" s="58"/>
      <c r="P440" s="58"/>
    </row>
    <row r="441" spans="1:16">
      <c r="A441"/>
      <c r="B441" s="477"/>
      <c r="C441" s="571">
        <v>1.7</v>
      </c>
      <c r="D441" s="552">
        <v>1.9</v>
      </c>
      <c r="E441" s="552">
        <f t="shared" si="11"/>
        <v>1.53</v>
      </c>
      <c r="F441" s="555">
        <f>SUM($E$2:E441)/SUM($C$2:C441)</f>
        <v>-5.8327260328009091E-2</v>
      </c>
      <c r="G441" s="552">
        <f t="shared" si="10"/>
        <v>-87.239500000000106</v>
      </c>
      <c r="H441" s="584" t="s">
        <v>60</v>
      </c>
      <c r="I441" s="2"/>
      <c r="J441" s="2"/>
      <c r="K441" s="2"/>
      <c r="L441" s="2"/>
      <c r="O441" s="58"/>
      <c r="P441" s="58"/>
    </row>
    <row r="442" spans="1:16">
      <c r="A442"/>
      <c r="B442" s="477"/>
      <c r="C442" s="571">
        <v>1.7</v>
      </c>
      <c r="D442" s="552">
        <v>1.85</v>
      </c>
      <c r="E442" s="552">
        <f t="shared" si="11"/>
        <v>1.4450000000000001</v>
      </c>
      <c r="F442" s="555">
        <f>SUM($E$2:E442)/SUM($C$2:C442)</f>
        <v>-5.7296028422788935E-2</v>
      </c>
      <c r="G442" s="552">
        <f t="shared" si="10"/>
        <v>-85.794500000000113</v>
      </c>
      <c r="H442" s="584" t="s">
        <v>30</v>
      </c>
      <c r="I442" s="2"/>
      <c r="J442" s="2"/>
      <c r="K442" s="2"/>
      <c r="L442" s="2"/>
      <c r="O442" s="58"/>
      <c r="P442" s="58"/>
    </row>
    <row r="443" spans="1:16">
      <c r="A443"/>
      <c r="B443" s="477"/>
      <c r="C443" s="571">
        <v>1.7</v>
      </c>
      <c r="D443" s="552"/>
      <c r="E443" s="552">
        <f t="shared" si="11"/>
        <v>-1.7</v>
      </c>
      <c r="F443" s="555">
        <f>SUM($E$2:E443)/SUM($C$2:C443)</f>
        <v>-5.8365074812052595E-2</v>
      </c>
      <c r="G443" s="552">
        <f t="shared" si="10"/>
        <v>-87.494500000000116</v>
      </c>
      <c r="H443" s="584" t="s">
        <v>12</v>
      </c>
      <c r="I443" s="2"/>
      <c r="J443" s="2"/>
      <c r="K443" s="2"/>
      <c r="L443" s="2"/>
      <c r="O443" s="58"/>
      <c r="P443" s="58"/>
    </row>
    <row r="444" spans="1:16">
      <c r="A444"/>
      <c r="B444" s="477"/>
      <c r="C444" s="571">
        <v>1.7</v>
      </c>
      <c r="D444" s="552"/>
      <c r="E444" s="552">
        <f t="shared" si="11"/>
        <v>-1.7</v>
      </c>
      <c r="F444" s="555">
        <f>SUM($E$2:E444)/SUM($C$2:C444)</f>
        <v>-5.9431699305032629E-2</v>
      </c>
      <c r="G444" s="552">
        <f t="shared" si="10"/>
        <v>-89.194500000000119</v>
      </c>
      <c r="H444" s="584" t="s">
        <v>34</v>
      </c>
      <c r="I444" s="2"/>
      <c r="J444" s="2"/>
      <c r="K444" s="2"/>
      <c r="L444" s="2"/>
      <c r="O444" s="58"/>
      <c r="P444" s="58"/>
    </row>
    <row r="445" spans="1:16">
      <c r="A445"/>
      <c r="B445" s="477"/>
      <c r="C445" s="571">
        <v>1.7</v>
      </c>
      <c r="D445" s="552">
        <v>1.9</v>
      </c>
      <c r="E445" s="552">
        <f t="shared" si="11"/>
        <v>1.53</v>
      </c>
      <c r="F445" s="555">
        <f>SUM($E$2:E445)/SUM($C$2:C445)</f>
        <v>-5.8346145398638208E-2</v>
      </c>
      <c r="G445" s="552">
        <f t="shared" si="10"/>
        <v>-87.664500000000118</v>
      </c>
      <c r="H445" s="584" t="s">
        <v>13</v>
      </c>
      <c r="I445" s="2"/>
      <c r="J445" s="2"/>
      <c r="K445" s="2"/>
      <c r="L445" s="2"/>
      <c r="O445" s="58"/>
      <c r="P445" s="58"/>
    </row>
    <row r="446" spans="1:16">
      <c r="A446"/>
      <c r="B446" s="477"/>
      <c r="C446" s="571">
        <v>1.7</v>
      </c>
      <c r="D446" s="552">
        <v>1.9</v>
      </c>
      <c r="E446" s="552">
        <f t="shared" si="11"/>
        <v>1.53</v>
      </c>
      <c r="F446" s="555">
        <f>SUM($E$2:E446)/SUM($C$2:C446)</f>
        <v>-5.7263045226999196E-2</v>
      </c>
      <c r="G446" s="552">
        <f t="shared" si="10"/>
        <v>-86.134500000000116</v>
      </c>
      <c r="H446" s="584" t="s">
        <v>59</v>
      </c>
      <c r="I446" s="2"/>
      <c r="J446" s="2"/>
      <c r="K446" s="2"/>
      <c r="L446" s="2"/>
      <c r="O446" s="58"/>
      <c r="P446" s="58"/>
    </row>
    <row r="447" spans="1:16">
      <c r="A447"/>
      <c r="B447" s="477"/>
      <c r="C447" s="571">
        <v>1.7</v>
      </c>
      <c r="D447" s="552"/>
      <c r="E447" s="552">
        <f t="shared" si="11"/>
        <v>-1.7</v>
      </c>
      <c r="F447" s="555">
        <f>SUM($E$2:E447)/SUM($C$2:C447)</f>
        <v>-5.8327301462922199E-2</v>
      </c>
      <c r="G447" s="552">
        <f t="shared" si="10"/>
        <v>-87.834500000000119</v>
      </c>
      <c r="H447" s="584" t="s">
        <v>36</v>
      </c>
      <c r="I447" s="2"/>
      <c r="J447" s="2"/>
      <c r="K447" s="2"/>
      <c r="L447" s="2"/>
      <c r="O447" s="58"/>
      <c r="P447" s="58"/>
    </row>
    <row r="448" spans="1:16">
      <c r="A448"/>
      <c r="B448" s="477"/>
      <c r="C448" s="583">
        <v>1.7</v>
      </c>
      <c r="D448" s="581">
        <v>2</v>
      </c>
      <c r="E448" s="581">
        <f t="shared" si="11"/>
        <v>1.7</v>
      </c>
      <c r="F448" s="582">
        <f>SUM($E$2:E448)/SUM($C$2:C448)</f>
        <v>-5.7133902453584802E-2</v>
      </c>
      <c r="G448" s="581">
        <f t="shared" si="10"/>
        <v>-86.134500000000116</v>
      </c>
      <c r="H448" s="373" t="s">
        <v>47</v>
      </c>
      <c r="I448" s="2"/>
      <c r="J448" s="2"/>
      <c r="K448" s="2"/>
      <c r="L448" s="2"/>
      <c r="O448" s="58"/>
      <c r="P448" s="58"/>
    </row>
    <row r="449" spans="1:16">
      <c r="A449"/>
      <c r="B449" s="477"/>
      <c r="C449" s="571">
        <v>1.7</v>
      </c>
      <c r="D449" s="552">
        <v>1.84</v>
      </c>
      <c r="E449" s="552">
        <f t="shared" si="11"/>
        <v>1.4280000000000002</v>
      </c>
      <c r="F449" s="555">
        <f>SUM($E$2:E449)/SUM($C$2:C449)</f>
        <v>-5.612340902013524E-2</v>
      </c>
      <c r="G449" s="552">
        <f t="shared" si="10"/>
        <v>-84.706500000000119</v>
      </c>
      <c r="H449" s="584" t="s">
        <v>186</v>
      </c>
      <c r="I449" s="2"/>
      <c r="J449" s="2"/>
      <c r="K449" s="2"/>
      <c r="L449" s="2"/>
      <c r="O449" s="58"/>
      <c r="P449" s="58"/>
    </row>
    <row r="450" spans="1:16">
      <c r="A450"/>
      <c r="B450" s="477"/>
      <c r="C450" s="571">
        <v>1.7</v>
      </c>
      <c r="D450" s="552">
        <v>1.9</v>
      </c>
      <c r="E450" s="552">
        <f t="shared" si="11"/>
        <v>1.53</v>
      </c>
      <c r="F450" s="555">
        <f>SUM($E$2:E450)/SUM($C$2:C450)</f>
        <v>-5.5047683968788619E-2</v>
      </c>
      <c r="G450" s="552">
        <f t="shared" si="10"/>
        <v>-83.176500000000118</v>
      </c>
      <c r="H450" s="584" t="s">
        <v>187</v>
      </c>
      <c r="I450" s="2"/>
      <c r="J450" s="2"/>
      <c r="K450" s="2"/>
      <c r="L450" s="2"/>
      <c r="O450" s="58"/>
      <c r="P450" s="58"/>
    </row>
    <row r="451" spans="1:16">
      <c r="A451"/>
      <c r="B451" s="477"/>
      <c r="C451" s="571">
        <v>1.7</v>
      </c>
      <c r="D451" s="552">
        <v>1.845</v>
      </c>
      <c r="E451" s="552">
        <f t="shared" si="11"/>
        <v>1.4364999999999999</v>
      </c>
      <c r="F451" s="555">
        <f>SUM($E$2:E451)/SUM($C$2:C451)</f>
        <v>-5.4036187189708353E-2</v>
      </c>
      <c r="G451" s="552">
        <f t="shared" si="10"/>
        <v>-81.740000000000123</v>
      </c>
      <c r="H451" s="584" t="s">
        <v>188</v>
      </c>
      <c r="I451" s="2"/>
      <c r="J451" s="2"/>
      <c r="K451" s="2"/>
      <c r="L451" s="2"/>
      <c r="O451" s="58"/>
      <c r="P451" s="58"/>
    </row>
    <row r="452" spans="1:16">
      <c r="A452"/>
      <c r="B452" s="477"/>
      <c r="C452" s="571">
        <v>1.7</v>
      </c>
      <c r="D452" s="552"/>
      <c r="E452" s="552">
        <f t="shared" si="11"/>
        <v>-1.7</v>
      </c>
      <c r="F452" s="555">
        <f>SUM($E$2:E452)/SUM($C$2:C452)</f>
        <v>-5.5098092301190525E-2</v>
      </c>
      <c r="G452" s="552">
        <f t="shared" si="10"/>
        <v>-83.440000000000126</v>
      </c>
      <c r="H452" s="584" t="s">
        <v>189</v>
      </c>
      <c r="I452" s="2"/>
      <c r="J452" s="2"/>
      <c r="K452" s="2"/>
      <c r="L452" s="2"/>
      <c r="O452" s="58"/>
      <c r="P452" s="58"/>
    </row>
    <row r="453" spans="1:16">
      <c r="A453"/>
      <c r="B453" s="477"/>
      <c r="C453" s="571">
        <v>1.7</v>
      </c>
      <c r="D453" s="552"/>
      <c r="E453" s="552">
        <f t="shared" si="11"/>
        <v>-1.7</v>
      </c>
      <c r="F453" s="555">
        <f>SUM($E$2:E453)/SUM($C$2:C453)</f>
        <v>-5.6157615972666476E-2</v>
      </c>
      <c r="G453" s="552">
        <f t="shared" si="10"/>
        <v>-85.140000000000128</v>
      </c>
      <c r="H453" s="584" t="s">
        <v>190</v>
      </c>
      <c r="I453" s="2"/>
      <c r="J453" s="2"/>
      <c r="K453" s="2"/>
      <c r="L453" s="2"/>
      <c r="O453" s="58"/>
      <c r="P453" s="58"/>
    </row>
    <row r="454" spans="1:16">
      <c r="A454"/>
      <c r="B454" s="477"/>
      <c r="C454" s="571">
        <v>1.7</v>
      </c>
      <c r="D454" s="552">
        <v>1.9</v>
      </c>
      <c r="E454" s="552">
        <f t="shared" si="11"/>
        <v>1.53</v>
      </c>
      <c r="F454" s="555">
        <f>SUM($E$2:E454)/SUM($C$2:C454)</f>
        <v>-5.508667206925854E-2</v>
      </c>
      <c r="G454" s="552">
        <f t="shared" si="10"/>
        <v>-83.610000000000127</v>
      </c>
      <c r="H454" s="584" t="s">
        <v>191</v>
      </c>
      <c r="I454" s="2"/>
      <c r="J454" s="2"/>
      <c r="K454" s="2"/>
      <c r="L454" s="2"/>
      <c r="O454" s="58"/>
      <c r="P454" s="58"/>
    </row>
    <row r="455" spans="1:16">
      <c r="A455"/>
      <c r="B455" s="477"/>
      <c r="C455" s="571">
        <v>1.7</v>
      </c>
      <c r="D455" s="552">
        <v>1.9</v>
      </c>
      <c r="E455" s="552">
        <f t="shared" si="11"/>
        <v>1.53</v>
      </c>
      <c r="F455" s="555">
        <f>SUM($E$2:E455)/SUM($C$2:C455)</f>
        <v>-5.4018124502300056E-2</v>
      </c>
      <c r="G455" s="552">
        <f t="shared" si="10"/>
        <v>-82.080000000000126</v>
      </c>
      <c r="H455" s="584" t="s">
        <v>192</v>
      </c>
      <c r="I455" s="2"/>
      <c r="J455" s="2"/>
      <c r="K455" s="2"/>
      <c r="L455" s="2"/>
      <c r="O455" s="58"/>
      <c r="P455" s="58"/>
    </row>
    <row r="456" spans="1:16">
      <c r="A456"/>
      <c r="B456" s="477"/>
      <c r="C456" s="571">
        <v>1.7</v>
      </c>
      <c r="D456" s="552"/>
      <c r="E456" s="552">
        <f t="shared" si="11"/>
        <v>-1.7</v>
      </c>
      <c r="F456" s="555">
        <f>SUM($E$2:E456)/SUM($C$2:C456)</f>
        <v>-5.5075302887870624E-2</v>
      </c>
      <c r="G456" s="552">
        <f t="shared" si="10"/>
        <v>-83.780000000000129</v>
      </c>
      <c r="H456" s="584" t="s">
        <v>193</v>
      </c>
      <c r="I456" s="2"/>
      <c r="J456" s="2"/>
      <c r="K456" s="2"/>
      <c r="L456" s="2"/>
      <c r="O456" s="58"/>
      <c r="P456" s="58"/>
    </row>
    <row r="457" spans="1:16">
      <c r="A457"/>
      <c r="B457" s="477"/>
      <c r="C457" s="583">
        <v>1.7</v>
      </c>
      <c r="D457" s="581">
        <v>1.86</v>
      </c>
      <c r="E457" s="581">
        <f t="shared" si="11"/>
        <v>1.462</v>
      </c>
      <c r="F457" s="582">
        <f>SUM($E$2:E457)/SUM($C$2:C457)</f>
        <v>-5.4053805593312659E-2</v>
      </c>
      <c r="G457" s="581">
        <f t="shared" si="10"/>
        <v>-82.318000000000126</v>
      </c>
      <c r="H457" s="373" t="s">
        <v>194</v>
      </c>
      <c r="I457" s="2">
        <f>SUM(E434:E457)</f>
        <v>4.2415000000000003</v>
      </c>
      <c r="L457" s="2">
        <f>I457/C457</f>
        <v>2.4950000000000001</v>
      </c>
      <c r="O457" s="58"/>
      <c r="P457" s="58"/>
    </row>
    <row r="458" spans="1:16">
      <c r="A458"/>
      <c r="B458" s="476">
        <v>46010</v>
      </c>
      <c r="C458" s="571">
        <v>4.12</v>
      </c>
      <c r="D458" s="552">
        <v>1.9</v>
      </c>
      <c r="E458" s="552">
        <f t="shared" si="11"/>
        <v>3.7079999999999993</v>
      </c>
      <c r="F458" s="555">
        <f>SUM($E$2:E458)/SUM($C$2:C458)</f>
        <v>-5.1479689065559449E-2</v>
      </c>
      <c r="G458" s="552">
        <f t="shared" si="10"/>
        <v>-78.610000000000127</v>
      </c>
      <c r="H458" s="584" t="s">
        <v>16</v>
      </c>
      <c r="I458" s="2"/>
      <c r="J458" s="2"/>
      <c r="K458" s="2"/>
      <c r="L458" s="2"/>
      <c r="O458" s="58"/>
      <c r="P458" s="58"/>
    </row>
    <row r="459" spans="1:16">
      <c r="A459"/>
      <c r="B459" s="477"/>
      <c r="C459" s="583">
        <v>4.12</v>
      </c>
      <c r="D459" s="581">
        <v>1.84</v>
      </c>
      <c r="E459" s="581">
        <f t="shared" si="11"/>
        <v>3.4608000000000008</v>
      </c>
      <c r="F459" s="582">
        <f>SUM($E$2:E459)/SUM($C$2:C459)</f>
        <v>-4.9080874909380616E-2</v>
      </c>
      <c r="G459" s="581">
        <f t="shared" si="10"/>
        <v>-75.149200000000121</v>
      </c>
      <c r="H459" s="373" t="s">
        <v>51</v>
      </c>
      <c r="I459" s="2"/>
      <c r="J459" s="2"/>
      <c r="K459" s="2"/>
      <c r="L459" s="2"/>
      <c r="O459" s="58"/>
      <c r="P459" s="58"/>
    </row>
    <row r="460" spans="1:16">
      <c r="A460"/>
      <c r="B460" s="477"/>
      <c r="C460" s="571">
        <v>4.12</v>
      </c>
      <c r="D460" s="552">
        <v>1.9</v>
      </c>
      <c r="E460" s="552">
        <f t="shared" si="11"/>
        <v>3.7079999999999993</v>
      </c>
      <c r="F460" s="555">
        <f>SUM($E$2:E460)/SUM($C$2:C460)</f>
        <v>-4.6533919557075365E-2</v>
      </c>
      <c r="G460" s="552">
        <f t="shared" si="10"/>
        <v>-71.441200000000123</v>
      </c>
      <c r="H460" s="584" t="s">
        <v>37</v>
      </c>
      <c r="I460" s="2"/>
      <c r="J460" s="2"/>
      <c r="K460" s="2"/>
      <c r="L460" s="2"/>
      <c r="O460" s="58"/>
      <c r="P460" s="58"/>
    </row>
    <row r="461" spans="1:16">
      <c r="A461"/>
      <c r="B461" s="477"/>
      <c r="C461" s="571">
        <v>4.12</v>
      </c>
      <c r="D461" s="552"/>
      <c r="E461" s="552">
        <f t="shared" si="11"/>
        <v>-4.12</v>
      </c>
      <c r="F461" s="555">
        <f>SUM($E$2:E461)/SUM($C$2:C461)</f>
        <v>-4.9085794838148046E-2</v>
      </c>
      <c r="G461" s="552">
        <f t="shared" si="10"/>
        <v>-75.561200000000127</v>
      </c>
      <c r="H461" s="584" t="s">
        <v>29</v>
      </c>
      <c r="I461" s="2"/>
      <c r="J461" s="2"/>
      <c r="K461" s="2"/>
      <c r="L461" s="2"/>
      <c r="O461" s="58"/>
      <c r="P461" s="58"/>
    </row>
    <row r="462" spans="1:16">
      <c r="A462"/>
      <c r="B462" s="477"/>
      <c r="C462" s="571">
        <v>4.12</v>
      </c>
      <c r="D462" s="552"/>
      <c r="E462" s="552">
        <f t="shared" si="11"/>
        <v>-4.12</v>
      </c>
      <c r="F462" s="555">
        <f>SUM($E$2:E462)/SUM($C$2:C462)</f>
        <v>-5.1624046803024286E-2</v>
      </c>
      <c r="G462" s="552">
        <f t="shared" si="10"/>
        <v>-79.681200000000132</v>
      </c>
      <c r="H462" s="584" t="s">
        <v>14</v>
      </c>
      <c r="I462" s="2"/>
      <c r="J462" s="2"/>
      <c r="K462" s="2"/>
      <c r="L462" s="2"/>
      <c r="O462" s="58"/>
      <c r="P462" s="58"/>
    </row>
    <row r="463" spans="1:16">
      <c r="A463"/>
      <c r="B463" s="477"/>
      <c r="C463" s="571">
        <v>4.12</v>
      </c>
      <c r="D463" s="552">
        <v>1.88</v>
      </c>
      <c r="E463" s="552">
        <f t="shared" si="11"/>
        <v>3.6255999999999995</v>
      </c>
      <c r="F463" s="555">
        <f>SUM($E$2:E463)/SUM($C$2:C463)</f>
        <v>-4.9143905764372137E-2</v>
      </c>
      <c r="G463" s="552">
        <f t="shared" si="10"/>
        <v>-76.055600000000126</v>
      </c>
      <c r="H463" s="584" t="s">
        <v>46</v>
      </c>
      <c r="I463" s="2"/>
      <c r="J463" s="2"/>
      <c r="K463" s="2"/>
      <c r="L463" s="2"/>
      <c r="O463" s="58"/>
      <c r="P463" s="58"/>
    </row>
    <row r="464" spans="1:16">
      <c r="A464"/>
      <c r="B464" s="477"/>
      <c r="C464" s="583">
        <v>4.12</v>
      </c>
      <c r="D464" s="581">
        <v>1.9</v>
      </c>
      <c r="E464" s="581">
        <f t="shared" si="11"/>
        <v>3.7079999999999993</v>
      </c>
      <c r="F464" s="582">
        <f>SUM($E$2:E464)/SUM($C$2:C464)</f>
        <v>-4.662383275440958E-2</v>
      </c>
      <c r="G464" s="581">
        <f t="shared" si="10"/>
        <v>-72.347600000000128</v>
      </c>
      <c r="H464" s="373" t="s">
        <v>104</v>
      </c>
      <c r="I464" s="2"/>
      <c r="J464" s="2"/>
      <c r="K464" s="2"/>
      <c r="L464" s="2"/>
      <c r="O464" s="58"/>
      <c r="P464" s="58"/>
    </row>
    <row r="465" spans="1:16">
      <c r="A465"/>
      <c r="B465" s="477"/>
      <c r="C465" s="571">
        <v>4.12</v>
      </c>
      <c r="D465" s="552">
        <v>1.9</v>
      </c>
      <c r="E465" s="552">
        <f t="shared" si="11"/>
        <v>3.7079999999999993</v>
      </c>
      <c r="F465" s="555">
        <f>SUM($E$2:E465)/SUM($C$2:C465)</f>
        <v>-4.4117106404859073E-2</v>
      </c>
      <c r="G465" s="552">
        <f t="shared" si="10"/>
        <v>-68.639600000000129</v>
      </c>
      <c r="H465" s="584" t="s">
        <v>195</v>
      </c>
      <c r="I465" s="2"/>
      <c r="J465" s="2"/>
      <c r="K465" s="2"/>
      <c r="L465" s="2"/>
      <c r="O465" s="58"/>
      <c r="P465" s="58"/>
    </row>
    <row r="466" spans="1:16">
      <c r="A466"/>
      <c r="B466" s="477"/>
      <c r="C466" s="571">
        <v>4.12</v>
      </c>
      <c r="D466" s="552"/>
      <c r="E466" s="552">
        <f t="shared" si="11"/>
        <v>-4.12</v>
      </c>
      <c r="F466" s="555">
        <f>SUM($E$2:E466)/SUM($C$2:C466)</f>
        <v>-4.6641666185888185E-2</v>
      </c>
      <c r="G466" s="552">
        <f t="shared" si="10"/>
        <v>-72.759600000000134</v>
      </c>
      <c r="H466" s="584" t="s">
        <v>196</v>
      </c>
      <c r="I466" s="2"/>
      <c r="J466" s="2"/>
      <c r="K466" s="2"/>
      <c r="L466" s="2"/>
      <c r="O466" s="58"/>
      <c r="P466" s="58"/>
    </row>
    <row r="467" spans="1:16">
      <c r="A467"/>
      <c r="B467" s="477"/>
      <c r="C467" s="583">
        <v>4.12</v>
      </c>
      <c r="D467" s="581">
        <v>1.85</v>
      </c>
      <c r="E467" s="581">
        <f t="shared" si="11"/>
        <v>3.5020000000000007</v>
      </c>
      <c r="F467" s="582">
        <f>SUM($E$2:E467)/SUM($C$2:C467)</f>
        <v>-4.4279804870563724E-2</v>
      </c>
      <c r="G467" s="581">
        <f t="shared" si="10"/>
        <v>-69.257600000000139</v>
      </c>
      <c r="H467" s="373" t="s">
        <v>197</v>
      </c>
      <c r="I467" s="2">
        <f>SUM(E458:E467)</f>
        <v>13.060399999999996</v>
      </c>
      <c r="L467" s="2">
        <f>I467/C467</f>
        <v>3.169999999999999</v>
      </c>
      <c r="O467" s="58"/>
      <c r="P467" s="58"/>
    </row>
    <row r="468" spans="1:16">
      <c r="A468"/>
      <c r="B468" s="476">
        <v>46011</v>
      </c>
      <c r="C468" s="571">
        <v>2.1</v>
      </c>
      <c r="D468" s="552"/>
      <c r="E468" s="552">
        <f t="shared" si="11"/>
        <v>-2.1</v>
      </c>
      <c r="F468" s="555">
        <f>SUM($E$2:E468)/SUM($C$2:C468)</f>
        <v>-4.5561266513002893E-2</v>
      </c>
      <c r="G468" s="552">
        <f t="shared" si="10"/>
        <v>-71.357600000000133</v>
      </c>
      <c r="H468" s="584" t="s">
        <v>53</v>
      </c>
      <c r="I468" s="2"/>
      <c r="J468" s="2"/>
      <c r="K468" s="2"/>
      <c r="L468" s="2"/>
      <c r="O468" s="58"/>
      <c r="P468" s="58"/>
    </row>
    <row r="469" spans="1:16">
      <c r="A469"/>
      <c r="B469" s="477"/>
      <c r="C469" s="571">
        <v>2.1</v>
      </c>
      <c r="D469" s="552"/>
      <c r="E469" s="552">
        <f t="shared" si="11"/>
        <v>-2.1</v>
      </c>
      <c r="F469" s="555">
        <f>SUM($E$2:E469)/SUM($C$2:C469)</f>
        <v>-4.6839296303617314E-2</v>
      </c>
      <c r="G469" s="552">
        <f t="shared" si="10"/>
        <v>-73.457600000000127</v>
      </c>
      <c r="H469" s="584" t="s">
        <v>60</v>
      </c>
      <c r="I469" s="2"/>
      <c r="J469" s="2"/>
      <c r="K469" s="2"/>
      <c r="L469" s="2"/>
      <c r="O469" s="58"/>
      <c r="P469" s="58"/>
    </row>
    <row r="470" spans="1:16">
      <c r="A470"/>
      <c r="B470" s="477"/>
      <c r="C470" s="571">
        <v>2.1</v>
      </c>
      <c r="D470" s="552"/>
      <c r="E470" s="552">
        <f t="shared" si="11"/>
        <v>-2.1</v>
      </c>
      <c r="F470" s="555">
        <f>SUM($E$2:E470)/SUM($C$2:C470)</f>
        <v>-4.8113908010112137E-2</v>
      </c>
      <c r="G470" s="552">
        <f t="shared" si="10"/>
        <v>-75.557600000000122</v>
      </c>
      <c r="H470" s="584" t="s">
        <v>15</v>
      </c>
      <c r="I470" s="2"/>
      <c r="J470" s="2"/>
      <c r="K470" s="2"/>
      <c r="L470" s="2"/>
      <c r="O470" s="58"/>
      <c r="P470" s="58"/>
    </row>
    <row r="471" spans="1:16">
      <c r="A471"/>
      <c r="B471" s="477"/>
      <c r="C471" s="571">
        <v>2.1</v>
      </c>
      <c r="D471" s="552">
        <v>2</v>
      </c>
      <c r="E471" s="552">
        <f t="shared" si="11"/>
        <v>2.1</v>
      </c>
      <c r="F471" s="555">
        <f>SUM($E$2:E471)/SUM($C$2:C471)</f>
        <v>-4.6714192141126501E-2</v>
      </c>
      <c r="G471" s="552">
        <f t="shared" si="10"/>
        <v>-73.457600000000127</v>
      </c>
      <c r="H471" s="584" t="s">
        <v>11</v>
      </c>
      <c r="I471" s="2"/>
      <c r="J471" s="2"/>
      <c r="K471" s="2"/>
      <c r="L471" s="2"/>
      <c r="O471" s="58"/>
      <c r="P471" s="58"/>
    </row>
    <row r="472" spans="1:16">
      <c r="A472"/>
      <c r="B472" s="477"/>
      <c r="C472" s="583">
        <v>2.1</v>
      </c>
      <c r="D472" s="581">
        <v>1.83</v>
      </c>
      <c r="E472" s="581">
        <f t="shared" si="11"/>
        <v>1.7430000000000003</v>
      </c>
      <c r="F472" s="582">
        <f>SUM($E$2:E472)/SUM($C$2:C472)</f>
        <v>-4.5544935507020892E-2</v>
      </c>
      <c r="G472" s="581">
        <f t="shared" si="10"/>
        <v>-71.714600000000132</v>
      </c>
      <c r="H472" s="373" t="s">
        <v>36</v>
      </c>
      <c r="I472" s="2"/>
      <c r="J472" s="2"/>
      <c r="K472" s="2"/>
      <c r="L472" s="2"/>
      <c r="O472" s="58"/>
      <c r="P472" s="58"/>
    </row>
    <row r="473" spans="1:16">
      <c r="A473"/>
      <c r="B473" s="477"/>
      <c r="C473" s="571">
        <v>2.1</v>
      </c>
      <c r="D473" s="552"/>
      <c r="E473" s="552">
        <f t="shared" si="11"/>
        <v>-2.1</v>
      </c>
      <c r="F473" s="555">
        <f>SUM($E$2:E473)/SUM($C$2:C473)</f>
        <v>-4.6816178196094363E-2</v>
      </c>
      <c r="G473" s="552">
        <f t="shared" si="10"/>
        <v>-73.814600000000127</v>
      </c>
      <c r="H473" s="584" t="s">
        <v>59</v>
      </c>
      <c r="I473" s="2"/>
      <c r="J473" s="2"/>
      <c r="K473" s="2"/>
      <c r="L473" s="2"/>
      <c r="O473" s="58"/>
      <c r="P473" s="58"/>
    </row>
    <row r="474" spans="1:16">
      <c r="A474"/>
      <c r="B474" s="477"/>
      <c r="C474" s="571">
        <v>2.1</v>
      </c>
      <c r="D474" s="552">
        <v>1.9</v>
      </c>
      <c r="E474" s="552">
        <f t="shared" si="11"/>
        <v>1.8899999999999997</v>
      </c>
      <c r="F474" s="555">
        <f>SUM($E$2:E474)/SUM($C$2:C474)</f>
        <v>-4.5556787159786942E-2</v>
      </c>
      <c r="G474" s="552">
        <f t="shared" si="10"/>
        <v>-71.924600000000126</v>
      </c>
      <c r="H474" s="584" t="s">
        <v>51</v>
      </c>
      <c r="I474" s="2"/>
      <c r="J474" s="2"/>
      <c r="K474" s="2"/>
      <c r="L474" s="2"/>
      <c r="O474" s="58"/>
      <c r="P474" s="58"/>
    </row>
    <row r="475" spans="1:16">
      <c r="A475"/>
      <c r="B475" s="477"/>
      <c r="C475" s="571">
        <v>2.1</v>
      </c>
      <c r="D475" s="552">
        <v>2.1</v>
      </c>
      <c r="E475" s="552">
        <f t="shared" si="11"/>
        <v>2.31</v>
      </c>
      <c r="F475" s="555">
        <f>SUM($E$2:E475)/SUM($C$2:C475)</f>
        <v>-4.4035068853620449E-2</v>
      </c>
      <c r="G475" s="552">
        <f t="shared" si="10"/>
        <v>-69.614600000000124</v>
      </c>
      <c r="H475" s="584" t="s">
        <v>13</v>
      </c>
      <c r="I475" s="2"/>
      <c r="J475" s="2"/>
      <c r="K475" s="2"/>
      <c r="L475" s="2"/>
      <c r="O475" s="58"/>
      <c r="P475" s="58"/>
    </row>
    <row r="476" spans="1:16">
      <c r="A476"/>
      <c r="B476" s="477"/>
      <c r="C476" s="571">
        <v>2.1</v>
      </c>
      <c r="D476" s="552"/>
      <c r="E476" s="552">
        <f t="shared" si="11"/>
        <v>-2.1</v>
      </c>
      <c r="F476" s="555">
        <f>SUM($E$2:E476)/SUM($C$2:C476)</f>
        <v>-4.5303255232187208E-2</v>
      </c>
      <c r="G476" s="552">
        <f t="shared" si="10"/>
        <v>-71.714600000000118</v>
      </c>
      <c r="H476" s="584" t="s">
        <v>26</v>
      </c>
      <c r="I476" s="2"/>
      <c r="J476" s="2"/>
      <c r="K476" s="2"/>
      <c r="L476" s="2"/>
      <c r="O476" s="58"/>
      <c r="P476" s="58"/>
    </row>
    <row r="477" spans="1:16">
      <c r="A477"/>
      <c r="B477" s="477"/>
      <c r="C477" s="571">
        <v>2.1</v>
      </c>
      <c r="D477" s="552">
        <v>1.91</v>
      </c>
      <c r="E477" s="552">
        <f t="shared" si="11"/>
        <v>1.911</v>
      </c>
      <c r="F477" s="555">
        <f>SUM($E$2:E477)/SUM($C$2:C477)</f>
        <v>-4.4037625623781634E-2</v>
      </c>
      <c r="G477" s="552">
        <f t="shared" si="10"/>
        <v>-69.803600000000117</v>
      </c>
      <c r="H477" s="584" t="s">
        <v>27</v>
      </c>
      <c r="I477" s="2"/>
      <c r="J477" s="2"/>
      <c r="K477" s="2"/>
      <c r="L477" s="2"/>
      <c r="O477" s="58"/>
      <c r="P477" s="58"/>
    </row>
    <row r="478" spans="1:16">
      <c r="A478"/>
      <c r="B478" s="477"/>
      <c r="C478" s="571">
        <v>2.1</v>
      </c>
      <c r="D478" s="552">
        <v>2.1</v>
      </c>
      <c r="E478" s="552">
        <f t="shared" si="11"/>
        <v>2.31</v>
      </c>
      <c r="F478" s="555">
        <f>SUM($E$2:E478)/SUM($C$2:C478)</f>
        <v>-4.252395743420765E-2</v>
      </c>
      <c r="G478" s="552">
        <f t="shared" si="10"/>
        <v>-67.493600000000114</v>
      </c>
      <c r="H478" s="584" t="s">
        <v>47</v>
      </c>
      <c r="I478" s="2"/>
      <c r="J478" s="2"/>
      <c r="K478" s="2"/>
      <c r="L478" s="2"/>
      <c r="O478" s="58"/>
      <c r="P478" s="58"/>
    </row>
    <row r="479" spans="1:16">
      <c r="A479"/>
      <c r="B479" s="477"/>
      <c r="C479" s="583">
        <v>2.1</v>
      </c>
      <c r="D479" s="581"/>
      <c r="E479" s="581">
        <f t="shared" si="11"/>
        <v>-2.1</v>
      </c>
      <c r="F479" s="582">
        <f>SUM($E$2:E479)/SUM($C$2:C479)</f>
        <v>-4.3789113377671808E-2</v>
      </c>
      <c r="G479" s="581">
        <f t="shared" si="10"/>
        <v>-69.593600000000109</v>
      </c>
      <c r="H479" s="373" t="s">
        <v>18</v>
      </c>
      <c r="I479" s="2"/>
      <c r="J479" s="2"/>
      <c r="K479" s="2"/>
      <c r="L479" s="2"/>
      <c r="O479" s="58"/>
      <c r="P479" s="58"/>
    </row>
    <row r="480" spans="1:16">
      <c r="A480"/>
      <c r="B480" s="477"/>
      <c r="C480" s="571">
        <v>2.1</v>
      </c>
      <c r="D480" s="552"/>
      <c r="E480" s="552">
        <f t="shared" si="11"/>
        <v>-2.1</v>
      </c>
      <c r="F480" s="555">
        <f>SUM($E$2:E480)/SUM($C$2:C480)</f>
        <v>-4.5050930318777938E-2</v>
      </c>
      <c r="G480" s="552">
        <f t="shared" si="10"/>
        <v>-71.693600000000103</v>
      </c>
      <c r="H480" s="584" t="s">
        <v>183</v>
      </c>
      <c r="I480" s="2"/>
      <c r="J480" s="2"/>
      <c r="K480" s="2"/>
      <c r="L480" s="2"/>
      <c r="O480" s="58"/>
      <c r="P480" s="58"/>
    </row>
    <row r="481" spans="1:16">
      <c r="A481"/>
      <c r="B481" s="477"/>
      <c r="C481" s="571">
        <v>2.1</v>
      </c>
      <c r="D481" s="552">
        <v>1.9</v>
      </c>
      <c r="E481" s="552">
        <f t="shared" si="11"/>
        <v>1.8899999999999997</v>
      </c>
      <c r="F481" s="555">
        <f>SUM($E$2:E481)/SUM($C$2:C481)</f>
        <v>-4.3805483561239818E-2</v>
      </c>
      <c r="G481" s="552">
        <f t="shared" si="10"/>
        <v>-69.803600000000102</v>
      </c>
      <c r="H481" s="584" t="s">
        <v>198</v>
      </c>
      <c r="I481" s="2"/>
      <c r="J481" s="2"/>
      <c r="K481" s="2"/>
      <c r="L481" s="2"/>
      <c r="O481" s="58"/>
      <c r="P481" s="58"/>
    </row>
    <row r="482" spans="1:16">
      <c r="A482"/>
      <c r="B482" s="477"/>
      <c r="C482" s="571">
        <v>2.1</v>
      </c>
      <c r="D482" s="552">
        <v>1.89</v>
      </c>
      <c r="E482" s="552">
        <f t="shared" si="11"/>
        <v>1.8689999999999998</v>
      </c>
      <c r="F482" s="555">
        <f>SUM($E$2:E482)/SUM($C$2:C482)</f>
        <v>-4.257647641311367E-2</v>
      </c>
      <c r="G482" s="552">
        <f t="shared" si="10"/>
        <v>-67.934600000000103</v>
      </c>
      <c r="H482" s="584" t="s">
        <v>199</v>
      </c>
      <c r="I482" s="2"/>
      <c r="J482" s="2"/>
      <c r="K482" s="2"/>
      <c r="L482" s="2"/>
      <c r="O482" s="58"/>
      <c r="P482" s="58"/>
    </row>
    <row r="483" spans="1:16">
      <c r="A483"/>
      <c r="B483" s="477"/>
      <c r="C483" s="571">
        <v>2.1</v>
      </c>
      <c r="D483" s="552">
        <v>1.8499999999999999</v>
      </c>
      <c r="E483" s="552">
        <f t="shared" si="11"/>
        <v>1.7849999999999997</v>
      </c>
      <c r="F483" s="555">
        <f>SUM($E$2:E483)/SUM($C$2:C483)</f>
        <v>-4.1403275979695717E-2</v>
      </c>
      <c r="G483" s="552">
        <f t="shared" si="10"/>
        <v>-66.149600000000106</v>
      </c>
      <c r="H483" s="584" t="s">
        <v>200</v>
      </c>
      <c r="I483" s="2"/>
      <c r="J483" s="2"/>
      <c r="K483" s="2"/>
      <c r="L483" s="2"/>
      <c r="O483" s="58"/>
      <c r="P483" s="58"/>
    </row>
    <row r="484" spans="1:16">
      <c r="A484"/>
      <c r="B484" s="477"/>
      <c r="C484" s="571">
        <v>2.1</v>
      </c>
      <c r="D484" s="552">
        <v>1.89</v>
      </c>
      <c r="E484" s="552">
        <f t="shared" si="11"/>
        <v>1.8689999999999998</v>
      </c>
      <c r="F484" s="555">
        <f>SUM($E$2:E484)/SUM($C$2:C484)</f>
        <v>-4.0180648710143242E-2</v>
      </c>
      <c r="G484" s="552">
        <f t="shared" si="10"/>
        <v>-64.280600000000106</v>
      </c>
      <c r="H484" s="584" t="s">
        <v>201</v>
      </c>
      <c r="I484" s="2"/>
      <c r="J484" s="2"/>
      <c r="K484" s="2"/>
      <c r="L484" s="2"/>
      <c r="O484" s="58"/>
      <c r="P484" s="58"/>
    </row>
    <row r="485" spans="1:16">
      <c r="A485"/>
      <c r="B485" s="477"/>
      <c r="C485" s="571">
        <v>2.1</v>
      </c>
      <c r="D485" s="552">
        <v>1.85</v>
      </c>
      <c r="E485" s="552">
        <f t="shared" si="11"/>
        <v>1.7850000000000001</v>
      </c>
      <c r="F485" s="555">
        <f>SUM($E$2:E485)/SUM($C$2:C485)</f>
        <v>-3.9013665108091108E-2</v>
      </c>
      <c r="G485" s="552">
        <f t="shared" si="10"/>
        <v>-62.49560000000011</v>
      </c>
      <c r="H485" s="584" t="s">
        <v>202</v>
      </c>
      <c r="I485" s="2"/>
      <c r="J485" s="2"/>
      <c r="K485" s="2"/>
      <c r="L485" s="2"/>
      <c r="O485" s="58"/>
      <c r="P485" s="58"/>
    </row>
    <row r="486" spans="1:16">
      <c r="A486"/>
      <c r="B486" s="477"/>
      <c r="C486" s="583">
        <v>2.1</v>
      </c>
      <c r="D486" s="581"/>
      <c r="E486" s="581">
        <f t="shared" si="11"/>
        <v>-2.1</v>
      </c>
      <c r="F486" s="582">
        <f>SUM($E$2:E486)/SUM($C$2:C486)</f>
        <v>-4.0271822143529611E-2</v>
      </c>
      <c r="G486" s="581">
        <f t="shared" si="10"/>
        <v>-64.595600000000104</v>
      </c>
      <c r="H486" s="373" t="s">
        <v>203</v>
      </c>
      <c r="I486" s="2">
        <f>SUM(E468:E486)</f>
        <v>4.661999999999999</v>
      </c>
      <c r="L486" s="2">
        <f>I486/C486</f>
        <v>2.2199999999999993</v>
      </c>
      <c r="O486" s="58"/>
      <c r="P486" s="58"/>
    </row>
    <row r="487" spans="1:16">
      <c r="A487"/>
      <c r="B487" s="476">
        <v>46012</v>
      </c>
      <c r="C487" s="571">
        <v>3.53</v>
      </c>
      <c r="D487" s="552">
        <v>1.9</v>
      </c>
      <c r="E487" s="552">
        <f t="shared" si="11"/>
        <v>3.1769999999999992</v>
      </c>
      <c r="F487" s="555">
        <f>SUM($E$2:E487)/SUM($C$2:C487)</f>
        <v>-3.8207051856275542E-2</v>
      </c>
      <c r="G487" s="552">
        <f t="shared" si="10"/>
        <v>-61.418600000000104</v>
      </c>
      <c r="H487" s="584" t="s">
        <v>35</v>
      </c>
      <c r="I487" s="2"/>
      <c r="J487" s="2"/>
      <c r="K487" s="2"/>
      <c r="L487" s="2"/>
      <c r="O487" s="58"/>
      <c r="P487" s="58"/>
    </row>
    <row r="488" spans="1:16">
      <c r="A488"/>
      <c r="B488" s="477"/>
      <c r="C488" s="571">
        <v>3.53</v>
      </c>
      <c r="D488" s="552"/>
      <c r="E488" s="552">
        <f t="shared" si="11"/>
        <v>-3.53</v>
      </c>
      <c r="F488" s="555">
        <f>SUM($E$2:E488)/SUM($C$2:C488)</f>
        <v>-4.0314453306849601E-2</v>
      </c>
      <c r="G488" s="552">
        <f t="shared" si="10"/>
        <v>-64.948600000000098</v>
      </c>
      <c r="H488" s="584" t="s">
        <v>25</v>
      </c>
      <c r="I488" s="2"/>
      <c r="J488" s="2"/>
      <c r="K488" s="2"/>
      <c r="L488" s="2"/>
      <c r="O488" s="58"/>
      <c r="P488" s="58"/>
    </row>
    <row r="489" spans="1:16">
      <c r="A489"/>
      <c r="B489" s="477"/>
      <c r="C489" s="571">
        <v>3.53</v>
      </c>
      <c r="D489" s="552"/>
      <c r="E489" s="552">
        <f t="shared" si="11"/>
        <v>-3.53</v>
      </c>
      <c r="F489" s="555">
        <f>SUM($E$2:E489)/SUM($C$2:C489)</f>
        <v>-4.2412639819643536E-2</v>
      </c>
      <c r="G489" s="552">
        <f t="shared" si="10"/>
        <v>-68.4786000000001</v>
      </c>
      <c r="H489" s="584" t="s">
        <v>12</v>
      </c>
      <c r="I489" s="2"/>
      <c r="J489" s="2"/>
      <c r="K489" s="2"/>
      <c r="L489" s="2"/>
      <c r="O489" s="58"/>
      <c r="P489" s="58"/>
    </row>
    <row r="490" spans="1:16">
      <c r="A490"/>
      <c r="B490" s="477"/>
      <c r="C490" s="571">
        <v>3.53</v>
      </c>
      <c r="D490" s="552"/>
      <c r="E490" s="552">
        <f t="shared" si="11"/>
        <v>-3.53</v>
      </c>
      <c r="F490" s="555">
        <f>SUM($E$2:E490)/SUM($C$2:C490)</f>
        <v>-4.4501671703407096E-2</v>
      </c>
      <c r="G490" s="552">
        <f t="shared" si="10"/>
        <v>-72.008600000000101</v>
      </c>
      <c r="H490" s="584" t="s">
        <v>34</v>
      </c>
      <c r="I490" s="2"/>
      <c r="J490" s="2"/>
      <c r="K490" s="2"/>
      <c r="L490" s="2"/>
      <c r="O490" s="58"/>
      <c r="P490" s="58"/>
    </row>
    <row r="491" spans="1:16">
      <c r="A491"/>
      <c r="B491" s="477"/>
      <c r="C491" s="583">
        <v>3.53</v>
      </c>
      <c r="D491" s="581">
        <v>2</v>
      </c>
      <c r="E491" s="581">
        <f t="shared" si="11"/>
        <v>3.53</v>
      </c>
      <c r="F491" s="582">
        <f>SUM($E$2:E491)/SUM($C$2:C491)</f>
        <v>-4.2227991416097323E-2</v>
      </c>
      <c r="G491" s="581">
        <f t="shared" si="10"/>
        <v>-68.4786000000001</v>
      </c>
      <c r="H491" s="373" t="s">
        <v>53</v>
      </c>
      <c r="I491" s="2"/>
      <c r="J491" s="2"/>
      <c r="K491" s="2"/>
      <c r="L491" s="2"/>
      <c r="O491" s="58"/>
      <c r="P491" s="58"/>
    </row>
    <row r="492" spans="1:16">
      <c r="A492"/>
      <c r="B492" s="477"/>
      <c r="C492" s="571">
        <v>3.53</v>
      </c>
      <c r="D492" s="552"/>
      <c r="E492" s="552">
        <f t="shared" si="11"/>
        <v>-3.53</v>
      </c>
      <c r="F492" s="555">
        <f>SUM($E$2:E492)/SUM($C$2:C492)</f>
        <v>-4.4308349280383012E-2</v>
      </c>
      <c r="G492" s="552">
        <f t="shared" ref="G492:G555" si="12">G491+E492</f>
        <v>-72.008600000000101</v>
      </c>
      <c r="H492" s="584" t="s">
        <v>28</v>
      </c>
      <c r="I492" s="2"/>
      <c r="J492" s="2"/>
      <c r="K492" s="2"/>
      <c r="L492" s="2"/>
      <c r="O492" s="58"/>
      <c r="P492" s="58"/>
    </row>
    <row r="493" spans="1:16">
      <c r="A493"/>
      <c r="B493" s="477"/>
      <c r="C493" s="571">
        <v>3.53</v>
      </c>
      <c r="D493" s="552">
        <v>1.9</v>
      </c>
      <c r="E493" s="552">
        <f t="shared" si="11"/>
        <v>3.1769999999999992</v>
      </c>
      <c r="F493" s="555">
        <f>SUM($E$2:E493)/SUM($C$2:C493)</f>
        <v>-4.2261681095352166E-2</v>
      </c>
      <c r="G493" s="552">
        <f t="shared" si="12"/>
        <v>-68.831600000000108</v>
      </c>
      <c r="H493" s="584" t="s">
        <v>29</v>
      </c>
      <c r="I493" s="2"/>
      <c r="J493" s="2"/>
      <c r="K493" s="2"/>
      <c r="L493" s="2"/>
      <c r="O493" s="58"/>
      <c r="P493" s="58"/>
    </row>
    <row r="494" spans="1:16">
      <c r="A494"/>
      <c r="B494" s="477"/>
      <c r="C494" s="571">
        <v>3.53</v>
      </c>
      <c r="D494" s="552">
        <v>1.9390000000000001</v>
      </c>
      <c r="E494" s="552">
        <f t="shared" si="11"/>
        <v>3.31467</v>
      </c>
      <c r="F494" s="555">
        <f>SUM($E$2:E494)/SUM($C$2:C494)</f>
        <v>-4.0139520778321724E-2</v>
      </c>
      <c r="G494" s="552">
        <f t="shared" si="12"/>
        <v>-65.516930000000102</v>
      </c>
      <c r="H494" s="584" t="s">
        <v>11</v>
      </c>
      <c r="I494" s="2"/>
      <c r="J494" s="2"/>
      <c r="K494" s="2"/>
      <c r="L494" s="2"/>
      <c r="O494" s="58"/>
      <c r="P494" s="58"/>
    </row>
    <row r="495" spans="1:16">
      <c r="A495"/>
      <c r="B495" s="477"/>
      <c r="C495" s="583">
        <v>5</v>
      </c>
      <c r="D495" s="581">
        <v>2</v>
      </c>
      <c r="E495" s="581">
        <f t="shared" ref="E495:E558" si="13">(C495*D495)-C495</f>
        <v>5</v>
      </c>
      <c r="F495" s="582">
        <f>SUM($E$2:E495)/SUM($C$2:C495)</f>
        <v>-3.6962998479138587E-2</v>
      </c>
      <c r="G495" s="581">
        <f t="shared" si="12"/>
        <v>-60.516930000000102</v>
      </c>
      <c r="H495" s="373" t="s">
        <v>38</v>
      </c>
      <c r="I495" s="2"/>
      <c r="J495" s="2"/>
      <c r="K495" s="2"/>
      <c r="L495" s="2"/>
      <c r="O495" s="58"/>
      <c r="P495" s="58"/>
    </row>
    <row r="496" spans="1:16">
      <c r="A496"/>
      <c r="B496" s="477"/>
      <c r="C496" s="571">
        <v>3.53</v>
      </c>
      <c r="D496" s="552">
        <v>1.9</v>
      </c>
      <c r="E496" s="552">
        <f t="shared" si="13"/>
        <v>3.1769999999999992</v>
      </c>
      <c r="F496" s="555">
        <f>SUM($E$2:E496)/SUM($C$2:C496)</f>
        <v>-3.4947176918013648E-2</v>
      </c>
      <c r="G496" s="552">
        <f t="shared" si="12"/>
        <v>-57.339930000000102</v>
      </c>
      <c r="H496" s="584" t="s">
        <v>204</v>
      </c>
      <c r="I496" s="2"/>
      <c r="J496" s="2"/>
      <c r="K496" s="2"/>
      <c r="L496" s="2"/>
      <c r="O496" s="58"/>
      <c r="P496" s="58"/>
    </row>
    <row r="497" spans="1:16">
      <c r="A497"/>
      <c r="B497" s="477"/>
      <c r="C497" s="571">
        <v>3.53</v>
      </c>
      <c r="D497" s="552"/>
      <c r="E497" s="552">
        <f t="shared" si="13"/>
        <v>-3.53</v>
      </c>
      <c r="F497" s="555">
        <f>SUM($E$2:E497)/SUM($C$2:C497)</f>
        <v>-3.7018974755061496E-2</v>
      </c>
      <c r="G497" s="552">
        <f t="shared" si="12"/>
        <v>-60.869930000000103</v>
      </c>
      <c r="H497" s="584" t="s">
        <v>31</v>
      </c>
      <c r="I497" s="2"/>
      <c r="J497" s="2"/>
      <c r="K497" s="2"/>
      <c r="L497" s="2"/>
      <c r="O497" s="58"/>
      <c r="P497" s="58"/>
    </row>
    <row r="498" spans="1:16">
      <c r="A498"/>
      <c r="B498" s="477"/>
      <c r="C498" s="571">
        <v>3.53</v>
      </c>
      <c r="D498" s="552"/>
      <c r="E498" s="552">
        <f t="shared" si="13"/>
        <v>-3.53</v>
      </c>
      <c r="F498" s="555">
        <f>SUM($E$2:E498)/SUM($C$2:C498)</f>
        <v>-3.908189608088266E-2</v>
      </c>
      <c r="G498" s="552">
        <f t="shared" si="12"/>
        <v>-64.399930000000097</v>
      </c>
      <c r="H498" s="584" t="s">
        <v>205</v>
      </c>
      <c r="I498" s="2"/>
      <c r="J498" s="2"/>
      <c r="K498" s="2"/>
      <c r="L498" s="2"/>
      <c r="O498" s="58"/>
      <c r="P498" s="58"/>
    </row>
    <row r="499" spans="1:16">
      <c r="A499"/>
      <c r="B499" s="477"/>
      <c r="C499" s="571">
        <v>3.53</v>
      </c>
      <c r="D499" s="552"/>
      <c r="E499" s="552">
        <f t="shared" si="13"/>
        <v>-3.53</v>
      </c>
      <c r="F499" s="555">
        <f>SUM($E$2:E499)/SUM($C$2:C499)</f>
        <v>-4.113599781996552E-2</v>
      </c>
      <c r="G499" s="552">
        <f t="shared" si="12"/>
        <v>-67.929930000000098</v>
      </c>
      <c r="H499" s="584" t="s">
        <v>206</v>
      </c>
      <c r="I499" s="2"/>
      <c r="J499" s="2"/>
      <c r="K499" s="2"/>
      <c r="L499" s="2"/>
      <c r="O499" s="58"/>
      <c r="P499" s="58"/>
    </row>
    <row r="500" spans="1:16">
      <c r="A500"/>
      <c r="B500" s="477"/>
      <c r="C500" s="583">
        <v>3.53</v>
      </c>
      <c r="D500" s="581">
        <v>1.87</v>
      </c>
      <c r="E500" s="581">
        <f t="shared" si="13"/>
        <v>3.0710999999999999</v>
      </c>
      <c r="F500" s="582">
        <f>SUM($E$2:E500)/SUM($C$2:C500)</f>
        <v>-3.9192467127525901E-2</v>
      </c>
      <c r="G500" s="581">
        <f t="shared" si="12"/>
        <v>-64.858830000000097</v>
      </c>
      <c r="H500" s="373" t="s">
        <v>207</v>
      </c>
      <c r="I500" s="444">
        <f>SUM(E487:E500)</f>
        <v>-0.26323000000000096</v>
      </c>
      <c r="J500" s="444">
        <f>SUM(E418:E500)</f>
        <v>2.5899699999999952</v>
      </c>
      <c r="L500" s="2">
        <f>I500/C500</f>
        <v>-7.4569405099150415E-2</v>
      </c>
      <c r="O500" s="58"/>
      <c r="P500" s="58"/>
    </row>
    <row r="501" spans="1:16">
      <c r="A501"/>
      <c r="B501" s="476">
        <v>46013</v>
      </c>
      <c r="C501" s="571">
        <f>3.02*2</f>
        <v>6.04</v>
      </c>
      <c r="D501" s="552">
        <v>1.85</v>
      </c>
      <c r="E501" s="552">
        <f t="shared" si="13"/>
        <v>5.1340000000000012</v>
      </c>
      <c r="F501" s="555">
        <f>SUM($E$2:E501)/SUM($C$2:C501)</f>
        <v>-3.5958884232834859E-2</v>
      </c>
      <c r="G501" s="552">
        <f t="shared" si="12"/>
        <v>-59.724830000000097</v>
      </c>
      <c r="H501" s="584" t="s">
        <v>15</v>
      </c>
      <c r="I501" s="2"/>
      <c r="J501" s="2"/>
      <c r="K501" s="2"/>
      <c r="L501" s="2"/>
      <c r="O501" s="58"/>
      <c r="P501" s="58"/>
    </row>
    <row r="502" spans="1:16">
      <c r="A502"/>
      <c r="B502" s="477"/>
      <c r="C502" s="571">
        <f>3.02*2</f>
        <v>6.04</v>
      </c>
      <c r="D502" s="552"/>
      <c r="E502" s="552">
        <f t="shared" si="13"/>
        <v>-6.04</v>
      </c>
      <c r="F502" s="555">
        <f>SUM($E$2:E502)/SUM($C$2:C502)</f>
        <v>-3.9451954456015785E-2</v>
      </c>
      <c r="G502" s="552">
        <f t="shared" si="12"/>
        <v>-65.764830000000103</v>
      </c>
      <c r="H502" s="584" t="s">
        <v>60</v>
      </c>
      <c r="I502" s="2"/>
      <c r="J502" s="2"/>
      <c r="K502" s="2"/>
      <c r="L502" s="2"/>
      <c r="O502" s="58"/>
      <c r="P502" s="58"/>
    </row>
    <row r="503" spans="1:16">
      <c r="A503"/>
      <c r="B503" s="477"/>
      <c r="C503" s="571">
        <v>3.02</v>
      </c>
      <c r="D503" s="552"/>
      <c r="E503" s="552">
        <f t="shared" si="13"/>
        <v>-3.02</v>
      </c>
      <c r="F503" s="555">
        <f>SUM($E$2:E503)/SUM($C$2:C503)</f>
        <v>-4.1189014239691533E-2</v>
      </c>
      <c r="G503" s="552">
        <f t="shared" si="12"/>
        <v>-68.784830000000099</v>
      </c>
      <c r="H503" s="584" t="s">
        <v>17</v>
      </c>
      <c r="I503" s="2"/>
      <c r="J503" s="2"/>
      <c r="K503" s="2"/>
      <c r="L503" s="2"/>
      <c r="O503" s="58"/>
      <c r="P503" s="58"/>
    </row>
    <row r="504" spans="1:16">
      <c r="A504"/>
      <c r="B504" s="477"/>
      <c r="C504" s="583">
        <v>3.02</v>
      </c>
      <c r="D504" s="581"/>
      <c r="E504" s="581">
        <f t="shared" si="13"/>
        <v>-3.02</v>
      </c>
      <c r="F504" s="582">
        <f>SUM($E$2:E504)/SUM($C$2:C504)</f>
        <v>-4.291980274955174E-2</v>
      </c>
      <c r="G504" s="581">
        <f t="shared" si="12"/>
        <v>-71.804830000000095</v>
      </c>
      <c r="H504" s="373" t="s">
        <v>64</v>
      </c>
      <c r="I504" s="2"/>
      <c r="J504" s="2"/>
      <c r="K504" s="2"/>
      <c r="L504" s="2"/>
      <c r="O504" s="58"/>
      <c r="P504" s="58"/>
    </row>
    <row r="505" spans="1:16">
      <c r="A505"/>
      <c r="B505" s="477"/>
      <c r="C505" s="571">
        <v>3.02</v>
      </c>
      <c r="D505" s="552"/>
      <c r="E505" s="552">
        <f t="shared" si="13"/>
        <v>-3.02</v>
      </c>
      <c r="F505" s="555">
        <f>SUM($E$2:E505)/SUM($C$2:C505)</f>
        <v>-4.4644353885991854E-2</v>
      </c>
      <c r="G505" s="552">
        <f t="shared" si="12"/>
        <v>-74.824830000000091</v>
      </c>
      <c r="H505" s="584" t="s">
        <v>37</v>
      </c>
      <c r="I505" s="2"/>
      <c r="J505" s="2"/>
      <c r="K505" s="2"/>
      <c r="L505" s="2"/>
      <c r="O505" s="58"/>
      <c r="P505" s="58"/>
    </row>
    <row r="506" spans="1:16">
      <c r="A506"/>
      <c r="B506" s="477"/>
      <c r="C506" s="571">
        <v>3.02</v>
      </c>
      <c r="D506" s="552"/>
      <c r="E506" s="552">
        <f t="shared" si="13"/>
        <v>-3.02</v>
      </c>
      <c r="F506" s="555">
        <f>SUM($E$2:E506)/SUM($C$2:C506)</f>
        <v>-4.6362701305507945E-2</v>
      </c>
      <c r="G506" s="552">
        <f t="shared" si="12"/>
        <v>-77.844830000000087</v>
      </c>
      <c r="H506" s="584" t="s">
        <v>13</v>
      </c>
      <c r="I506" s="2"/>
      <c r="J506" s="2"/>
      <c r="K506" s="2"/>
      <c r="L506" s="2"/>
      <c r="O506" s="58"/>
      <c r="P506" s="58"/>
    </row>
    <row r="507" spans="1:16">
      <c r="A507"/>
      <c r="B507" s="477"/>
      <c r="C507" s="571">
        <v>3.02</v>
      </c>
      <c r="D507" s="552">
        <v>1.91</v>
      </c>
      <c r="E507" s="552">
        <f t="shared" si="13"/>
        <v>2.7482000000000002</v>
      </c>
      <c r="F507" s="555">
        <f>SUM($E$2:E507)/SUM($C$2:C507)</f>
        <v>-4.4645630952522539E-2</v>
      </c>
      <c r="G507" s="552">
        <f t="shared" si="12"/>
        <v>-75.09663000000009</v>
      </c>
      <c r="H507" s="584" t="s">
        <v>59</v>
      </c>
      <c r="I507" s="2"/>
      <c r="J507" s="2"/>
      <c r="K507" s="2"/>
      <c r="L507" s="2"/>
      <c r="O507" s="58"/>
      <c r="P507" s="58"/>
    </row>
    <row r="508" spans="1:16">
      <c r="A508"/>
      <c r="B508" s="477"/>
      <c r="C508" s="583">
        <v>3.02</v>
      </c>
      <c r="D508" s="581">
        <v>2.31</v>
      </c>
      <c r="E508" s="581">
        <f t="shared" si="13"/>
        <v>3.9562000000000004</v>
      </c>
      <c r="F508" s="582">
        <f>SUM($E$2:E508)/SUM($C$2:C508)</f>
        <v>-4.2217835354998026E-2</v>
      </c>
      <c r="G508" s="581">
        <f t="shared" si="12"/>
        <v>-71.140430000000094</v>
      </c>
      <c r="H508" s="373" t="s">
        <v>27</v>
      </c>
      <c r="I508" s="2"/>
      <c r="J508" s="2"/>
      <c r="K508" s="2"/>
      <c r="L508" s="2"/>
      <c r="O508" s="58"/>
      <c r="P508" s="58"/>
    </row>
    <row r="509" spans="1:16">
      <c r="A509"/>
      <c r="B509" s="477"/>
      <c r="C509" s="571">
        <v>3.02</v>
      </c>
      <c r="D509" s="552">
        <v>1.87</v>
      </c>
      <c r="E509" s="552">
        <f t="shared" si="13"/>
        <v>2.6274000000000002</v>
      </c>
      <c r="F509" s="555">
        <f>SUM($E$2:E509)/SUM($C$2:C509)</f>
        <v>-4.0585883537705154E-2</v>
      </c>
      <c r="G509" s="552">
        <f t="shared" si="12"/>
        <v>-68.5130300000001</v>
      </c>
      <c r="H509" s="584" t="s">
        <v>208</v>
      </c>
      <c r="I509" s="2"/>
      <c r="J509" s="2"/>
      <c r="K509" s="2"/>
      <c r="L509" s="2"/>
      <c r="O509" s="58"/>
      <c r="P509" s="58"/>
    </row>
    <row r="510" spans="1:16">
      <c r="A510"/>
      <c r="B510" s="477"/>
      <c r="C510" s="571">
        <v>3.02</v>
      </c>
      <c r="D510" s="552"/>
      <c r="E510" s="552">
        <f t="shared" si="13"/>
        <v>-3.02</v>
      </c>
      <c r="F510" s="555">
        <f>SUM($E$2:E510)/SUM($C$2:C510)</f>
        <v>-4.2299204077770984E-2</v>
      </c>
      <c r="G510" s="552">
        <f t="shared" si="12"/>
        <v>-71.533030000000096</v>
      </c>
      <c r="H510" s="584" t="s">
        <v>209</v>
      </c>
      <c r="I510" s="2"/>
      <c r="J510" s="2"/>
      <c r="K510" s="2"/>
      <c r="L510" s="2"/>
      <c r="O510" s="58"/>
      <c r="P510" s="58"/>
    </row>
    <row r="511" spans="1:16">
      <c r="A511"/>
      <c r="B511" s="477"/>
      <c r="C511" s="571">
        <v>3.02</v>
      </c>
      <c r="D511" s="552"/>
      <c r="E511" s="552">
        <f t="shared" si="13"/>
        <v>-3.02</v>
      </c>
      <c r="F511" s="555">
        <f>SUM($E$2:E511)/SUM($C$2:C511)</f>
        <v>-4.4006416234785829E-2</v>
      </c>
      <c r="G511" s="552">
        <f t="shared" si="12"/>
        <v>-74.553030000000092</v>
      </c>
      <c r="H511" s="584" t="s">
        <v>210</v>
      </c>
      <c r="I511" s="2"/>
      <c r="J511" s="2"/>
      <c r="K511" s="2"/>
      <c r="L511" s="2"/>
      <c r="O511" s="58"/>
      <c r="P511" s="58"/>
    </row>
    <row r="512" spans="1:16">
      <c r="A512"/>
      <c r="B512" s="477"/>
      <c r="C512" s="571">
        <v>3.02</v>
      </c>
      <c r="D512" s="552"/>
      <c r="E512" s="552">
        <f t="shared" si="13"/>
        <v>-3.02</v>
      </c>
      <c r="F512" s="555">
        <f>SUM($E$2:E512)/SUM($C$2:C512)</f>
        <v>-4.5707552617313664E-2</v>
      </c>
      <c r="G512" s="552">
        <f t="shared" si="12"/>
        <v>-77.573030000000088</v>
      </c>
      <c r="H512" s="584" t="s">
        <v>211</v>
      </c>
      <c r="I512" s="2"/>
      <c r="J512" s="2"/>
      <c r="K512" s="2"/>
      <c r="L512" s="2"/>
      <c r="O512" s="58"/>
      <c r="P512" s="58"/>
    </row>
    <row r="513" spans="1:16">
      <c r="A513"/>
      <c r="B513" s="477"/>
      <c r="C513" s="583">
        <v>3.02</v>
      </c>
      <c r="D513" s="581"/>
      <c r="E513" s="581">
        <f t="shared" si="13"/>
        <v>-3.02</v>
      </c>
      <c r="F513" s="582">
        <f>SUM($E$2:E513)/SUM($C$2:C513)</f>
        <v>-4.7402645602230384E-2</v>
      </c>
      <c r="G513" s="581">
        <f t="shared" si="12"/>
        <v>-80.593030000000084</v>
      </c>
      <c r="H513" s="373" t="s">
        <v>212</v>
      </c>
      <c r="I513" s="2">
        <f>SUM(E501:E513)</f>
        <v>-15.734199999999996</v>
      </c>
      <c r="L513" s="2">
        <f>I513/C513</f>
        <v>-5.2099999999999991</v>
      </c>
      <c r="O513" s="58"/>
      <c r="P513" s="58"/>
    </row>
    <row r="514" spans="1:16">
      <c r="A514"/>
      <c r="B514" s="476">
        <v>46014</v>
      </c>
      <c r="C514" s="571">
        <v>1.47</v>
      </c>
      <c r="D514" s="552"/>
      <c r="E514" s="552">
        <f t="shared" si="13"/>
        <v>-1.47</v>
      </c>
      <c r="F514" s="555">
        <f>SUM($E$2:E514)/SUM($C$2:C514)</f>
        <v>-4.8225563423735816E-2</v>
      </c>
      <c r="G514" s="552">
        <f t="shared" si="12"/>
        <v>-82.063030000000083</v>
      </c>
      <c r="H514" s="584" t="s">
        <v>11</v>
      </c>
      <c r="I514" s="2"/>
      <c r="J514" s="2"/>
      <c r="K514" s="2"/>
      <c r="L514" s="2"/>
      <c r="O514" s="58"/>
      <c r="P514" s="58"/>
    </row>
    <row r="515" spans="1:16">
      <c r="A515"/>
      <c r="B515" s="477"/>
      <c r="C515" s="571">
        <v>1.47</v>
      </c>
      <c r="D515" s="552">
        <v>1.8620000000000001</v>
      </c>
      <c r="E515" s="552">
        <f t="shared" si="13"/>
        <v>1.2671400000000002</v>
      </c>
      <c r="F515" s="555">
        <f>SUM($E$2:E515)/SUM($C$2:C515)</f>
        <v>-4.7439927897036063E-2</v>
      </c>
      <c r="G515" s="552">
        <f t="shared" si="12"/>
        <v>-80.795890000000085</v>
      </c>
      <c r="H515" s="584" t="s">
        <v>28</v>
      </c>
      <c r="I515" s="2"/>
      <c r="J515" s="2"/>
      <c r="K515" s="2"/>
      <c r="L515" s="2"/>
      <c r="O515" s="58"/>
      <c r="P515" s="58"/>
    </row>
    <row r="516" spans="1:16">
      <c r="A516"/>
      <c r="B516" s="477"/>
      <c r="C516" s="571">
        <v>1.47</v>
      </c>
      <c r="D516" s="552">
        <v>1.9</v>
      </c>
      <c r="E516" s="552">
        <f t="shared" si="13"/>
        <v>1.3229999999999997</v>
      </c>
      <c r="F516" s="555">
        <f>SUM($E$2:E516)/SUM($C$2:C516)</f>
        <v>-4.6622877055479656E-2</v>
      </c>
      <c r="G516" s="552">
        <f t="shared" si="12"/>
        <v>-79.472890000000092</v>
      </c>
      <c r="H516" s="584" t="s">
        <v>13</v>
      </c>
      <c r="I516" s="2"/>
      <c r="J516" s="2"/>
      <c r="K516" s="2"/>
      <c r="L516" s="2"/>
      <c r="O516" s="58"/>
      <c r="P516" s="58"/>
    </row>
    <row r="517" spans="1:16">
      <c r="A517"/>
      <c r="B517" s="477"/>
      <c r="C517" s="571">
        <v>1.47</v>
      </c>
      <c r="D517" s="552">
        <v>1.87</v>
      </c>
      <c r="E517" s="552">
        <f t="shared" si="13"/>
        <v>1.2788999999999999</v>
      </c>
      <c r="F517" s="555">
        <f>SUM($E$2:E517)/SUM($C$2:C517)</f>
        <v>-4.5833083244434587E-2</v>
      </c>
      <c r="G517" s="552">
        <f t="shared" si="12"/>
        <v>-78.193990000000099</v>
      </c>
      <c r="H517" s="584" t="s">
        <v>34</v>
      </c>
      <c r="I517" s="2"/>
      <c r="J517" s="2"/>
      <c r="K517" s="2"/>
      <c r="L517" s="2"/>
      <c r="O517" s="58"/>
      <c r="P517" s="58"/>
    </row>
    <row r="518" spans="1:16">
      <c r="A518"/>
      <c r="B518" s="477"/>
      <c r="C518" s="571">
        <v>1.47</v>
      </c>
      <c r="D518" s="552"/>
      <c r="E518" s="552">
        <f t="shared" si="13"/>
        <v>-1.47</v>
      </c>
      <c r="F518" s="555">
        <f>SUM($E$2:E518)/SUM($C$2:C518)</f>
        <v>-4.6654518515048093E-2</v>
      </c>
      <c r="G518" s="552">
        <f t="shared" si="12"/>
        <v>-79.663990000000098</v>
      </c>
      <c r="H518" s="584" t="s">
        <v>30</v>
      </c>
      <c r="I518" s="2"/>
      <c r="J518" s="2"/>
      <c r="K518" s="2"/>
      <c r="L518" s="2"/>
      <c r="O518" s="58"/>
      <c r="P518" s="58"/>
    </row>
    <row r="519" spans="1:16">
      <c r="A519"/>
      <c r="B519" s="477"/>
      <c r="C519" s="571">
        <v>1.47</v>
      </c>
      <c r="D519" s="552"/>
      <c r="E519" s="552">
        <f t="shared" si="13"/>
        <v>-1.47</v>
      </c>
      <c r="F519" s="555">
        <f>SUM($E$2:E519)/SUM($C$2:C519)</f>
        <v>-4.7474540667056794E-2</v>
      </c>
      <c r="G519" s="552">
        <f t="shared" si="12"/>
        <v>-81.133990000000097</v>
      </c>
      <c r="H519" s="584" t="s">
        <v>10</v>
      </c>
      <c r="I519" s="2"/>
      <c r="J519" s="2"/>
      <c r="K519" s="2"/>
      <c r="L519" s="2"/>
      <c r="O519" s="58"/>
      <c r="P519" s="58"/>
    </row>
    <row r="520" spans="1:16">
      <c r="A520"/>
      <c r="B520" s="477"/>
      <c r="C520" s="571">
        <v>1.47</v>
      </c>
      <c r="D520" s="552">
        <v>1.85</v>
      </c>
      <c r="E520" s="552">
        <f t="shared" si="13"/>
        <v>1.2495000000000001</v>
      </c>
      <c r="F520" s="555">
        <f>SUM($E$2:E520)/SUM($C$2:C520)</f>
        <v>-4.6703239460499202E-2</v>
      </c>
      <c r="G520" s="552">
        <f t="shared" si="12"/>
        <v>-79.884490000000099</v>
      </c>
      <c r="H520" s="584" t="s">
        <v>26</v>
      </c>
      <c r="I520" s="2"/>
      <c r="J520" s="2"/>
      <c r="K520" s="2"/>
      <c r="L520" s="2"/>
      <c r="O520" s="58"/>
      <c r="P520" s="58"/>
    </row>
    <row r="521" spans="1:16">
      <c r="A521"/>
      <c r="B521" s="477"/>
      <c r="C521" s="571">
        <v>1.47</v>
      </c>
      <c r="D521" s="552">
        <v>1.9</v>
      </c>
      <c r="E521" s="552">
        <f t="shared" si="13"/>
        <v>1.3229999999999997</v>
      </c>
      <c r="F521" s="555">
        <f>SUM($E$2:E521)/SUM($C$2:C521)</f>
        <v>-4.5890329100318976E-2</v>
      </c>
      <c r="G521" s="552">
        <f t="shared" si="12"/>
        <v>-78.561490000000106</v>
      </c>
      <c r="H521" s="584" t="s">
        <v>97</v>
      </c>
      <c r="I521" s="2"/>
      <c r="J521" s="2"/>
      <c r="K521" s="2"/>
      <c r="L521" s="2"/>
      <c r="O521" s="58"/>
      <c r="P521" s="58"/>
    </row>
    <row r="522" spans="1:16">
      <c r="A522"/>
      <c r="B522" s="477"/>
      <c r="C522" s="583">
        <v>1.47</v>
      </c>
      <c r="D522" s="581"/>
      <c r="E522" s="581">
        <f t="shared" si="13"/>
        <v>-1.47</v>
      </c>
      <c r="F522" s="582">
        <f>SUM($E$2:E522)/SUM($C$2:C522)</f>
        <v>-4.6708896294523829E-2</v>
      </c>
      <c r="G522" s="581">
        <f t="shared" si="12"/>
        <v>-80.031490000000105</v>
      </c>
      <c r="H522" s="373" t="s">
        <v>53</v>
      </c>
      <c r="I522" s="2"/>
      <c r="J522" s="2"/>
      <c r="K522" s="2"/>
      <c r="L522" s="2"/>
      <c r="O522" s="58"/>
      <c r="P522" s="58"/>
    </row>
    <row r="523" spans="1:16">
      <c r="A523"/>
      <c r="B523" s="477"/>
      <c r="C523" s="571">
        <v>1.47</v>
      </c>
      <c r="D523" s="552"/>
      <c r="E523" s="552">
        <f t="shared" si="13"/>
        <v>-1.47</v>
      </c>
      <c r="F523" s="555">
        <f>SUM($E$2:E523)/SUM($C$2:C523)</f>
        <v>-4.752606013248744E-2</v>
      </c>
      <c r="G523" s="552">
        <f t="shared" si="12"/>
        <v>-81.501490000000103</v>
      </c>
      <c r="H523" s="584" t="s">
        <v>51</v>
      </c>
      <c r="I523" s="2"/>
      <c r="J523" s="2"/>
      <c r="K523" s="2"/>
      <c r="L523" s="2"/>
      <c r="O523" s="58"/>
      <c r="P523" s="58"/>
    </row>
    <row r="524" spans="1:16">
      <c r="A524"/>
      <c r="B524" s="477"/>
      <c r="C524" s="571">
        <v>1.47</v>
      </c>
      <c r="D524" s="552"/>
      <c r="E524" s="552">
        <f t="shared" si="13"/>
        <v>-1.47</v>
      </c>
      <c r="F524" s="555">
        <f>SUM($E$2:E524)/SUM($C$2:C524)</f>
        <v>-4.8341824220001786E-2</v>
      </c>
      <c r="G524" s="552">
        <f t="shared" si="12"/>
        <v>-82.971490000000102</v>
      </c>
      <c r="H524" s="584" t="s">
        <v>104</v>
      </c>
      <c r="I524" s="2"/>
      <c r="J524" s="2"/>
      <c r="K524" s="2"/>
      <c r="L524" s="2"/>
      <c r="O524" s="58"/>
      <c r="P524" s="58"/>
    </row>
    <row r="525" spans="1:16">
      <c r="A525"/>
      <c r="B525" s="477"/>
      <c r="C525" s="571">
        <v>1.47</v>
      </c>
      <c r="D525" s="552">
        <v>2.76</v>
      </c>
      <c r="E525" s="552">
        <f t="shared" si="13"/>
        <v>2.5872000000000002</v>
      </c>
      <c r="F525" s="555">
        <f>SUM($E$2:E525)/SUM($C$2:C525)</f>
        <v>-4.6794361458127202E-2</v>
      </c>
      <c r="G525" s="552">
        <f t="shared" si="12"/>
        <v>-80.384290000000107</v>
      </c>
      <c r="H525" s="584" t="s">
        <v>12</v>
      </c>
      <c r="I525" s="2"/>
      <c r="J525" s="2"/>
      <c r="K525" s="2"/>
      <c r="L525" s="2"/>
      <c r="O525" s="58"/>
      <c r="P525" s="58"/>
    </row>
    <row r="526" spans="1:16">
      <c r="A526"/>
      <c r="B526" s="477"/>
      <c r="C526" s="571">
        <v>1.47</v>
      </c>
      <c r="D526" s="552">
        <v>2.1</v>
      </c>
      <c r="E526" s="552">
        <f t="shared" si="13"/>
        <v>1.6170000000000002</v>
      </c>
      <c r="F526" s="555">
        <f>SUM($E$2:E526)/SUM($C$2:C526)</f>
        <v>-4.5813847576615968E-2</v>
      </c>
      <c r="G526" s="552">
        <f t="shared" si="12"/>
        <v>-78.767290000000102</v>
      </c>
      <c r="H526" s="584" t="s">
        <v>36</v>
      </c>
      <c r="I526" s="2"/>
      <c r="J526" s="2"/>
      <c r="K526" s="2"/>
      <c r="L526" s="2"/>
      <c r="O526" s="58"/>
      <c r="P526" s="58"/>
    </row>
    <row r="527" spans="1:16">
      <c r="A527"/>
      <c r="B527" s="477"/>
      <c r="C527" s="571">
        <v>1.47</v>
      </c>
      <c r="D527" s="552">
        <v>1.95</v>
      </c>
      <c r="E527" s="552">
        <f t="shared" si="13"/>
        <v>1.3964999999999999</v>
      </c>
      <c r="F527" s="555">
        <f>SUM($E$2:E527)/SUM($C$2:C527)</f>
        <v>-4.4963150003486864E-2</v>
      </c>
      <c r="G527" s="552">
        <f t="shared" si="12"/>
        <v>-77.370790000000099</v>
      </c>
      <c r="H527" s="584" t="s">
        <v>47</v>
      </c>
      <c r="I527" s="2"/>
      <c r="J527" s="2"/>
      <c r="K527" s="2"/>
      <c r="L527" s="2"/>
      <c r="O527" s="58"/>
      <c r="P527" s="58"/>
    </row>
    <row r="528" spans="1:16">
      <c r="A528"/>
      <c r="B528" s="477"/>
      <c r="C528" s="583">
        <v>1.47</v>
      </c>
      <c r="D528" s="581">
        <v>2.5329999999999999</v>
      </c>
      <c r="E528" s="581">
        <f t="shared" si="13"/>
        <v>2.2535099999999995</v>
      </c>
      <c r="F528" s="582">
        <f>SUM($E$2:E528)/SUM($C$2:C528)</f>
        <v>-4.3616288184505005E-2</v>
      </c>
      <c r="G528" s="581">
        <f t="shared" si="12"/>
        <v>-75.117280000000093</v>
      </c>
      <c r="H528" s="373" t="s">
        <v>18</v>
      </c>
      <c r="I528" s="2"/>
      <c r="J528" s="2"/>
      <c r="K528" s="2"/>
      <c r="L528" s="2"/>
      <c r="O528" s="58"/>
      <c r="P528" s="58"/>
    </row>
    <row r="529" spans="1:16">
      <c r="A529"/>
      <c r="B529" s="477"/>
      <c r="C529" s="571">
        <v>1.47</v>
      </c>
      <c r="D529" s="552">
        <v>1.9</v>
      </c>
      <c r="E529" s="552">
        <f t="shared" si="13"/>
        <v>1.3229999999999997</v>
      </c>
      <c r="F529" s="555">
        <f>SUM($E$2:E529)/SUM($C$2:C529)</f>
        <v>-4.2811556535360014E-2</v>
      </c>
      <c r="G529" s="552">
        <f t="shared" si="12"/>
        <v>-73.7942800000001</v>
      </c>
      <c r="H529" s="584" t="s">
        <v>213</v>
      </c>
      <c r="I529" s="2"/>
      <c r="J529" s="2"/>
      <c r="K529" s="2"/>
      <c r="L529" s="2"/>
      <c r="O529" s="58"/>
      <c r="P529" s="58"/>
    </row>
    <row r="530" spans="1:16">
      <c r="A530"/>
      <c r="B530" s="477"/>
      <c r="C530" s="571">
        <v>1.47</v>
      </c>
      <c r="D530" s="552">
        <v>1.9</v>
      </c>
      <c r="E530" s="552">
        <f t="shared" si="13"/>
        <v>1.3229999999999997</v>
      </c>
      <c r="F530" s="555">
        <f>SUM($E$2:E530)/SUM($C$2:C530)</f>
        <v>-4.2008196293698633E-2</v>
      </c>
      <c r="G530" s="552">
        <f t="shared" si="12"/>
        <v>-72.471280000000107</v>
      </c>
      <c r="H530" s="584" t="s">
        <v>214</v>
      </c>
      <c r="I530" s="2"/>
      <c r="J530" s="2"/>
      <c r="K530" s="2"/>
      <c r="L530" s="2"/>
      <c r="O530" s="58"/>
      <c r="P530" s="58"/>
    </row>
    <row r="531" spans="1:16">
      <c r="A531"/>
      <c r="B531" s="477"/>
      <c r="C531" s="571">
        <v>1.47</v>
      </c>
      <c r="D531" s="552"/>
      <c r="E531" s="552">
        <f t="shared" si="13"/>
        <v>-1.47</v>
      </c>
      <c r="F531" s="555">
        <f>SUM($E$2:E531)/SUM($C$2:C531)</f>
        <v>-4.282379650650979E-2</v>
      </c>
      <c r="G531" s="552">
        <f t="shared" si="12"/>
        <v>-73.941280000000106</v>
      </c>
      <c r="H531" s="584" t="s">
        <v>204</v>
      </c>
      <c r="I531" s="2"/>
      <c r="J531" s="2"/>
      <c r="K531" s="2"/>
      <c r="L531" s="2"/>
      <c r="O531" s="58"/>
      <c r="P531" s="58"/>
    </row>
    <row r="532" spans="1:16">
      <c r="A532"/>
      <c r="B532" s="477"/>
      <c r="C532" s="571">
        <v>1.47</v>
      </c>
      <c r="D532" s="552">
        <v>1.9</v>
      </c>
      <c r="E532" s="552">
        <f t="shared" si="13"/>
        <v>1.3229999999999997</v>
      </c>
      <c r="F532" s="555">
        <f>SUM($E$2:E532)/SUM($C$2:C532)</f>
        <v>-4.2021792594221473E-2</v>
      </c>
      <c r="G532" s="552">
        <f t="shared" si="12"/>
        <v>-72.618280000000112</v>
      </c>
      <c r="H532" s="584" t="s">
        <v>215</v>
      </c>
      <c r="I532" s="2"/>
      <c r="J532" s="2"/>
      <c r="K532" s="2"/>
      <c r="L532" s="2"/>
      <c r="O532" s="58"/>
      <c r="P532" s="58"/>
    </row>
    <row r="533" spans="1:16">
      <c r="A533"/>
      <c r="B533" s="477"/>
      <c r="C533" s="571">
        <v>1.47</v>
      </c>
      <c r="D533" s="552"/>
      <c r="E533" s="552">
        <f t="shared" si="13"/>
        <v>-1.47</v>
      </c>
      <c r="F533" s="555">
        <f>SUM($E$2:E533)/SUM($C$2:C533)</f>
        <v>-4.283599486580561E-2</v>
      </c>
      <c r="G533" s="552">
        <f t="shared" si="12"/>
        <v>-74.088280000000111</v>
      </c>
      <c r="H533" s="584" t="s">
        <v>216</v>
      </c>
      <c r="I533" s="2"/>
      <c r="J533" s="2"/>
      <c r="K533" s="2"/>
      <c r="L533" s="2"/>
      <c r="O533" s="58"/>
      <c r="P533" s="58"/>
    </row>
    <row r="534" spans="1:16">
      <c r="A534"/>
      <c r="B534" s="477"/>
      <c r="C534" s="571">
        <v>1.47</v>
      </c>
      <c r="D534" s="552"/>
      <c r="E534" s="552">
        <f t="shared" si="13"/>
        <v>-1.47</v>
      </c>
      <c r="F534" s="555">
        <f>SUM($E$2:E534)/SUM($C$2:C534)</f>
        <v>-4.3648814303457475E-2</v>
      </c>
      <c r="G534" s="552">
        <f t="shared" si="12"/>
        <v>-75.55828000000011</v>
      </c>
      <c r="H534" s="584" t="s">
        <v>217</v>
      </c>
      <c r="I534" s="2"/>
      <c r="J534" s="2"/>
      <c r="K534" s="2"/>
      <c r="L534" s="2"/>
      <c r="O534" s="58"/>
      <c r="P534" s="58"/>
    </row>
    <row r="535" spans="1:16">
      <c r="A535"/>
      <c r="B535" s="477"/>
      <c r="C535" s="571">
        <v>1.47</v>
      </c>
      <c r="D535" s="552">
        <v>1.9</v>
      </c>
      <c r="E535" s="552">
        <f t="shared" si="13"/>
        <v>1.3229999999999997</v>
      </c>
      <c r="F535" s="555">
        <f>SUM($E$2:E535)/SUM($C$2:C535)</f>
        <v>-4.2848151825087194E-2</v>
      </c>
      <c r="G535" s="552">
        <f t="shared" si="12"/>
        <v>-74.235280000000117</v>
      </c>
      <c r="H535" s="584" t="s">
        <v>218</v>
      </c>
      <c r="I535" s="2"/>
      <c r="J535" s="2"/>
      <c r="K535" s="2"/>
      <c r="L535" s="2"/>
      <c r="O535" s="58"/>
      <c r="P535" s="58"/>
    </row>
    <row r="536" spans="1:16">
      <c r="A536"/>
      <c r="B536" s="477"/>
      <c r="C536" s="571">
        <v>1.47</v>
      </c>
      <c r="D536" s="552">
        <v>1.9</v>
      </c>
      <c r="E536" s="552">
        <f t="shared" si="13"/>
        <v>1.3229999999999997</v>
      </c>
      <c r="F536" s="555">
        <f>SUM($E$2:E536)/SUM($C$2:C536)</f>
        <v>-4.2048846879163132E-2</v>
      </c>
      <c r="G536" s="552">
        <f t="shared" si="12"/>
        <v>-72.912280000000123</v>
      </c>
      <c r="H536" s="584" t="s">
        <v>219</v>
      </c>
      <c r="I536" s="2"/>
      <c r="J536" s="2"/>
      <c r="K536" s="2"/>
      <c r="L536" s="2"/>
      <c r="O536" s="58"/>
      <c r="P536" s="58"/>
    </row>
    <row r="537" spans="1:16">
      <c r="A537"/>
      <c r="B537" s="477"/>
      <c r="C537" s="571">
        <v>1.47</v>
      </c>
      <c r="D537" s="552">
        <v>1.9</v>
      </c>
      <c r="E537" s="552">
        <f t="shared" si="13"/>
        <v>1.3229999999999997</v>
      </c>
      <c r="F537" s="555">
        <f>SUM($E$2:E537)/SUM($C$2:C537)</f>
        <v>-4.1250896016041906E-2</v>
      </c>
      <c r="G537" s="552">
        <f t="shared" si="12"/>
        <v>-71.58928000000013</v>
      </c>
      <c r="H537" s="584" t="s">
        <v>220</v>
      </c>
      <c r="I537" s="2"/>
      <c r="J537" s="2"/>
      <c r="K537" s="2"/>
      <c r="L537" s="2"/>
      <c r="O537" s="58"/>
      <c r="P537" s="58"/>
    </row>
    <row r="538" spans="1:16">
      <c r="A538"/>
      <c r="B538" s="477"/>
      <c r="C538" s="571">
        <v>1.47</v>
      </c>
      <c r="D538" s="552">
        <v>1.9</v>
      </c>
      <c r="E538" s="552">
        <f t="shared" si="13"/>
        <v>1.3229999999999997</v>
      </c>
      <c r="F538" s="555">
        <f>SUM($E$2:E538)/SUM($C$2:C538)</f>
        <v>-4.0454295797758166E-2</v>
      </c>
      <c r="G538" s="552">
        <f t="shared" si="12"/>
        <v>-70.266280000000137</v>
      </c>
      <c r="H538" s="584" t="s">
        <v>221</v>
      </c>
      <c r="I538" s="2"/>
      <c r="J538" s="2"/>
      <c r="K538" s="2"/>
      <c r="L538" s="2"/>
      <c r="O538" s="58"/>
      <c r="P538" s="58"/>
    </row>
    <row r="539" spans="1:16">
      <c r="A539"/>
      <c r="B539" s="477"/>
      <c r="C539" s="583">
        <v>1.47</v>
      </c>
      <c r="D539" s="581">
        <v>1.9</v>
      </c>
      <c r="E539" s="581">
        <f t="shared" si="13"/>
        <v>1.3229999999999997</v>
      </c>
      <c r="F539" s="582">
        <f>SUM($E$2:E539)/SUM($C$2:C539)</f>
        <v>-3.9659042797975205E-2</v>
      </c>
      <c r="G539" s="581">
        <f t="shared" si="12"/>
        <v>-68.943280000000144</v>
      </c>
      <c r="H539" s="373" t="s">
        <v>222</v>
      </c>
      <c r="I539" s="2">
        <f>SUM(E514:E539)</f>
        <v>11.649749999999999</v>
      </c>
      <c r="L539" s="2">
        <f>I539/C539</f>
        <v>7.9249999999999998</v>
      </c>
      <c r="O539" s="58"/>
      <c r="P539" s="58"/>
    </row>
    <row r="540" spans="1:16">
      <c r="A540"/>
      <c r="B540" s="476">
        <v>46016</v>
      </c>
      <c r="C540" s="571">
        <v>4.21</v>
      </c>
      <c r="D540" s="552">
        <v>1.9</v>
      </c>
      <c r="E540" s="552">
        <f t="shared" si="13"/>
        <v>3.7889999999999997</v>
      </c>
      <c r="F540" s="555">
        <f>SUM($E$2:E540)/SUM($C$2:C540)</f>
        <v>-3.7388905148025141E-2</v>
      </c>
      <c r="G540" s="552">
        <f t="shared" si="12"/>
        <v>-65.154280000000142</v>
      </c>
      <c r="H540" s="584" t="s">
        <v>46</v>
      </c>
      <c r="I540" s="2"/>
      <c r="J540" s="2"/>
      <c r="K540" s="2"/>
      <c r="L540" s="2"/>
      <c r="O540" s="58"/>
      <c r="P540" s="58"/>
    </row>
    <row r="541" spans="1:16">
      <c r="A541"/>
      <c r="B541" s="477"/>
      <c r="C541" s="571">
        <v>4.21</v>
      </c>
      <c r="D541" s="552">
        <v>1.88</v>
      </c>
      <c r="E541" s="552">
        <f t="shared" si="13"/>
        <v>3.7047999999999996</v>
      </c>
      <c r="F541" s="555">
        <f>SUM($E$2:E541)/SUM($C$2:C541)</f>
        <v>-3.5177911862699134E-2</v>
      </c>
      <c r="G541" s="552">
        <f t="shared" si="12"/>
        <v>-61.449480000000143</v>
      </c>
      <c r="H541" s="584" t="s">
        <v>12</v>
      </c>
      <c r="I541" s="2"/>
      <c r="J541" s="2"/>
      <c r="K541" s="2"/>
      <c r="L541" s="2"/>
      <c r="O541" s="58"/>
      <c r="P541" s="58"/>
    </row>
    <row r="542" spans="1:16">
      <c r="A542"/>
      <c r="B542" s="477"/>
      <c r="C542" s="583">
        <v>4.21</v>
      </c>
      <c r="D542" s="581">
        <v>1.87</v>
      </c>
      <c r="E542" s="581">
        <f t="shared" si="13"/>
        <v>3.6627000000000001</v>
      </c>
      <c r="F542" s="582">
        <f>SUM($E$2:E542)/SUM($C$2:C542)</f>
        <v>-3.3001593347915283E-2</v>
      </c>
      <c r="G542" s="581">
        <f t="shared" si="12"/>
        <v>-57.786780000000142</v>
      </c>
      <c r="H542" s="373" t="s">
        <v>17</v>
      </c>
      <c r="I542" s="2"/>
      <c r="J542" s="2"/>
      <c r="K542" s="2"/>
      <c r="L542" s="2"/>
      <c r="O542" s="58"/>
      <c r="P542" s="58"/>
    </row>
    <row r="543" spans="1:16">
      <c r="A543"/>
      <c r="B543" s="477"/>
      <c r="C543" s="571">
        <v>4.21</v>
      </c>
      <c r="D543" s="552">
        <v>1.94</v>
      </c>
      <c r="E543" s="552">
        <f t="shared" si="13"/>
        <v>3.9573999999999989</v>
      </c>
      <c r="F543" s="555">
        <f>SUM($E$2:E543)/SUM($C$2:C543)</f>
        <v>-3.0667817506437923E-2</v>
      </c>
      <c r="G543" s="552">
        <f t="shared" si="12"/>
        <v>-53.829380000000143</v>
      </c>
      <c r="H543" s="584" t="s">
        <v>59</v>
      </c>
      <c r="I543" s="2"/>
      <c r="J543" s="2"/>
      <c r="K543" s="2"/>
      <c r="L543" s="2"/>
      <c r="O543" s="58"/>
      <c r="P543" s="58"/>
    </row>
    <row r="544" spans="1:16">
      <c r="A544"/>
      <c r="B544" s="477"/>
      <c r="C544" s="571">
        <v>4.21</v>
      </c>
      <c r="D544" s="552"/>
      <c r="E544" s="552">
        <f t="shared" si="13"/>
        <v>-4.21</v>
      </c>
      <c r="F544" s="555">
        <f>SUM($E$2:E544)/SUM($C$2:C544)</f>
        <v>-3.2987228963596633E-2</v>
      </c>
      <c r="G544" s="552">
        <f t="shared" si="12"/>
        <v>-58.039380000000143</v>
      </c>
      <c r="H544" s="584" t="s">
        <v>30</v>
      </c>
      <c r="I544" s="2"/>
      <c r="J544" s="2"/>
      <c r="K544" s="2"/>
      <c r="L544" s="2"/>
      <c r="O544" s="58"/>
      <c r="P544" s="58"/>
    </row>
    <row r="545" spans="1:16">
      <c r="A545"/>
      <c r="B545" s="477"/>
      <c r="C545" s="571">
        <v>4.21</v>
      </c>
      <c r="D545" s="552">
        <v>1.94</v>
      </c>
      <c r="E545" s="552">
        <f t="shared" si="13"/>
        <v>3.9573999999999989</v>
      </c>
      <c r="F545" s="555">
        <f>SUM($E$2:E545)/SUM($C$2:C545)</f>
        <v>-3.066462923692781E-2</v>
      </c>
      <c r="G545" s="552">
        <f t="shared" si="12"/>
        <v>-54.081980000000144</v>
      </c>
      <c r="H545" s="584" t="s">
        <v>27</v>
      </c>
      <c r="I545" s="2"/>
      <c r="J545" s="2"/>
      <c r="K545" s="2"/>
      <c r="L545" s="2"/>
      <c r="O545" s="58"/>
      <c r="P545" s="58"/>
    </row>
    <row r="546" spans="1:16">
      <c r="A546"/>
      <c r="B546" s="477"/>
      <c r="C546" s="571">
        <v>4.21</v>
      </c>
      <c r="D546" s="552"/>
      <c r="E546" s="552">
        <f t="shared" si="13"/>
        <v>-4.21</v>
      </c>
      <c r="F546" s="555">
        <f>SUM($E$2:E546)/SUM($C$2:C546)</f>
        <v>-3.2973001408474659E-2</v>
      </c>
      <c r="G546" s="552">
        <f t="shared" si="12"/>
        <v>-58.291980000000144</v>
      </c>
      <c r="H546" s="584" t="s">
        <v>10</v>
      </c>
      <c r="I546" s="2"/>
      <c r="J546" s="2"/>
      <c r="K546" s="2"/>
      <c r="L546" s="2"/>
      <c r="O546" s="58"/>
      <c r="P546" s="58"/>
    </row>
    <row r="547" spans="1:16">
      <c r="A547"/>
      <c r="B547" s="477"/>
      <c r="C547" s="583">
        <v>4.21</v>
      </c>
      <c r="D547" s="581">
        <v>1.94</v>
      </c>
      <c r="E547" s="581">
        <f t="shared" si="13"/>
        <v>3.9573999999999989</v>
      </c>
      <c r="F547" s="582">
        <f>SUM($E$2:E547)/SUM($C$2:C547)</f>
        <v>-3.0661471265405679E-2</v>
      </c>
      <c r="G547" s="581">
        <f t="shared" si="12"/>
        <v>-54.334580000000145</v>
      </c>
      <c r="H547" s="373" t="s">
        <v>59</v>
      </c>
      <c r="I547" s="2"/>
      <c r="J547" s="2"/>
      <c r="K547" s="2"/>
      <c r="L547" s="2"/>
      <c r="O547" s="58"/>
      <c r="P547" s="58"/>
    </row>
    <row r="548" spans="1:16">
      <c r="A548"/>
      <c r="B548" s="477"/>
      <c r="C548" s="571">
        <v>4.21</v>
      </c>
      <c r="D548" s="552">
        <v>1.94</v>
      </c>
      <c r="E548" s="552">
        <f t="shared" si="13"/>
        <v>3.9573999999999989</v>
      </c>
      <c r="F548" s="555">
        <f>SUM($E$2:E548)/SUM($C$2:C548)</f>
        <v>-2.8360898276745407E-2</v>
      </c>
      <c r="G548" s="552">
        <f t="shared" si="12"/>
        <v>-50.377180000000145</v>
      </c>
      <c r="H548" s="584" t="s">
        <v>223</v>
      </c>
      <c r="I548" s="2"/>
      <c r="J548" s="2"/>
      <c r="K548" s="2"/>
      <c r="L548" s="2"/>
      <c r="O548" s="58"/>
      <c r="P548" s="58"/>
    </row>
    <row r="549" spans="1:16">
      <c r="A549"/>
      <c r="B549" s="477"/>
      <c r="C549" s="571">
        <v>4.21</v>
      </c>
      <c r="D549" s="552"/>
      <c r="E549" s="552">
        <f t="shared" si="13"/>
        <v>-4.21</v>
      </c>
      <c r="F549" s="555">
        <f>SUM($E$2:E549)/SUM($C$2:C549)</f>
        <v>-3.065834316203319E-2</v>
      </c>
      <c r="G549" s="552">
        <f t="shared" si="12"/>
        <v>-54.587180000000146</v>
      </c>
      <c r="H549" s="584" t="s">
        <v>224</v>
      </c>
      <c r="I549" s="2"/>
      <c r="J549" s="2"/>
      <c r="K549" s="2"/>
      <c r="L549" s="2"/>
      <c r="O549" s="58"/>
      <c r="P549" s="58"/>
    </row>
    <row r="550" spans="1:16">
      <c r="A550"/>
      <c r="B550" s="477"/>
      <c r="C550" s="571">
        <v>4.21</v>
      </c>
      <c r="D550" s="552">
        <v>1.94</v>
      </c>
      <c r="E550" s="552">
        <f t="shared" si="13"/>
        <v>3.9573999999999989</v>
      </c>
      <c r="F550" s="555">
        <f>SUM($E$2:E550)/SUM($C$2:C550)</f>
        <v>-2.8368631318253443E-2</v>
      </c>
      <c r="G550" s="552">
        <f t="shared" si="12"/>
        <v>-50.629780000000146</v>
      </c>
      <c r="H550" s="584" t="s">
        <v>225</v>
      </c>
      <c r="I550" s="2"/>
      <c r="J550" s="2"/>
      <c r="K550" s="2"/>
      <c r="L550" s="2"/>
      <c r="O550" s="58"/>
      <c r="P550" s="58"/>
    </row>
    <row r="551" spans="1:16">
      <c r="A551"/>
      <c r="B551" s="477"/>
      <c r="C551" s="583">
        <v>4.21</v>
      </c>
      <c r="D551" s="581"/>
      <c r="E551" s="581">
        <f t="shared" si="13"/>
        <v>-4.21</v>
      </c>
      <c r="F551" s="582">
        <f>SUM($E$2:E551)/SUM($C$2:C551)</f>
        <v>-3.0655244505064561E-2</v>
      </c>
      <c r="G551" s="581">
        <f t="shared" si="12"/>
        <v>-54.839780000000147</v>
      </c>
      <c r="H551" s="373" t="s">
        <v>226</v>
      </c>
      <c r="I551" s="2">
        <f>SUM(E540:E551)</f>
        <v>14.103499999999993</v>
      </c>
      <c r="L551" s="2">
        <f>I551/C551</f>
        <v>3.3499999999999983</v>
      </c>
      <c r="O551" s="58"/>
      <c r="P551" s="58"/>
    </row>
    <row r="552" spans="1:16">
      <c r="A552"/>
      <c r="B552" s="476">
        <v>46017</v>
      </c>
      <c r="C552" s="571">
        <v>2.39</v>
      </c>
      <c r="D552" s="552">
        <v>1.87</v>
      </c>
      <c r="E552" s="552">
        <f t="shared" si="13"/>
        <v>2.0793000000000004</v>
      </c>
      <c r="F552" s="555">
        <f>SUM($E$2:E552)/SUM($C$2:C552)</f>
        <v>-2.9453573083385951E-2</v>
      </c>
      <c r="G552" s="552">
        <f t="shared" si="12"/>
        <v>-52.760480000000143</v>
      </c>
      <c r="H552" s="584" t="s">
        <v>16</v>
      </c>
      <c r="I552" s="2"/>
      <c r="J552" s="2"/>
      <c r="K552" s="2"/>
      <c r="L552" s="2"/>
      <c r="O552" s="58"/>
      <c r="P552" s="58"/>
    </row>
    <row r="553" spans="1:16">
      <c r="A553"/>
      <c r="B553" s="477"/>
      <c r="C553" s="571">
        <v>2.39</v>
      </c>
      <c r="D553" s="552">
        <v>2.1</v>
      </c>
      <c r="E553" s="552">
        <f t="shared" si="13"/>
        <v>2.629</v>
      </c>
      <c r="F553" s="555">
        <f>SUM($E$2:E553)/SUM($C$2:C553)</f>
        <v>-2.7948642470870321E-2</v>
      </c>
      <c r="G553" s="552">
        <f t="shared" si="12"/>
        <v>-50.131480000000145</v>
      </c>
      <c r="H553" s="584" t="s">
        <v>37</v>
      </c>
      <c r="I553" s="2"/>
      <c r="J553" s="2"/>
      <c r="K553" s="2"/>
      <c r="L553" s="2"/>
      <c r="O553" s="58"/>
      <c r="P553" s="58"/>
    </row>
    <row r="554" spans="1:16">
      <c r="A554"/>
      <c r="B554" s="477"/>
      <c r="C554" s="571">
        <v>2.39</v>
      </c>
      <c r="D554" s="552"/>
      <c r="E554" s="552">
        <f t="shared" si="13"/>
        <v>-2.39</v>
      </c>
      <c r="F554" s="555">
        <f>SUM($E$2:E554)/SUM($C$2:C554)</f>
        <v>-2.9242120383722467E-2</v>
      </c>
      <c r="G554" s="552">
        <f t="shared" si="12"/>
        <v>-52.521480000000146</v>
      </c>
      <c r="H554" s="584" t="s">
        <v>51</v>
      </c>
      <c r="I554" s="2"/>
      <c r="J554" s="2"/>
      <c r="K554" s="2"/>
      <c r="L554" s="2"/>
      <c r="O554" s="58"/>
      <c r="P554" s="58"/>
    </row>
    <row r="555" spans="1:16">
      <c r="A555"/>
      <c r="B555" s="477"/>
      <c r="C555" s="571">
        <v>2.39</v>
      </c>
      <c r="D555" s="552"/>
      <c r="E555" s="552">
        <f t="shared" si="13"/>
        <v>-2.39</v>
      </c>
      <c r="F555" s="555">
        <f>SUM($E$2:E555)/SUM($C$2:C555)</f>
        <v>-3.0532160491081404E-2</v>
      </c>
      <c r="G555" s="552">
        <f t="shared" si="12"/>
        <v>-54.911480000000147</v>
      </c>
      <c r="H555" s="584" t="s">
        <v>34</v>
      </c>
      <c r="I555" s="2"/>
      <c r="J555" s="2"/>
      <c r="K555" s="2"/>
      <c r="L555" s="2"/>
      <c r="O555" s="58"/>
      <c r="P555" s="58"/>
    </row>
    <row r="556" spans="1:16">
      <c r="A556"/>
      <c r="B556" s="477"/>
      <c r="C556" s="571">
        <v>2.39</v>
      </c>
      <c r="D556" s="552"/>
      <c r="E556" s="552">
        <f t="shared" si="13"/>
        <v>-2.39</v>
      </c>
      <c r="F556" s="555">
        <f>SUM($E$2:E556)/SUM($C$2:C556)</f>
        <v>-3.1818776480256807E-2</v>
      </c>
      <c r="G556" s="552">
        <f t="shared" ref="G556:G619" si="14">G555+E556</f>
        <v>-57.301480000000147</v>
      </c>
      <c r="H556" s="584" t="s">
        <v>36</v>
      </c>
      <c r="I556" s="2"/>
      <c r="J556" s="2"/>
      <c r="K556" s="2"/>
      <c r="L556" s="2"/>
      <c r="O556" s="58"/>
      <c r="P556" s="58"/>
    </row>
    <row r="557" spans="1:16">
      <c r="A557"/>
      <c r="B557" s="477"/>
      <c r="C557" s="583">
        <v>2.39</v>
      </c>
      <c r="D557" s="581">
        <v>1.8620000000000001</v>
      </c>
      <c r="E557" s="581">
        <f t="shared" si="13"/>
        <v>2.0601800000000003</v>
      </c>
      <c r="F557" s="582">
        <f>SUM($E$2:E557)/SUM($C$2:C557)</f>
        <v>-3.0634129299158232E-2</v>
      </c>
      <c r="G557" s="581">
        <f t="shared" si="14"/>
        <v>-55.241300000000145</v>
      </c>
      <c r="H557" s="373" t="s">
        <v>18</v>
      </c>
      <c r="I557" s="2"/>
      <c r="J557" s="2"/>
      <c r="K557" s="2"/>
      <c r="L557" s="2"/>
      <c r="O557" s="58"/>
      <c r="P557" s="58"/>
    </row>
    <row r="558" spans="1:16">
      <c r="A558"/>
      <c r="B558" s="477"/>
      <c r="C558" s="571">
        <v>2.39</v>
      </c>
      <c r="D558" s="552">
        <v>1.9650000000000001</v>
      </c>
      <c r="E558" s="552">
        <f t="shared" si="13"/>
        <v>2.3063500000000006</v>
      </c>
      <c r="F558" s="555">
        <f>SUM($E$2:E558)/SUM($C$2:C558)</f>
        <v>-2.9316284994323413E-2</v>
      </c>
      <c r="G558" s="552">
        <f t="shared" si="14"/>
        <v>-52.934950000000143</v>
      </c>
      <c r="H558" s="584" t="s">
        <v>11</v>
      </c>
      <c r="I558" s="2"/>
      <c r="J558" s="2"/>
      <c r="K558" s="2"/>
      <c r="L558" s="2"/>
      <c r="O558" s="58"/>
      <c r="P558" s="58"/>
    </row>
    <row r="559" spans="1:16">
      <c r="A559"/>
      <c r="B559" s="477"/>
      <c r="C559" s="571">
        <v>2.39</v>
      </c>
      <c r="D559" s="552">
        <v>2.1</v>
      </c>
      <c r="E559" s="552">
        <f t="shared" ref="E559:E622" si="15">(C559*D559)-C559</f>
        <v>2.629</v>
      </c>
      <c r="F559" s="555">
        <f>SUM($E$2:E559)/SUM($C$2:C559)</f>
        <v>-2.7823471825844603E-2</v>
      </c>
      <c r="G559" s="552">
        <f t="shared" si="14"/>
        <v>-50.305950000000145</v>
      </c>
      <c r="H559" s="584" t="s">
        <v>60</v>
      </c>
      <c r="I559" s="2"/>
      <c r="J559" s="2"/>
      <c r="K559" s="2"/>
      <c r="L559" s="2"/>
      <c r="O559" s="58"/>
      <c r="P559" s="58"/>
    </row>
    <row r="560" spans="1:16">
      <c r="A560"/>
      <c r="B560" s="477"/>
      <c r="C560" s="571">
        <v>2.39</v>
      </c>
      <c r="D560" s="552">
        <v>1.9650000000000001</v>
      </c>
      <c r="E560" s="552">
        <f t="shared" si="15"/>
        <v>2.3063500000000006</v>
      </c>
      <c r="F560" s="555">
        <f>SUM($E$2:E560)/SUM($C$2:C560)</f>
        <v>-2.6512817396972033E-2</v>
      </c>
      <c r="G560" s="552">
        <f t="shared" si="14"/>
        <v>-47.999600000000143</v>
      </c>
      <c r="H560" s="584" t="s">
        <v>26</v>
      </c>
      <c r="I560" s="2"/>
      <c r="J560" s="2"/>
      <c r="K560" s="2"/>
      <c r="L560" s="2"/>
      <c r="O560" s="58"/>
      <c r="P560" s="58"/>
    </row>
    <row r="561" spans="1:16">
      <c r="A561"/>
      <c r="B561" s="477"/>
      <c r="C561" s="571">
        <v>2.39</v>
      </c>
      <c r="D561" s="552"/>
      <c r="E561" s="552">
        <f t="shared" si="15"/>
        <v>-2.39</v>
      </c>
      <c r="F561" s="555">
        <f>SUM($E$2:E561)/SUM($C$2:C561)</f>
        <v>-2.7796251144625538E-2</v>
      </c>
      <c r="G561" s="552">
        <f t="shared" si="14"/>
        <v>-50.389600000000144</v>
      </c>
      <c r="H561" s="584" t="s">
        <v>13</v>
      </c>
      <c r="I561" s="2"/>
      <c r="J561" s="2"/>
      <c r="K561" s="2"/>
      <c r="L561" s="2"/>
      <c r="O561" s="58"/>
      <c r="P561" s="58"/>
    </row>
    <row r="562" spans="1:16">
      <c r="A562"/>
      <c r="B562" s="477"/>
      <c r="C562" s="583">
        <v>2.39</v>
      </c>
      <c r="D562" s="581">
        <v>1.9650000000000001</v>
      </c>
      <c r="E562" s="581">
        <f t="shared" si="15"/>
        <v>2.3063500000000006</v>
      </c>
      <c r="F562" s="582">
        <f>SUM($E$2:E562)/SUM($C$2:C562)</f>
        <v>-2.6489083907647086E-2</v>
      </c>
      <c r="G562" s="581">
        <f t="shared" si="14"/>
        <v>-48.083250000000142</v>
      </c>
      <c r="H562" s="373" t="s">
        <v>47</v>
      </c>
      <c r="I562" s="2"/>
      <c r="J562" s="2"/>
      <c r="K562" s="2"/>
      <c r="L562" s="2"/>
      <c r="O562" s="58"/>
      <c r="P562" s="58"/>
    </row>
    <row r="563" spans="1:16">
      <c r="A563"/>
      <c r="B563" s="477"/>
      <c r="C563" s="571">
        <v>2.39</v>
      </c>
      <c r="D563" s="552"/>
      <c r="E563" s="552">
        <f t="shared" si="15"/>
        <v>-2.39</v>
      </c>
      <c r="F563" s="555">
        <f>SUM($E$2:E563)/SUM($C$2:C563)</f>
        <v>-2.7769173635563416E-2</v>
      </c>
      <c r="G563" s="552">
        <f t="shared" si="14"/>
        <v>-50.473250000000142</v>
      </c>
      <c r="H563" s="584" t="s">
        <v>227</v>
      </c>
      <c r="I563" s="2"/>
      <c r="J563" s="2"/>
      <c r="K563" s="2"/>
      <c r="L563" s="2"/>
      <c r="O563" s="58"/>
      <c r="P563" s="58"/>
    </row>
    <row r="564" spans="1:16">
      <c r="A564"/>
      <c r="B564" s="477"/>
      <c r="C564" s="571">
        <v>2.39</v>
      </c>
      <c r="D564" s="552">
        <v>1.93</v>
      </c>
      <c r="E564" s="552">
        <f t="shared" si="15"/>
        <v>2.2227000000000001</v>
      </c>
      <c r="F564" s="555">
        <f>SUM($E$2:E564)/SUM($C$2:C564)</f>
        <v>-2.6511436876026823E-2</v>
      </c>
      <c r="G564" s="552">
        <f t="shared" si="14"/>
        <v>-48.250550000000139</v>
      </c>
      <c r="H564" s="584" t="s">
        <v>228</v>
      </c>
      <c r="I564" s="2"/>
      <c r="J564" s="2"/>
      <c r="K564" s="2"/>
      <c r="L564" s="2"/>
      <c r="O564" s="58"/>
      <c r="P564" s="58"/>
    </row>
    <row r="565" spans="1:16">
      <c r="A565"/>
      <c r="B565" s="477"/>
      <c r="C565" s="571">
        <v>2.39</v>
      </c>
      <c r="D565" s="552">
        <v>1.92</v>
      </c>
      <c r="E565" s="552">
        <f t="shared" si="15"/>
        <v>2.1987999999999999</v>
      </c>
      <c r="F565" s="555">
        <f>SUM($E$2:E565)/SUM($C$2:C565)</f>
        <v>-2.5270113807219167E-2</v>
      </c>
      <c r="G565" s="552">
        <f t="shared" si="14"/>
        <v>-46.051750000000141</v>
      </c>
      <c r="H565" s="584" t="s">
        <v>229</v>
      </c>
      <c r="I565" s="2"/>
      <c r="J565" s="2"/>
      <c r="K565" s="2"/>
      <c r="L565" s="2"/>
      <c r="O565" s="58"/>
      <c r="P565" s="58"/>
    </row>
    <row r="566" spans="1:16">
      <c r="A566"/>
      <c r="B566" s="477"/>
      <c r="C566" s="571">
        <v>2.39</v>
      </c>
      <c r="D566" s="552">
        <v>1</v>
      </c>
      <c r="E566" s="552">
        <f t="shared" si="15"/>
        <v>0</v>
      </c>
      <c r="F566" s="555">
        <f>SUM($E$2:E566)/SUM($C$2:C566)</f>
        <v>-2.5237016171901151E-2</v>
      </c>
      <c r="G566" s="552">
        <f t="shared" si="14"/>
        <v>-46.051750000000141</v>
      </c>
      <c r="H566" s="584" t="s">
        <v>230</v>
      </c>
      <c r="I566" s="2"/>
      <c r="J566" s="2"/>
      <c r="K566" s="2"/>
      <c r="L566" s="2"/>
      <c r="O566" s="58"/>
      <c r="P566" s="58"/>
    </row>
    <row r="567" spans="1:16">
      <c r="A567"/>
      <c r="B567" s="477"/>
      <c r="C567" s="571">
        <v>2.39</v>
      </c>
      <c r="D567" s="552"/>
      <c r="E567" s="552">
        <f t="shared" si="15"/>
        <v>-2.39</v>
      </c>
      <c r="F567" s="555">
        <f>SUM($E$2:E567)/SUM($C$2:C567)</f>
        <v>-2.6512046016769222E-2</v>
      </c>
      <c r="G567" s="552">
        <f t="shared" si="14"/>
        <v>-48.441750000000141</v>
      </c>
      <c r="H567" s="584" t="s">
        <v>231</v>
      </c>
      <c r="I567" s="2"/>
      <c r="J567" s="2"/>
      <c r="K567" s="2"/>
      <c r="L567" s="2"/>
      <c r="O567" s="58"/>
      <c r="P567" s="58"/>
    </row>
    <row r="568" spans="1:16">
      <c r="A568"/>
      <c r="B568" s="477"/>
      <c r="C568" s="583">
        <v>2.39</v>
      </c>
      <c r="D568" s="581"/>
      <c r="E568" s="581">
        <f t="shared" si="15"/>
        <v>-2.39</v>
      </c>
      <c r="F568" s="582">
        <f>SUM($E$2:E568)/SUM($C$2:C568)</f>
        <v>-2.7783744636659315E-2</v>
      </c>
      <c r="G568" s="581">
        <f t="shared" si="14"/>
        <v>-50.831750000000142</v>
      </c>
      <c r="H568" s="373" t="s">
        <v>232</v>
      </c>
      <c r="I568" s="2">
        <f>SUM(E552:E568)</f>
        <v>4.0080299999999998</v>
      </c>
      <c r="L568" s="2">
        <f>I568/C568</f>
        <v>1.6769999999999998</v>
      </c>
      <c r="O568" s="58"/>
      <c r="P568" s="58"/>
    </row>
    <row r="569" spans="1:16">
      <c r="A569"/>
      <c r="B569" s="476">
        <v>46018</v>
      </c>
      <c r="C569" s="571">
        <v>2.41</v>
      </c>
      <c r="D569" s="552"/>
      <c r="E569" s="552">
        <f t="shared" si="15"/>
        <v>-2.41</v>
      </c>
      <c r="F569" s="555">
        <f>SUM($E$2:E569)/SUM($C$2:C569)</f>
        <v>-2.9062725168671828E-2</v>
      </c>
      <c r="G569" s="552">
        <f t="shared" si="14"/>
        <v>-53.241750000000138</v>
      </c>
      <c r="H569" s="584" t="s">
        <v>17</v>
      </c>
      <c r="I569" s="2"/>
      <c r="J569" s="2"/>
      <c r="K569" s="2"/>
      <c r="L569" s="2"/>
      <c r="O569" s="58"/>
      <c r="P569" s="58"/>
    </row>
    <row r="570" spans="1:16">
      <c r="A570"/>
      <c r="B570" s="477"/>
      <c r="C570" s="571">
        <v>2.41</v>
      </c>
      <c r="D570" s="552">
        <v>1.9</v>
      </c>
      <c r="E570" s="552">
        <f t="shared" si="15"/>
        <v>2.1689999999999996</v>
      </c>
      <c r="F570" s="555">
        <f>SUM($E$2:E570)/SUM($C$2:C570)</f>
        <v>-2.7842120182951118E-2</v>
      </c>
      <c r="G570" s="552">
        <f t="shared" si="14"/>
        <v>-51.072750000000141</v>
      </c>
      <c r="H570" s="584" t="s">
        <v>60</v>
      </c>
      <c r="I570" s="2"/>
      <c r="J570" s="2"/>
      <c r="K570" s="2"/>
      <c r="L570" s="2"/>
      <c r="O570" s="58"/>
      <c r="P570" s="58"/>
    </row>
    <row r="571" spans="1:16">
      <c r="A571"/>
      <c r="B571" s="477"/>
      <c r="C571" s="571">
        <v>2.41</v>
      </c>
      <c r="D571" s="552"/>
      <c r="E571" s="552">
        <f t="shared" si="15"/>
        <v>-2.41</v>
      </c>
      <c r="F571" s="555">
        <f>SUM($E$2:E571)/SUM($C$2:C571)</f>
        <v>-2.9117667875303538E-2</v>
      </c>
      <c r="G571" s="552">
        <f t="shared" si="14"/>
        <v>-53.482750000000138</v>
      </c>
      <c r="H571" s="584" t="s">
        <v>46</v>
      </c>
      <c r="I571" s="2"/>
      <c r="J571" s="2"/>
      <c r="K571" s="2"/>
      <c r="L571" s="2"/>
      <c r="O571" s="58"/>
      <c r="P571" s="58"/>
    </row>
    <row r="572" spans="1:16">
      <c r="A572"/>
      <c r="B572" s="477"/>
      <c r="C572" s="583">
        <v>2.41</v>
      </c>
      <c r="D572" s="581">
        <v>1.91</v>
      </c>
      <c r="E572" s="581">
        <f t="shared" si="15"/>
        <v>2.1931000000000003</v>
      </c>
      <c r="F572" s="582">
        <f>SUM($E$2:E572)/SUM($C$2:C572)</f>
        <v>-2.7887086162930438E-2</v>
      </c>
      <c r="G572" s="581">
        <f t="shared" si="14"/>
        <v>-51.289650000000137</v>
      </c>
      <c r="H572" s="373" t="s">
        <v>47</v>
      </c>
      <c r="I572" s="2"/>
      <c r="J572" s="2"/>
      <c r="K572" s="2"/>
      <c r="L572" s="2"/>
      <c r="O572" s="58"/>
      <c r="P572" s="58"/>
    </row>
    <row r="573" spans="1:16">
      <c r="A573"/>
      <c r="B573" s="477"/>
      <c r="C573" s="571">
        <v>2.41</v>
      </c>
      <c r="D573" s="552"/>
      <c r="E573" s="552">
        <f t="shared" si="15"/>
        <v>-2.41</v>
      </c>
      <c r="F573" s="555">
        <f>SUM($E$2:E573)/SUM($C$2:C573)</f>
        <v>-2.9159236533449186E-2</v>
      </c>
      <c r="G573" s="552">
        <f t="shared" si="14"/>
        <v>-53.699650000000133</v>
      </c>
      <c r="H573" s="584" t="s">
        <v>38</v>
      </c>
      <c r="I573" s="2"/>
      <c r="J573" s="2"/>
      <c r="K573" s="2"/>
      <c r="L573" s="2"/>
      <c r="O573" s="58"/>
      <c r="P573" s="58"/>
    </row>
    <row r="574" spans="1:16">
      <c r="A574"/>
      <c r="B574" s="477"/>
      <c r="C574" s="571">
        <v>2.41</v>
      </c>
      <c r="D574" s="552"/>
      <c r="E574" s="552">
        <f t="shared" si="15"/>
        <v>-2.41</v>
      </c>
      <c r="F574" s="555">
        <f>SUM($E$2:E574)/SUM($C$2:C574)</f>
        <v>-3.0428061669947565E-2</v>
      </c>
      <c r="G574" s="552">
        <f t="shared" si="14"/>
        <v>-56.10965000000013</v>
      </c>
      <c r="H574" s="584" t="s">
        <v>13</v>
      </c>
      <c r="I574" s="2"/>
      <c r="J574" s="2"/>
      <c r="K574" s="2"/>
      <c r="L574" s="2"/>
      <c r="O574" s="58"/>
      <c r="P574" s="58"/>
    </row>
    <row r="575" spans="1:16">
      <c r="A575"/>
      <c r="B575" s="477"/>
      <c r="C575" s="571">
        <v>2.41</v>
      </c>
      <c r="D575" s="552">
        <v>1.99</v>
      </c>
      <c r="E575" s="552">
        <f t="shared" si="15"/>
        <v>2.3859000000000004</v>
      </c>
      <c r="F575" s="555">
        <f>SUM($E$2:E575)/SUM($C$2:C575)</f>
        <v>-2.9096169885508182E-2</v>
      </c>
      <c r="G575" s="552">
        <f t="shared" si="14"/>
        <v>-53.72375000000013</v>
      </c>
      <c r="H575" s="584" t="s">
        <v>14</v>
      </c>
      <c r="I575" s="2"/>
      <c r="J575" s="2"/>
      <c r="K575" s="2"/>
      <c r="L575" s="2"/>
      <c r="O575" s="58"/>
      <c r="P575" s="58"/>
    </row>
    <row r="576" spans="1:16">
      <c r="A576"/>
      <c r="B576" s="477"/>
      <c r="C576" s="583">
        <v>2.41</v>
      </c>
      <c r="D576" s="581"/>
      <c r="E576" s="581">
        <f t="shared" si="15"/>
        <v>-2.41</v>
      </c>
      <c r="F576" s="582">
        <f>SUM($E$2:E576)/SUM($C$2:C576)</f>
        <v>-3.0361769335201187E-2</v>
      </c>
      <c r="G576" s="581">
        <f t="shared" si="14"/>
        <v>-56.133750000000134</v>
      </c>
      <c r="H576" s="373" t="s">
        <v>35</v>
      </c>
      <c r="I576" s="2"/>
      <c r="J576" s="2"/>
      <c r="K576" s="2"/>
      <c r="L576" s="2"/>
      <c r="O576" s="58"/>
      <c r="P576" s="58"/>
    </row>
    <row r="577" spans="1:16">
      <c r="A577"/>
      <c r="B577" s="477"/>
      <c r="C577" s="571">
        <v>2.41</v>
      </c>
      <c r="D577" s="552"/>
      <c r="E577" s="552">
        <f t="shared" si="15"/>
        <v>-2.41</v>
      </c>
      <c r="F577" s="555">
        <f>SUM($E$2:E577)/SUM($C$2:C577)</f>
        <v>-3.1624073593915433E-2</v>
      </c>
      <c r="G577" s="552">
        <f t="shared" si="14"/>
        <v>-58.543750000000131</v>
      </c>
      <c r="H577" s="584" t="s">
        <v>233</v>
      </c>
      <c r="I577" s="2"/>
      <c r="J577" s="2"/>
      <c r="K577" s="2"/>
      <c r="L577" s="2"/>
      <c r="O577" s="58"/>
      <c r="P577" s="58"/>
    </row>
    <row r="578" spans="1:16">
      <c r="A578"/>
      <c r="B578" s="477"/>
      <c r="C578" s="571">
        <v>2.41</v>
      </c>
      <c r="D578" s="552">
        <v>1.94</v>
      </c>
      <c r="E578" s="552">
        <f t="shared" si="15"/>
        <v>2.2653999999999996</v>
      </c>
      <c r="F578" s="555">
        <f>SUM($E$2:E578)/SUM($C$2:C578)</f>
        <v>-3.0360828635395035E-2</v>
      </c>
      <c r="G578" s="552">
        <f t="shared" si="14"/>
        <v>-56.278350000000131</v>
      </c>
      <c r="H578" s="584" t="s">
        <v>234</v>
      </c>
      <c r="I578" s="2"/>
      <c r="J578" s="2"/>
      <c r="K578" s="2"/>
      <c r="L578" s="2"/>
      <c r="O578" s="58"/>
      <c r="P578" s="58"/>
    </row>
    <row r="579" spans="1:16">
      <c r="A579"/>
      <c r="B579" s="477"/>
      <c r="C579" s="571">
        <v>2.41</v>
      </c>
      <c r="D579" s="552"/>
      <c r="E579" s="552">
        <f t="shared" si="15"/>
        <v>-2.41</v>
      </c>
      <c r="F579" s="555">
        <f>SUM($E$2:E579)/SUM($C$2:C579)</f>
        <v>-3.1619856039136661E-2</v>
      </c>
      <c r="G579" s="552">
        <f t="shared" si="14"/>
        <v>-58.688350000000128</v>
      </c>
      <c r="H579" s="584" t="s">
        <v>235</v>
      </c>
      <c r="I579" s="2"/>
      <c r="J579" s="2"/>
      <c r="K579" s="2"/>
      <c r="L579" s="2"/>
      <c r="O579" s="58"/>
      <c r="P579" s="58"/>
    </row>
    <row r="580" spans="1:16">
      <c r="A580"/>
      <c r="B580" s="477"/>
      <c r="C580" s="583">
        <v>2.41</v>
      </c>
      <c r="D580" s="581"/>
      <c r="E580" s="581">
        <f t="shared" si="15"/>
        <v>-2.41</v>
      </c>
      <c r="F580" s="582">
        <f>SUM($E$2:E580)/SUM($C$2:C580)</f>
        <v>-3.2875618115977112E-2</v>
      </c>
      <c r="G580" s="581">
        <f t="shared" si="14"/>
        <v>-61.098350000000124</v>
      </c>
      <c r="H580" s="373" t="s">
        <v>236</v>
      </c>
      <c r="I580" s="2">
        <f>SUM(E569:E580)</f>
        <v>-10.2666</v>
      </c>
      <c r="L580" s="2">
        <f>I580/C580</f>
        <v>-4.26</v>
      </c>
      <c r="O580" s="58"/>
      <c r="P580" s="58"/>
    </row>
    <row r="581" spans="1:16">
      <c r="A581"/>
      <c r="B581" s="476">
        <v>46019</v>
      </c>
      <c r="C581" s="571">
        <v>3.55</v>
      </c>
      <c r="D581" s="552">
        <v>1.9</v>
      </c>
      <c r="E581" s="552">
        <f t="shared" si="15"/>
        <v>3.1949999999999994</v>
      </c>
      <c r="F581" s="555">
        <f>SUM($E$2:E581)/SUM($C$2:C581)</f>
        <v>-3.1097061256055245E-2</v>
      </c>
      <c r="G581" s="552">
        <f t="shared" si="14"/>
        <v>-57.903350000000124</v>
      </c>
      <c r="H581" s="584" t="s">
        <v>27</v>
      </c>
      <c r="I581" s="2"/>
      <c r="J581" s="2"/>
      <c r="K581" s="2"/>
      <c r="L581" s="2"/>
      <c r="O581" s="58"/>
      <c r="P581" s="58"/>
    </row>
    <row r="582" spans="1:16">
      <c r="A582"/>
      <c r="B582" s="477"/>
      <c r="C582" s="571">
        <v>3.55</v>
      </c>
      <c r="D582" s="552"/>
      <c r="E582" s="552">
        <f t="shared" si="15"/>
        <v>-3.55</v>
      </c>
      <c r="F582" s="555">
        <f>SUM($E$2:E582)/SUM($C$2:C582)</f>
        <v>-3.2940790214250865E-2</v>
      </c>
      <c r="G582" s="552">
        <f t="shared" si="14"/>
        <v>-61.453350000000121</v>
      </c>
      <c r="H582" s="584" t="s">
        <v>51</v>
      </c>
      <c r="I582" s="2"/>
      <c r="J582" s="2"/>
      <c r="K582" s="2"/>
      <c r="L582" s="2"/>
      <c r="O582" s="58"/>
      <c r="P582" s="58"/>
    </row>
    <row r="583" spans="1:16">
      <c r="A583"/>
      <c r="B583" s="477"/>
      <c r="C583" s="571">
        <v>3.55</v>
      </c>
      <c r="D583" s="552"/>
      <c r="E583" s="552">
        <f t="shared" si="15"/>
        <v>-3.55</v>
      </c>
      <c r="F583" s="555">
        <f>SUM($E$2:E583)/SUM($C$2:C583)</f>
        <v>-3.4777515622324937E-2</v>
      </c>
      <c r="G583" s="552">
        <f t="shared" si="14"/>
        <v>-65.003350000000125</v>
      </c>
      <c r="H583" s="584" t="s">
        <v>97</v>
      </c>
      <c r="I583" s="2"/>
      <c r="J583" s="2"/>
      <c r="K583" s="2"/>
      <c r="L583" s="2"/>
      <c r="O583" s="58"/>
      <c r="P583" s="58"/>
    </row>
    <row r="584" spans="1:16">
      <c r="A584"/>
      <c r="B584" s="477"/>
      <c r="C584" s="583">
        <v>3.55</v>
      </c>
      <c r="D584" s="581"/>
      <c r="E584" s="581">
        <f t="shared" si="15"/>
        <v>-3.55</v>
      </c>
      <c r="F584" s="582">
        <f>SUM($E$2:E584)/SUM($C$2:C584)</f>
        <v>-3.6607277309937132E-2</v>
      </c>
      <c r="G584" s="581">
        <f t="shared" si="14"/>
        <v>-68.553350000000123</v>
      </c>
      <c r="H584" s="373" t="s">
        <v>38</v>
      </c>
      <c r="I584" s="2"/>
      <c r="J584" s="2"/>
      <c r="K584" s="2"/>
      <c r="L584" s="2"/>
      <c r="O584" s="58"/>
      <c r="P584" s="58"/>
    </row>
    <row r="585" spans="1:16">
      <c r="A585"/>
      <c r="B585" s="477"/>
      <c r="C585" s="571">
        <v>3.55</v>
      </c>
      <c r="D585" s="552">
        <v>4.29</v>
      </c>
      <c r="E585" s="552">
        <f t="shared" si="15"/>
        <v>11.679500000000001</v>
      </c>
      <c r="F585" s="555">
        <f>SUM($E$2:E585)/SUM($C$2:C585)</f>
        <v>-3.0312996343712355E-2</v>
      </c>
      <c r="G585" s="552">
        <f t="shared" si="14"/>
        <v>-56.873850000000118</v>
      </c>
      <c r="H585" s="584" t="s">
        <v>25</v>
      </c>
      <c r="I585" s="2"/>
      <c r="J585" s="2"/>
      <c r="K585" s="2"/>
      <c r="L585" s="2"/>
      <c r="O585" s="58"/>
      <c r="P585" s="58"/>
    </row>
    <row r="586" spans="1:16">
      <c r="A586"/>
      <c r="B586" s="477"/>
      <c r="C586" s="571">
        <v>3.55</v>
      </c>
      <c r="D586" s="552"/>
      <c r="E586" s="552">
        <f t="shared" si="15"/>
        <v>-3.55</v>
      </c>
      <c r="F586" s="555">
        <f>SUM($E$2:E586)/SUM($C$2:C586)</f>
        <v>-3.2144278289365183E-2</v>
      </c>
      <c r="G586" s="552">
        <f t="shared" si="14"/>
        <v>-60.423850000000115</v>
      </c>
      <c r="H586" s="584" t="s">
        <v>11</v>
      </c>
      <c r="I586" s="2"/>
      <c r="J586" s="2"/>
      <c r="K586" s="2"/>
      <c r="L586" s="2"/>
      <c r="O586" s="58"/>
      <c r="P586" s="58"/>
    </row>
    <row r="587" spans="1:16">
      <c r="A587"/>
      <c r="B587" s="477"/>
      <c r="C587" s="571">
        <v>3.55</v>
      </c>
      <c r="D587" s="552">
        <v>1.98</v>
      </c>
      <c r="E587" s="552">
        <f t="shared" si="15"/>
        <v>3.4790000000000001</v>
      </c>
      <c r="F587" s="555">
        <f>SUM($E$2:E587)/SUM($C$2:C587)</f>
        <v>-3.0236417602956478E-2</v>
      </c>
      <c r="G587" s="552">
        <f t="shared" si="14"/>
        <v>-56.944850000000116</v>
      </c>
      <c r="H587" s="584" t="s">
        <v>52</v>
      </c>
      <c r="I587" s="2"/>
      <c r="J587" s="2"/>
      <c r="K587" s="2"/>
      <c r="L587" s="2"/>
      <c r="O587" s="58"/>
      <c r="P587" s="58"/>
    </row>
    <row r="588" spans="1:16">
      <c r="A588"/>
      <c r="B588" s="477"/>
      <c r="C588" s="583">
        <v>3.55</v>
      </c>
      <c r="D588" s="581">
        <v>2</v>
      </c>
      <c r="E588" s="581">
        <f t="shared" si="15"/>
        <v>3.55</v>
      </c>
      <c r="F588" s="582">
        <f>SUM($E$2:E588)/SUM($C$2:C588)</f>
        <v>-2.82981074477839E-2</v>
      </c>
      <c r="G588" s="581">
        <f t="shared" si="14"/>
        <v>-53.394850000000119</v>
      </c>
      <c r="H588" s="373" t="s">
        <v>10</v>
      </c>
      <c r="I588" s="2"/>
      <c r="J588" s="2"/>
      <c r="K588" s="2"/>
      <c r="L588" s="2"/>
      <c r="O588" s="58"/>
      <c r="P588" s="58"/>
    </row>
    <row r="589" spans="1:16">
      <c r="A589"/>
      <c r="B589" s="477"/>
      <c r="C589" s="571">
        <v>3.55</v>
      </c>
      <c r="D589" s="552">
        <v>1.98</v>
      </c>
      <c r="E589" s="552">
        <f t="shared" si="15"/>
        <v>3.4790000000000001</v>
      </c>
      <c r="F589" s="555">
        <f>SUM($E$2:E589)/SUM($C$2:C589)</f>
        <v>-2.6404634948847355E-2</v>
      </c>
      <c r="G589" s="552">
        <f t="shared" si="14"/>
        <v>-49.91585000000012</v>
      </c>
      <c r="H589" s="584" t="s">
        <v>237</v>
      </c>
      <c r="I589" s="2"/>
      <c r="J589" s="2"/>
      <c r="K589" s="2"/>
      <c r="L589" s="2"/>
      <c r="O589" s="58"/>
      <c r="P589" s="58"/>
    </row>
    <row r="590" spans="1:16">
      <c r="A590"/>
      <c r="B590" s="477"/>
      <c r="C590" s="571">
        <v>3.55</v>
      </c>
      <c r="D590" s="552">
        <v>1.98</v>
      </c>
      <c r="E590" s="552">
        <f t="shared" si="15"/>
        <v>3.4790000000000001</v>
      </c>
      <c r="F590" s="555">
        <f>SUM($E$2:E590)/SUM($C$2:C590)</f>
        <v>-2.4518260584908962E-2</v>
      </c>
      <c r="G590" s="552">
        <f t="shared" si="14"/>
        <v>-46.436850000000121</v>
      </c>
      <c r="H590" s="584" t="s">
        <v>238</v>
      </c>
      <c r="I590" s="2"/>
      <c r="J590" s="2"/>
      <c r="K590" s="2"/>
      <c r="L590" s="2"/>
      <c r="O590" s="58"/>
      <c r="P590" s="58"/>
    </row>
    <row r="591" spans="1:16">
      <c r="A591"/>
      <c r="B591" s="477"/>
      <c r="C591" s="571">
        <v>3.55</v>
      </c>
      <c r="D591" s="552"/>
      <c r="E591" s="552">
        <f t="shared" si="15"/>
        <v>-3.55</v>
      </c>
      <c r="F591" s="555">
        <f>SUM($E$2:E591)/SUM($C$2:C591)</f>
        <v>-2.6343253299042971E-2</v>
      </c>
      <c r="G591" s="552">
        <f t="shared" si="14"/>
        <v>-49.986850000000118</v>
      </c>
      <c r="H591" s="584" t="s">
        <v>239</v>
      </c>
      <c r="I591" s="2"/>
      <c r="J591" s="2"/>
      <c r="K591" s="2"/>
      <c r="L591" s="2"/>
      <c r="O591" s="58"/>
      <c r="P591" s="58"/>
    </row>
    <row r="592" spans="1:16">
      <c r="A592"/>
      <c r="B592" s="477"/>
      <c r="C592" s="571">
        <v>3.55</v>
      </c>
      <c r="D592" s="552"/>
      <c r="E592" s="552">
        <f t="shared" si="15"/>
        <v>-3.55</v>
      </c>
      <c r="F592" s="555">
        <f>SUM($E$2:E592)/SUM($C$2:C592)</f>
        <v>-2.8161430141972681E-2</v>
      </c>
      <c r="G592" s="552">
        <f t="shared" si="14"/>
        <v>-53.536850000000115</v>
      </c>
      <c r="H592" s="584" t="s">
        <v>240</v>
      </c>
      <c r="I592" s="2"/>
      <c r="J592" s="2"/>
      <c r="K592" s="2"/>
      <c r="L592" s="2"/>
      <c r="O592" s="58"/>
      <c r="P592" s="58"/>
    </row>
    <row r="593" spans="1:16">
      <c r="A593"/>
      <c r="B593" s="477"/>
      <c r="C593" s="571">
        <v>3.55</v>
      </c>
      <c r="D593" s="552"/>
      <c r="E593" s="552">
        <f t="shared" si="15"/>
        <v>-3.55</v>
      </c>
      <c r="F593" s="555">
        <f>SUM($E$2:E593)/SUM($C$2:C593)</f>
        <v>-2.997282922577732E-2</v>
      </c>
      <c r="G593" s="552">
        <f t="shared" si="14"/>
        <v>-57.086850000000112</v>
      </c>
      <c r="H593" s="584" t="s">
        <v>241</v>
      </c>
      <c r="I593" s="2"/>
      <c r="J593" s="2"/>
      <c r="K593" s="2"/>
      <c r="L593" s="2"/>
      <c r="O593" s="58"/>
      <c r="P593" s="58"/>
    </row>
    <row r="594" spans="1:16">
      <c r="A594"/>
      <c r="B594" s="477"/>
      <c r="C594" s="583">
        <v>3.55</v>
      </c>
      <c r="D594" s="581"/>
      <c r="E594" s="581">
        <f t="shared" si="15"/>
        <v>-3.55</v>
      </c>
      <c r="F594" s="582">
        <f>SUM($E$2:E594)/SUM($C$2:C594)</f>
        <v>-3.1777488378918015E-2</v>
      </c>
      <c r="G594" s="581">
        <f t="shared" si="14"/>
        <v>-60.636850000000109</v>
      </c>
      <c r="H594" s="373" t="s">
        <v>242</v>
      </c>
      <c r="I594" s="444">
        <f>SUM(E581:E594)</f>
        <v>0.46150000000000002</v>
      </c>
      <c r="J594" s="444">
        <f>SUM(E501:E594)</f>
        <v>4.2219799999999932</v>
      </c>
      <c r="L594" s="2">
        <f>I594/C594</f>
        <v>0.13</v>
      </c>
      <c r="O594" s="58"/>
      <c r="P594" s="58"/>
    </row>
    <row r="595" spans="1:16">
      <c r="A595"/>
      <c r="B595" s="476">
        <v>46020</v>
      </c>
      <c r="C595" s="571">
        <v>1.94</v>
      </c>
      <c r="D595" s="552">
        <v>1.9</v>
      </c>
      <c r="E595" s="552">
        <f t="shared" si="15"/>
        <v>1.746</v>
      </c>
      <c r="F595" s="555">
        <f>SUM($E$2:E595)/SUM($C$2:C595)</f>
        <v>-3.0831130144337231E-2</v>
      </c>
      <c r="G595" s="552">
        <f t="shared" si="14"/>
        <v>-58.890850000000107</v>
      </c>
      <c r="H595" s="584" t="s">
        <v>34</v>
      </c>
      <c r="I595" s="2"/>
      <c r="J595" s="2"/>
      <c r="K595" s="2"/>
      <c r="L595" s="2"/>
      <c r="O595" s="58"/>
      <c r="P595" s="58"/>
    </row>
    <row r="596" spans="1:16">
      <c r="A596"/>
      <c r="B596" s="477"/>
      <c r="C596" s="571">
        <v>1.94</v>
      </c>
      <c r="D596" s="552">
        <v>1.9</v>
      </c>
      <c r="E596" s="552">
        <f t="shared" si="15"/>
        <v>1.746</v>
      </c>
      <c r="F596" s="555">
        <f>SUM($E$2:E596)/SUM($C$2:C596)</f>
        <v>-2.9886692293611565E-2</v>
      </c>
      <c r="G596" s="552">
        <f t="shared" si="14"/>
        <v>-57.144850000000105</v>
      </c>
      <c r="H596" s="584" t="s">
        <v>60</v>
      </c>
      <c r="I596" s="2"/>
      <c r="J596" s="2"/>
      <c r="K596" s="2"/>
      <c r="L596" s="2"/>
      <c r="O596" s="58"/>
      <c r="P596" s="58"/>
    </row>
    <row r="597" spans="1:16">
      <c r="A597"/>
      <c r="B597" s="477"/>
      <c r="C597" s="571">
        <v>1.94</v>
      </c>
      <c r="D597" s="552">
        <v>1.9</v>
      </c>
      <c r="E597" s="552">
        <f t="shared" si="15"/>
        <v>1.746</v>
      </c>
      <c r="F597" s="555">
        <f>SUM($E$2:E597)/SUM($C$2:C597)</f>
        <v>-2.894416898729878E-2</v>
      </c>
      <c r="G597" s="552">
        <f t="shared" si="14"/>
        <v>-55.398850000000103</v>
      </c>
      <c r="H597" s="584" t="s">
        <v>14</v>
      </c>
      <c r="I597" s="2"/>
      <c r="J597" s="2"/>
      <c r="K597" s="2"/>
      <c r="L597" s="2"/>
      <c r="O597" s="58"/>
      <c r="P597" s="58"/>
    </row>
    <row r="598" spans="1:16">
      <c r="A598"/>
      <c r="B598" s="477"/>
      <c r="C598" s="571">
        <v>1.94</v>
      </c>
      <c r="D598" s="552"/>
      <c r="E598" s="552">
        <f t="shared" si="15"/>
        <v>-1.94</v>
      </c>
      <c r="F598" s="555">
        <f>SUM($E$2:E598)/SUM($C$2:C598)</f>
        <v>-2.992742427959267E-2</v>
      </c>
      <c r="G598" s="552">
        <f t="shared" si="14"/>
        <v>-57.3388500000001</v>
      </c>
      <c r="H598" s="584" t="s">
        <v>46</v>
      </c>
      <c r="I598" s="2"/>
      <c r="J598" s="2"/>
      <c r="K598" s="2"/>
      <c r="L598" s="2"/>
      <c r="O598" s="58"/>
      <c r="P598" s="58"/>
    </row>
    <row r="599" spans="1:16">
      <c r="A599"/>
      <c r="B599" s="477"/>
      <c r="C599" s="583">
        <v>1.94</v>
      </c>
      <c r="D599" s="581">
        <v>1.91</v>
      </c>
      <c r="E599" s="581">
        <f t="shared" si="15"/>
        <v>1.7653999999999996</v>
      </c>
      <c r="F599" s="582">
        <f>SUM($E$2:E599)/SUM($C$2:C599)</f>
        <v>-2.8976651180736956E-2</v>
      </c>
      <c r="G599" s="581">
        <f t="shared" si="14"/>
        <v>-55.573450000000101</v>
      </c>
      <c r="H599" s="373" t="s">
        <v>17</v>
      </c>
      <c r="I599" s="2"/>
      <c r="J599" s="2"/>
      <c r="K599" s="2"/>
      <c r="L599" s="2"/>
      <c r="O599" s="58"/>
      <c r="P599" s="58"/>
    </row>
    <row r="600" spans="1:16">
      <c r="A600"/>
      <c r="B600" s="477"/>
      <c r="C600" s="571">
        <v>1.94</v>
      </c>
      <c r="D600" s="552"/>
      <c r="E600" s="552">
        <f t="shared" si="15"/>
        <v>-1.94</v>
      </c>
      <c r="F600" s="555">
        <f>SUM($E$2:E600)/SUM($C$2:C600)</f>
        <v>-2.9957886457514012E-2</v>
      </c>
      <c r="G600" s="552">
        <f t="shared" si="14"/>
        <v>-57.513450000000098</v>
      </c>
      <c r="H600" s="584" t="s">
        <v>11</v>
      </c>
      <c r="I600" s="2"/>
      <c r="J600" s="2"/>
      <c r="K600" s="2"/>
      <c r="L600" s="2"/>
      <c r="O600" s="58"/>
      <c r="P600" s="58"/>
    </row>
    <row r="601" spans="1:16">
      <c r="A601"/>
      <c r="B601" s="477"/>
      <c r="C601" s="571">
        <v>1.94</v>
      </c>
      <c r="D601" s="552">
        <v>1.9650000000000001</v>
      </c>
      <c r="E601" s="552">
        <f t="shared" si="15"/>
        <v>1.8721000000000001</v>
      </c>
      <c r="F601" s="555">
        <f>SUM($E$2:E601)/SUM($C$2:C601)</f>
        <v>-2.8953479901131767E-2</v>
      </c>
      <c r="G601" s="552">
        <f t="shared" si="14"/>
        <v>-55.641350000000095</v>
      </c>
      <c r="H601" s="584" t="s">
        <v>16</v>
      </c>
      <c r="I601" s="2"/>
      <c r="J601" s="2"/>
      <c r="K601" s="2"/>
      <c r="L601" s="2"/>
      <c r="O601" s="58"/>
      <c r="P601" s="58"/>
    </row>
    <row r="602" spans="1:16">
      <c r="A602"/>
      <c r="B602" s="477"/>
      <c r="C602" s="571">
        <v>1.94</v>
      </c>
      <c r="D602" s="552"/>
      <c r="E602" s="552">
        <f t="shared" si="15"/>
        <v>-1.94</v>
      </c>
      <c r="F602" s="555">
        <f>SUM($E$2:E602)/SUM($C$2:C602)</f>
        <v>-2.9932759436291694E-2</v>
      </c>
      <c r="G602" s="552">
        <f t="shared" si="14"/>
        <v>-57.581350000000093</v>
      </c>
      <c r="H602" s="584" t="s">
        <v>35</v>
      </c>
      <c r="I602" s="2"/>
      <c r="J602" s="2"/>
      <c r="K602" s="2"/>
      <c r="L602" s="2"/>
      <c r="O602" s="58"/>
      <c r="P602" s="58"/>
    </row>
    <row r="603" spans="1:16">
      <c r="A603"/>
      <c r="B603" s="477"/>
      <c r="C603" s="571">
        <v>1.94</v>
      </c>
      <c r="D603" s="552">
        <v>2.1019999999999999</v>
      </c>
      <c r="E603" s="552">
        <f t="shared" si="15"/>
        <v>2.1378799999999996</v>
      </c>
      <c r="F603" s="555">
        <f>SUM($E$2:E603)/SUM($C$2:C603)</f>
        <v>-2.8792379636794176E-2</v>
      </c>
      <c r="G603" s="552">
        <f t="shared" si="14"/>
        <v>-55.44347000000009</v>
      </c>
      <c r="H603" s="584" t="s">
        <v>53</v>
      </c>
      <c r="I603" s="2"/>
      <c r="J603" s="2"/>
      <c r="K603" s="2"/>
      <c r="L603" s="2"/>
      <c r="O603" s="58"/>
      <c r="P603" s="58"/>
    </row>
    <row r="604" spans="1:16">
      <c r="A604"/>
      <c r="B604" s="477"/>
      <c r="C604" s="571">
        <v>1.94</v>
      </c>
      <c r="D604" s="552">
        <v>1.94</v>
      </c>
      <c r="E604" s="552">
        <f t="shared" si="15"/>
        <v>1.8235999999999999</v>
      </c>
      <c r="F604" s="555">
        <f>SUM($E$2:E604)/SUM($C$2:C604)</f>
        <v>-2.7817339966901316E-2</v>
      </c>
      <c r="G604" s="552">
        <f t="shared" si="14"/>
        <v>-53.619870000000091</v>
      </c>
      <c r="H604" s="584" t="s">
        <v>13</v>
      </c>
      <c r="I604" s="2"/>
      <c r="J604" s="2"/>
      <c r="K604" s="2"/>
      <c r="L604" s="2"/>
      <c r="O604" s="58"/>
      <c r="P604" s="58"/>
    </row>
    <row r="605" spans="1:16">
      <c r="A605"/>
      <c r="B605" s="477"/>
      <c r="C605" s="571">
        <v>1.94</v>
      </c>
      <c r="D605" s="552">
        <v>2.444</v>
      </c>
      <c r="E605" s="552">
        <f t="shared" si="15"/>
        <v>2.8013599999999994</v>
      </c>
      <c r="F605" s="555">
        <f>SUM($E$2:E605)/SUM($C$2:C605)</f>
        <v>-2.6337520925001672E-2</v>
      </c>
      <c r="G605" s="552">
        <f t="shared" si="14"/>
        <v>-50.818510000000089</v>
      </c>
      <c r="H605" s="584" t="s">
        <v>30</v>
      </c>
      <c r="I605" s="2"/>
      <c r="J605" s="2"/>
      <c r="K605" s="2"/>
      <c r="L605" s="2"/>
      <c r="O605" s="58"/>
      <c r="P605" s="58"/>
    </row>
    <row r="606" spans="1:16">
      <c r="A606"/>
      <c r="B606" s="477"/>
      <c r="C606" s="571">
        <v>1.94</v>
      </c>
      <c r="D606" s="552"/>
      <c r="E606" s="552">
        <f t="shared" si="15"/>
        <v>-1.94</v>
      </c>
      <c r="F606" s="555">
        <f>SUM($E$2:E606)/SUM($C$2:C606)</f>
        <v>-2.7315493541121939E-2</v>
      </c>
      <c r="G606" s="552">
        <f t="shared" si="14"/>
        <v>-52.758510000000086</v>
      </c>
      <c r="H606" s="584" t="s">
        <v>12</v>
      </c>
      <c r="I606" s="2"/>
      <c r="J606" s="2"/>
      <c r="K606" s="2"/>
      <c r="L606" s="2"/>
      <c r="O606" s="58"/>
      <c r="P606" s="58"/>
    </row>
    <row r="607" spans="1:16">
      <c r="A607"/>
      <c r="B607" s="477"/>
      <c r="C607" s="583">
        <v>1.94</v>
      </c>
      <c r="D607" s="581">
        <v>1.9650000000000001</v>
      </c>
      <c r="E607" s="581">
        <f t="shared" si="15"/>
        <v>1.8721000000000001</v>
      </c>
      <c r="F607" s="582">
        <f>SUM($E$2:E607)/SUM($C$2:C607)</f>
        <v>-2.6319785454564246E-2</v>
      </c>
      <c r="G607" s="581">
        <f t="shared" si="14"/>
        <v>-50.886410000000083</v>
      </c>
      <c r="H607" s="373" t="s">
        <v>52</v>
      </c>
      <c r="I607" s="2"/>
      <c r="J607" s="2"/>
      <c r="K607" s="2"/>
      <c r="L607" s="2"/>
      <c r="O607" s="58"/>
      <c r="P607" s="58"/>
    </row>
    <row r="608" spans="1:16">
      <c r="A608"/>
      <c r="B608" s="477"/>
      <c r="C608" s="571">
        <v>1.94</v>
      </c>
      <c r="D608" s="552">
        <v>1.96</v>
      </c>
      <c r="E608" s="552">
        <f t="shared" si="15"/>
        <v>1.8624000000000001</v>
      </c>
      <c r="F608" s="555">
        <f>SUM($E$2:E608)/SUM($C$2:C608)</f>
        <v>-2.533108565464286E-2</v>
      </c>
      <c r="G608" s="552">
        <f t="shared" si="14"/>
        <v>-49.024010000000082</v>
      </c>
      <c r="H608" s="584" t="s">
        <v>39</v>
      </c>
      <c r="I608" s="2"/>
      <c r="J608" s="2"/>
      <c r="K608" s="2"/>
      <c r="L608" s="2"/>
      <c r="O608" s="58"/>
      <c r="P608" s="58"/>
    </row>
    <row r="609" spans="1:16">
      <c r="A609"/>
      <c r="B609" s="477"/>
      <c r="C609" s="571">
        <v>1.94</v>
      </c>
      <c r="D609" s="552"/>
      <c r="E609" s="552">
        <f t="shared" si="15"/>
        <v>-1.94</v>
      </c>
      <c r="F609" s="555">
        <f>SUM($E$2:E609)/SUM($C$2:C609)</f>
        <v>-2.6307128071977555E-2</v>
      </c>
      <c r="G609" s="552">
        <f t="shared" si="14"/>
        <v>-50.96401000000008</v>
      </c>
      <c r="H609" s="584" t="s">
        <v>243</v>
      </c>
      <c r="I609" s="2"/>
      <c r="J609" s="2"/>
      <c r="K609" s="2"/>
      <c r="L609" s="2"/>
      <c r="O609" s="58"/>
      <c r="P609" s="58"/>
    </row>
    <row r="610" spans="1:16">
      <c r="A610"/>
      <c r="B610" s="477"/>
      <c r="C610" s="571">
        <v>1.94</v>
      </c>
      <c r="D610" s="552">
        <v>1.98</v>
      </c>
      <c r="E610" s="552">
        <f t="shared" si="15"/>
        <v>1.9011999999999998</v>
      </c>
      <c r="F610" s="555">
        <f>SUM($E$2:E610)/SUM($C$2:C610)</f>
        <v>-2.5300410992105012E-2</v>
      </c>
      <c r="G610" s="552">
        <f t="shared" si="14"/>
        <v>-49.062810000000077</v>
      </c>
      <c r="H610" s="584" t="s">
        <v>244</v>
      </c>
      <c r="I610" s="2"/>
      <c r="J610" s="2"/>
      <c r="K610" s="2"/>
      <c r="L610" s="2"/>
      <c r="O610" s="58"/>
      <c r="P610" s="58"/>
    </row>
    <row r="611" spans="1:16">
      <c r="A611"/>
      <c r="B611" s="477"/>
      <c r="C611" s="571">
        <v>1.94</v>
      </c>
      <c r="D611" s="552">
        <v>1.98</v>
      </c>
      <c r="E611" s="552">
        <f t="shared" si="15"/>
        <v>1.9011999999999998</v>
      </c>
      <c r="F611" s="555">
        <f>SUM($E$2:E611)/SUM($C$2:C611)</f>
        <v>-2.4295706153568741E-2</v>
      </c>
      <c r="G611" s="552">
        <f t="shared" si="14"/>
        <v>-47.161610000000074</v>
      </c>
      <c r="H611" s="584" t="s">
        <v>245</v>
      </c>
      <c r="I611" s="2"/>
      <c r="J611" s="2"/>
      <c r="K611" s="2"/>
      <c r="L611" s="2"/>
      <c r="O611" s="58"/>
      <c r="P611" s="58"/>
    </row>
    <row r="612" spans="1:16">
      <c r="A612"/>
      <c r="B612" s="477"/>
      <c r="C612" s="571">
        <v>1.94</v>
      </c>
      <c r="D612" s="552">
        <v>1.9550000000000001</v>
      </c>
      <c r="E612" s="552">
        <f t="shared" si="15"/>
        <v>1.8527</v>
      </c>
      <c r="F612" s="555">
        <f>SUM($E$2:E612)/SUM($C$2:C612)</f>
        <v>-2.3317967772980133E-2</v>
      </c>
      <c r="G612" s="552">
        <f t="shared" si="14"/>
        <v>-45.308910000000076</v>
      </c>
      <c r="H612" s="584" t="s">
        <v>246</v>
      </c>
      <c r="I612" s="2"/>
      <c r="J612" s="2"/>
      <c r="K612" s="2"/>
      <c r="L612" s="2"/>
      <c r="O612" s="58"/>
      <c r="P612" s="58"/>
    </row>
    <row r="613" spans="1:16">
      <c r="A613"/>
      <c r="B613" s="477"/>
      <c r="C613" s="571">
        <v>1.94</v>
      </c>
      <c r="D613" s="552">
        <v>3.42</v>
      </c>
      <c r="E613" s="552">
        <f t="shared" si="15"/>
        <v>4.694799999999999</v>
      </c>
      <c r="F613" s="555">
        <f>SUM($E$2:E613)/SUM($C$2:C613)</f>
        <v>-2.0880968416939573E-2</v>
      </c>
      <c r="G613" s="552">
        <f t="shared" si="14"/>
        <v>-40.614110000000075</v>
      </c>
      <c r="H613" s="584" t="s">
        <v>247</v>
      </c>
      <c r="I613" s="2"/>
      <c r="J613" s="2"/>
      <c r="K613" s="2"/>
      <c r="L613" s="2"/>
      <c r="O613" s="58"/>
      <c r="P613" s="58"/>
    </row>
    <row r="614" spans="1:16">
      <c r="A614"/>
      <c r="B614" s="477"/>
      <c r="C614" s="571">
        <v>1.94</v>
      </c>
      <c r="D614" s="552"/>
      <c r="E614" s="552">
        <f t="shared" si="15"/>
        <v>-1.94</v>
      </c>
      <c r="F614" s="555">
        <f>SUM($E$2:E614)/SUM($C$2:C614)</f>
        <v>-2.1856582279131145E-2</v>
      </c>
      <c r="G614" s="552">
        <f t="shared" si="14"/>
        <v>-42.554110000000072</v>
      </c>
      <c r="H614" s="584" t="s">
        <v>248</v>
      </c>
      <c r="I614" s="2"/>
      <c r="J614" s="2"/>
      <c r="K614" s="2"/>
      <c r="L614" s="2"/>
      <c r="O614" s="58"/>
      <c r="P614" s="58"/>
    </row>
    <row r="615" spans="1:16">
      <c r="A615"/>
      <c r="B615" s="477"/>
      <c r="C615" s="583">
        <v>1.94</v>
      </c>
      <c r="D615" s="581">
        <v>1.98</v>
      </c>
      <c r="E615" s="581">
        <f t="shared" si="15"/>
        <v>1.9011999999999998</v>
      </c>
      <c r="F615" s="582">
        <f>SUM($E$2:E615)/SUM($C$2:C615)</f>
        <v>-2.0859305971029946E-2</v>
      </c>
      <c r="G615" s="581">
        <f t="shared" si="14"/>
        <v>-40.65291000000007</v>
      </c>
      <c r="H615" s="373" t="s">
        <v>249</v>
      </c>
      <c r="I615" s="2">
        <f>SUM(E595:E615)</f>
        <v>19.983939999999997</v>
      </c>
      <c r="L615" s="2">
        <f>I615/C615</f>
        <v>10.300999999999998</v>
      </c>
      <c r="O615" s="58"/>
      <c r="P615" s="58"/>
    </row>
    <row r="616" spans="1:16">
      <c r="A616"/>
      <c r="B616" s="476">
        <v>46021</v>
      </c>
      <c r="C616" s="571">
        <v>5.49</v>
      </c>
      <c r="D616" s="552">
        <v>1.9390000000000001</v>
      </c>
      <c r="E616" s="552">
        <f t="shared" si="15"/>
        <v>5.1551100000000005</v>
      </c>
      <c r="F616" s="555">
        <f>SUM($E$2:E616)/SUM($C$2:C616)</f>
        <v>-1.816301678264428E-2</v>
      </c>
      <c r="G616" s="552">
        <f t="shared" si="14"/>
        <v>-35.497800000000069</v>
      </c>
      <c r="H616" s="584" t="s">
        <v>51</v>
      </c>
      <c r="I616" s="2"/>
      <c r="J616" s="2"/>
      <c r="K616" s="2"/>
      <c r="L616" s="2"/>
      <c r="O616" s="58"/>
      <c r="P616" s="58"/>
    </row>
    <row r="617" spans="1:16">
      <c r="A617"/>
      <c r="B617" s="477"/>
      <c r="C617" s="571">
        <v>5.49</v>
      </c>
      <c r="D617" s="552">
        <v>1.87</v>
      </c>
      <c r="E617" s="552">
        <f t="shared" si="15"/>
        <v>4.7763000000000009</v>
      </c>
      <c r="F617" s="555">
        <f>SUM($E$2:E617)/SUM($C$2:C617)</f>
        <v>-1.5675114419686817E-2</v>
      </c>
      <c r="G617" s="552">
        <f t="shared" si="14"/>
        <v>-30.72150000000007</v>
      </c>
      <c r="H617" s="584" t="s">
        <v>37</v>
      </c>
      <c r="I617" s="2"/>
      <c r="J617" s="2"/>
      <c r="K617" s="2"/>
      <c r="L617" s="2"/>
      <c r="O617" s="58"/>
      <c r="P617" s="58"/>
    </row>
    <row r="618" spans="1:16">
      <c r="A618"/>
      <c r="B618" s="477"/>
      <c r="C618" s="583">
        <v>5.49</v>
      </c>
      <c r="D618" s="581"/>
      <c r="E618" s="581">
        <f t="shared" si="15"/>
        <v>-5.49</v>
      </c>
      <c r="F618" s="582">
        <f>SUM($E$2:E618)/SUM($C$2:C618)</f>
        <v>-1.8424681232128128E-2</v>
      </c>
      <c r="G618" s="581">
        <f t="shared" si="14"/>
        <v>-36.211500000000072</v>
      </c>
      <c r="H618" s="373" t="s">
        <v>38</v>
      </c>
      <c r="I618" s="2"/>
      <c r="J618" s="2"/>
      <c r="K618" s="2"/>
      <c r="L618" s="2"/>
      <c r="O618" s="58"/>
      <c r="P618" s="58"/>
    </row>
    <row r="619" spans="1:16">
      <c r="A619"/>
      <c r="B619" s="477"/>
      <c r="C619" s="571">
        <v>5.49</v>
      </c>
      <c r="D619" s="552">
        <v>1.96</v>
      </c>
      <c r="E619" s="552">
        <f t="shared" si="15"/>
        <v>5.2704000000000004</v>
      </c>
      <c r="F619" s="555">
        <f>SUM($E$2:E619)/SUM($C$2:C619)</f>
        <v>-1.5699208978775869E-2</v>
      </c>
      <c r="G619" s="552">
        <f t="shared" si="14"/>
        <v>-30.94110000000007</v>
      </c>
      <c r="H619" s="584" t="s">
        <v>26</v>
      </c>
      <c r="I619" s="2"/>
      <c r="J619" s="2"/>
      <c r="K619" s="2"/>
      <c r="L619" s="2"/>
      <c r="O619" s="58"/>
      <c r="P619" s="58"/>
    </row>
    <row r="620" spans="1:16">
      <c r="A620"/>
      <c r="B620" s="477"/>
      <c r="C620" s="571">
        <v>5.49</v>
      </c>
      <c r="D620" s="552"/>
      <c r="E620" s="552">
        <f t="shared" si="15"/>
        <v>-5.49</v>
      </c>
      <c r="F620" s="555">
        <f>SUM($E$2:E620)/SUM($C$2:C620)</f>
        <v>-1.8433433180189834E-2</v>
      </c>
      <c r="G620" s="552">
        <f t="shared" ref="G620:G683" si="16">G619+E620</f>
        <v>-36.431100000000072</v>
      </c>
      <c r="H620" s="584" t="s">
        <v>47</v>
      </c>
      <c r="I620" s="2"/>
      <c r="J620" s="2"/>
      <c r="K620" s="2"/>
      <c r="L620" s="2"/>
      <c r="O620" s="58"/>
      <c r="P620" s="58"/>
    </row>
    <row r="621" spans="1:16">
      <c r="A621"/>
      <c r="B621" s="477"/>
      <c r="C621" s="571">
        <v>5.49</v>
      </c>
      <c r="D621" s="552"/>
      <c r="E621" s="552">
        <f t="shared" si="15"/>
        <v>-5.49</v>
      </c>
      <c r="F621" s="555">
        <f>SUM($E$2:E621)/SUM($C$2:C621)</f>
        <v>-2.115250901935059E-2</v>
      </c>
      <c r="G621" s="552">
        <f t="shared" si="16"/>
        <v>-41.921100000000074</v>
      </c>
      <c r="H621" s="584" t="s">
        <v>10</v>
      </c>
      <c r="I621" s="2"/>
      <c r="J621" s="2"/>
      <c r="K621" s="2"/>
      <c r="L621" s="2"/>
      <c r="O621" s="58"/>
      <c r="P621" s="58"/>
    </row>
    <row r="622" spans="1:16">
      <c r="A622"/>
      <c r="B622" s="477"/>
      <c r="C622" s="583">
        <v>5.49</v>
      </c>
      <c r="D622" s="581">
        <v>2.7839999999999998</v>
      </c>
      <c r="E622" s="581">
        <f t="shared" si="15"/>
        <v>9.7941599999999998</v>
      </c>
      <c r="F622" s="582">
        <f>SUM($E$2:E622)/SUM($C$2:C622)</f>
        <v>-1.6165799510904022E-2</v>
      </c>
      <c r="G622" s="581">
        <f t="shared" si="16"/>
        <v>-32.126940000000076</v>
      </c>
      <c r="H622" s="373" t="s">
        <v>18</v>
      </c>
      <c r="I622" s="2"/>
      <c r="J622" s="2"/>
      <c r="K622" s="2"/>
      <c r="L622" s="2"/>
      <c r="O622" s="58"/>
      <c r="P622" s="58"/>
    </row>
    <row r="623" spans="1:16">
      <c r="A623"/>
      <c r="B623" s="477"/>
      <c r="C623" s="571">
        <v>5.49</v>
      </c>
      <c r="D623" s="552">
        <v>1.9750000000000001</v>
      </c>
      <c r="E623" s="552">
        <f t="shared" ref="E623:E686" si="17">(C623*D623)-C623</f>
        <v>5.3527500000000003</v>
      </c>
      <c r="F623" s="555">
        <f>SUM($E$2:E623)/SUM($C$2:C623)</f>
        <v>-1.3435260408564709E-2</v>
      </c>
      <c r="G623" s="552">
        <f t="shared" si="16"/>
        <v>-26.774190000000075</v>
      </c>
      <c r="H623" s="584" t="s">
        <v>250</v>
      </c>
      <c r="I623" s="2"/>
      <c r="J623" s="2"/>
      <c r="K623" s="2"/>
      <c r="L623" s="2"/>
      <c r="O623" s="58"/>
      <c r="P623" s="58"/>
    </row>
    <row r="624" spans="1:16">
      <c r="A624"/>
      <c r="B624" s="477"/>
      <c r="C624" s="583">
        <v>5.49</v>
      </c>
      <c r="D624" s="581">
        <v>1.98</v>
      </c>
      <c r="E624" s="581">
        <f t="shared" si="17"/>
        <v>5.3802000000000003</v>
      </c>
      <c r="F624" s="582">
        <f>SUM($E$2:E624)/SUM($C$2:C624)</f>
        <v>-1.0705988029945164E-2</v>
      </c>
      <c r="G624" s="581">
        <f t="shared" si="16"/>
        <v>-21.393990000000073</v>
      </c>
      <c r="H624" s="373" t="s">
        <v>251</v>
      </c>
      <c r="I624" s="2">
        <f>SUM(E616:E624)</f>
        <v>19.258920000000003</v>
      </c>
      <c r="L624" s="2">
        <f>I624/C624</f>
        <v>3.5080000000000005</v>
      </c>
      <c r="O624" s="58"/>
      <c r="P624" s="58"/>
    </row>
    <row r="625" spans="1:16">
      <c r="A625"/>
      <c r="B625" s="476">
        <v>46022</v>
      </c>
      <c r="C625" s="571">
        <v>2.5099999999999998</v>
      </c>
      <c r="D625" s="552">
        <v>1.9</v>
      </c>
      <c r="E625" s="552">
        <f t="shared" si="17"/>
        <v>2.2589999999999995</v>
      </c>
      <c r="F625" s="555">
        <f>SUM($E$2:E625)/SUM($C$2:C625)</f>
        <v>-9.5635261366533025E-3</v>
      </c>
      <c r="G625" s="552">
        <f t="shared" si="16"/>
        <v>-19.134990000000073</v>
      </c>
      <c r="H625" s="584" t="s">
        <v>27</v>
      </c>
      <c r="I625" s="2"/>
      <c r="J625" s="2"/>
      <c r="K625" s="2"/>
      <c r="L625" s="2"/>
      <c r="O625" s="58"/>
      <c r="P625" s="58"/>
    </row>
    <row r="626" spans="1:16">
      <c r="A626"/>
      <c r="B626" s="477"/>
      <c r="C626" s="571">
        <v>2.5099999999999998</v>
      </c>
      <c r="D626" s="552"/>
      <c r="E626" s="552">
        <f t="shared" si="17"/>
        <v>-2.5099999999999998</v>
      </c>
      <c r="F626" s="555">
        <f>SUM($E$2:E626)/SUM($C$2:C626)</f>
        <v>-1.0804451565884981E-2</v>
      </c>
      <c r="G626" s="552">
        <f t="shared" si="16"/>
        <v>-21.644990000000071</v>
      </c>
      <c r="H626" s="584" t="s">
        <v>36</v>
      </c>
      <c r="I626" s="2"/>
      <c r="J626" s="2"/>
      <c r="K626" s="2"/>
      <c r="L626" s="2"/>
      <c r="O626" s="58"/>
      <c r="P626" s="58"/>
    </row>
    <row r="627" spans="1:16">
      <c r="A627"/>
      <c r="B627" s="477"/>
      <c r="C627" s="571">
        <v>2.5099999999999998</v>
      </c>
      <c r="D627" s="552">
        <v>1.86</v>
      </c>
      <c r="E627" s="552">
        <f t="shared" si="17"/>
        <v>2.1585999999999999</v>
      </c>
      <c r="F627" s="555">
        <f>SUM($E$2:E627)/SUM($C$2:C627)</f>
        <v>-9.7147792706334096E-3</v>
      </c>
      <c r="G627" s="552">
        <f t="shared" si="16"/>
        <v>-19.486390000000071</v>
      </c>
      <c r="H627" s="584" t="s">
        <v>29</v>
      </c>
      <c r="I627" s="2"/>
      <c r="J627" s="2"/>
      <c r="K627" s="2"/>
      <c r="L627" s="2"/>
      <c r="O627" s="58"/>
      <c r="P627" s="58"/>
    </row>
    <row r="628" spans="1:16">
      <c r="A628"/>
      <c r="B628" s="477"/>
      <c r="C628" s="571">
        <v>2.5099999999999998</v>
      </c>
      <c r="D628" s="552"/>
      <c r="E628" s="552">
        <f t="shared" si="17"/>
        <v>-2.5099999999999998</v>
      </c>
      <c r="F628" s="555">
        <f>SUM($E$2:E628)/SUM($C$2:C628)</f>
        <v>-1.0952413909856806E-2</v>
      </c>
      <c r="G628" s="552">
        <f t="shared" si="16"/>
        <v>-21.996390000000069</v>
      </c>
      <c r="H628" s="584" t="s">
        <v>59</v>
      </c>
      <c r="I628" s="2"/>
      <c r="J628" s="2"/>
      <c r="K628" s="2"/>
      <c r="L628" s="2"/>
      <c r="O628" s="58"/>
      <c r="P628" s="58"/>
    </row>
    <row r="629" spans="1:16">
      <c r="A629"/>
      <c r="B629" s="477"/>
      <c r="C629" s="583">
        <v>2.5099999999999998</v>
      </c>
      <c r="D629" s="581"/>
      <c r="E629" s="581">
        <f t="shared" si="17"/>
        <v>-2.5099999999999998</v>
      </c>
      <c r="F629" s="582">
        <f>SUM($E$2:E629)/SUM($C$2:C629)</f>
        <v>-1.2186958878495382E-2</v>
      </c>
      <c r="G629" s="581">
        <f t="shared" si="16"/>
        <v>-24.506390000000067</v>
      </c>
      <c r="H629" s="373" t="s">
        <v>52</v>
      </c>
      <c r="I629" s="2"/>
      <c r="J629" s="2"/>
      <c r="K629" s="2"/>
      <c r="L629" s="2"/>
      <c r="O629" s="58"/>
      <c r="P629" s="58"/>
    </row>
    <row r="630" spans="1:16">
      <c r="A630"/>
      <c r="B630" s="477"/>
      <c r="C630" s="571">
        <v>2.5099999999999998</v>
      </c>
      <c r="D630" s="552">
        <v>2.87</v>
      </c>
      <c r="E630" s="552">
        <f t="shared" si="17"/>
        <v>4.6936999999999998</v>
      </c>
      <c r="F630" s="555">
        <f>SUM($E$2:E630)/SUM($C$2:C630)</f>
        <v>-9.8405119748880086E-3</v>
      </c>
      <c r="G630" s="552">
        <f t="shared" si="16"/>
        <v>-19.812690000000067</v>
      </c>
      <c r="H630" s="584" t="s">
        <v>15</v>
      </c>
      <c r="I630" s="2"/>
      <c r="J630" s="2"/>
      <c r="K630" s="2"/>
      <c r="L630" s="2"/>
      <c r="O630" s="58"/>
      <c r="P630" s="58"/>
    </row>
    <row r="631" spans="1:16">
      <c r="A631"/>
      <c r="B631" s="477"/>
      <c r="C631" s="571">
        <v>2.5099999999999998</v>
      </c>
      <c r="D631" s="552">
        <v>1.98</v>
      </c>
      <c r="E631" s="552">
        <f t="shared" si="17"/>
        <v>2.4597999999999995</v>
      </c>
      <c r="F631" s="555">
        <f>SUM($E$2:E631)/SUM($C$2:C631)</f>
        <v>-8.6080540108835427E-3</v>
      </c>
      <c r="G631" s="552">
        <f t="shared" si="16"/>
        <v>-17.352890000000066</v>
      </c>
      <c r="H631" s="584" t="s">
        <v>14</v>
      </c>
      <c r="I631" s="2"/>
      <c r="J631" s="2"/>
      <c r="K631" s="2"/>
      <c r="L631" s="2"/>
      <c r="O631" s="58"/>
      <c r="P631" s="58"/>
    </row>
    <row r="632" spans="1:16">
      <c r="A632"/>
      <c r="B632" s="477"/>
      <c r="C632" s="571">
        <v>2.5099999999999998</v>
      </c>
      <c r="D632" s="552"/>
      <c r="E632" s="552">
        <f t="shared" si="17"/>
        <v>-2.5099999999999998</v>
      </c>
      <c r="F632" s="555">
        <f>SUM($E$2:E632)/SUM($C$2:C632)</f>
        <v>-9.8409086405073405E-3</v>
      </c>
      <c r="G632" s="552">
        <f t="shared" si="16"/>
        <v>-19.862890000000064</v>
      </c>
      <c r="H632" s="584" t="s">
        <v>60</v>
      </c>
      <c r="I632" s="2"/>
      <c r="J632" s="2"/>
      <c r="K632" s="2"/>
      <c r="L632" s="2"/>
      <c r="O632" s="58"/>
      <c r="P632" s="58"/>
    </row>
    <row r="633" spans="1:16">
      <c r="A633"/>
      <c r="B633" s="477"/>
      <c r="C633" s="571">
        <v>2.5099999999999998</v>
      </c>
      <c r="D633" s="552">
        <v>1.98</v>
      </c>
      <c r="E633" s="552">
        <f t="shared" si="17"/>
        <v>2.4597999999999995</v>
      </c>
      <c r="F633" s="555">
        <f>SUM($E$2:E633)/SUM($C$2:C633)</f>
        <v>-8.6115116457437593E-3</v>
      </c>
      <c r="G633" s="552">
        <f t="shared" si="16"/>
        <v>-17.403090000000063</v>
      </c>
      <c r="H633" s="584" t="s">
        <v>46</v>
      </c>
      <c r="I633" s="2"/>
      <c r="J633" s="2"/>
      <c r="K633" s="2"/>
      <c r="L633" s="2"/>
      <c r="O633" s="58"/>
      <c r="P633" s="58"/>
    </row>
    <row r="634" spans="1:16">
      <c r="A634"/>
      <c r="B634" s="477"/>
      <c r="C634" s="583">
        <v>2.5099999999999998</v>
      </c>
      <c r="D634" s="581">
        <v>1.98</v>
      </c>
      <c r="E634" s="581">
        <f t="shared" si="17"/>
        <v>2.4597999999999995</v>
      </c>
      <c r="F634" s="582">
        <f>SUM($E$2:E634)/SUM($C$2:C634)</f>
        <v>-7.3851647211157483E-3</v>
      </c>
      <c r="G634" s="581">
        <f t="shared" si="16"/>
        <v>-14.943290000000063</v>
      </c>
      <c r="H634" s="373" t="s">
        <v>12</v>
      </c>
      <c r="I634" s="2"/>
      <c r="J634" s="2"/>
      <c r="K634" s="2"/>
      <c r="L634" s="2"/>
      <c r="O634" s="58"/>
      <c r="P634" s="58"/>
    </row>
    <row r="635" spans="1:16">
      <c r="A635"/>
      <c r="B635" s="477"/>
      <c r="C635" s="571">
        <v>2.5099999999999998</v>
      </c>
      <c r="D635" s="552">
        <v>1.98</v>
      </c>
      <c r="E635" s="552">
        <f t="shared" si="17"/>
        <v>2.4597999999999995</v>
      </c>
      <c r="F635" s="555">
        <f>SUM($E$2:E635)/SUM($C$2:C635)</f>
        <v>-6.1618565300874334E-3</v>
      </c>
      <c r="G635" s="552">
        <f t="shared" si="16"/>
        <v>-12.483490000000064</v>
      </c>
      <c r="H635" s="584" t="s">
        <v>252</v>
      </c>
      <c r="I635" s="2"/>
      <c r="J635" s="2"/>
      <c r="K635" s="2"/>
      <c r="L635" s="2"/>
      <c r="O635" s="58"/>
      <c r="P635" s="58"/>
    </row>
    <row r="636" spans="1:16">
      <c r="A636"/>
      <c r="B636" s="477"/>
      <c r="C636" s="571">
        <v>2.5099999999999998</v>
      </c>
      <c r="D636" s="552">
        <v>1.94</v>
      </c>
      <c r="E636" s="552">
        <f t="shared" si="17"/>
        <v>2.3593999999999999</v>
      </c>
      <c r="F636" s="555">
        <f>SUM($E$2:E636)/SUM($C$2:C636)</f>
        <v>-4.9910719567746835E-3</v>
      </c>
      <c r="G636" s="552">
        <f t="shared" si="16"/>
        <v>-10.124090000000063</v>
      </c>
      <c r="H636" s="584" t="s">
        <v>253</v>
      </c>
      <c r="I636" s="2"/>
      <c r="J636" s="2"/>
      <c r="K636" s="2"/>
      <c r="L636" s="2"/>
      <c r="O636" s="58"/>
      <c r="P636" s="58"/>
    </row>
    <row r="637" spans="1:16">
      <c r="A637"/>
      <c r="B637" s="477"/>
      <c r="C637" s="571">
        <v>2.5099999999999998</v>
      </c>
      <c r="D637" s="552">
        <v>1.94</v>
      </c>
      <c r="E637" s="552">
        <f t="shared" si="17"/>
        <v>2.3593999999999999</v>
      </c>
      <c r="F637" s="555">
        <f>SUM($E$2:E637)/SUM($C$2:C637)</f>
        <v>-3.8231812698491072E-3</v>
      </c>
      <c r="G637" s="552">
        <f t="shared" si="16"/>
        <v>-7.7646900000000629</v>
      </c>
      <c r="H637" s="584" t="s">
        <v>254</v>
      </c>
      <c r="I637" s="2"/>
      <c r="J637" s="2"/>
      <c r="K637" s="2"/>
      <c r="L637" s="2"/>
      <c r="O637" s="58"/>
      <c r="P637" s="58"/>
    </row>
    <row r="638" spans="1:16">
      <c r="A638"/>
      <c r="B638" s="477"/>
      <c r="C638" s="571">
        <v>2.5099999999999998</v>
      </c>
      <c r="D638" s="552"/>
      <c r="E638" s="552">
        <f t="shared" si="17"/>
        <v>-2.5099999999999998</v>
      </c>
      <c r="F638" s="555">
        <f>SUM($E$2:E638)/SUM($C$2:C638)</f>
        <v>-5.0528114642038888E-3</v>
      </c>
      <c r="G638" s="552">
        <f t="shared" si="16"/>
        <v>-10.274690000000064</v>
      </c>
      <c r="H638" s="584" t="s">
        <v>255</v>
      </c>
      <c r="I638" s="2"/>
      <c r="J638" s="2"/>
      <c r="K638" s="2"/>
      <c r="L638" s="2"/>
      <c r="O638" s="58"/>
      <c r="P638" s="58"/>
    </row>
    <row r="639" spans="1:16">
      <c r="A639"/>
      <c r="B639" s="477"/>
      <c r="C639" s="583">
        <v>2.5099999999999998</v>
      </c>
      <c r="D639" s="581"/>
      <c r="E639" s="581">
        <f t="shared" si="17"/>
        <v>-2.5099999999999998</v>
      </c>
      <c r="F639" s="582">
        <f>SUM($E$2:E639)/SUM($C$2:C639)</f>
        <v>-6.2794098144864771E-3</v>
      </c>
      <c r="G639" s="581">
        <f t="shared" si="16"/>
        <v>-12.784690000000063</v>
      </c>
      <c r="H639" s="373" t="s">
        <v>95</v>
      </c>
      <c r="I639" s="444">
        <f>SUM(E625:E639)</f>
        <v>8.6093000000000011</v>
      </c>
      <c r="J639" s="417"/>
      <c r="K639" s="444">
        <f>SUM(E239:E639)</f>
        <v>45.705460000000016</v>
      </c>
      <c r="L639" s="2">
        <f>I639/C639</f>
        <v>3.4300000000000006</v>
      </c>
      <c r="O639" s="58"/>
      <c r="P639" s="58"/>
    </row>
    <row r="640" spans="1:16">
      <c r="A640"/>
      <c r="B640" s="476">
        <v>46023</v>
      </c>
      <c r="C640" s="571">
        <f>4.58*2</f>
        <v>9.16</v>
      </c>
      <c r="D640" s="552">
        <v>2.1</v>
      </c>
      <c r="E640" s="552">
        <f t="shared" si="17"/>
        <v>10.076000000000001</v>
      </c>
      <c r="F640" s="555">
        <f>SUM($E$2:E640)/SUM($C$2:C640)</f>
        <v>-1.3244585918743828E-3</v>
      </c>
      <c r="G640" s="552">
        <f t="shared" si="16"/>
        <v>-2.7086900000000629</v>
      </c>
      <c r="H640" s="584" t="s">
        <v>53</v>
      </c>
      <c r="I640" s="2"/>
      <c r="J640" s="2"/>
      <c r="K640" s="2"/>
      <c r="L640" s="2"/>
      <c r="O640" s="58"/>
      <c r="P640" s="58"/>
    </row>
    <row r="641" spans="1:16">
      <c r="A641"/>
      <c r="B641" s="477"/>
      <c r="C641" s="571">
        <v>4.58</v>
      </c>
      <c r="D641" s="552">
        <v>1.9</v>
      </c>
      <c r="E641" s="552">
        <f t="shared" si="17"/>
        <v>4.1219999999999999</v>
      </c>
      <c r="F641" s="555">
        <f>SUM($E$2:E641)/SUM($C$2:C641)</f>
        <v>6.8951705363194476E-4</v>
      </c>
      <c r="G641" s="552">
        <f t="shared" si="16"/>
        <v>1.413309999999937</v>
      </c>
      <c r="H641" s="584" t="s">
        <v>37</v>
      </c>
      <c r="I641" s="2"/>
      <c r="J641" s="2"/>
      <c r="K641" s="2"/>
      <c r="L641" s="2"/>
      <c r="O641" s="58"/>
      <c r="P641" s="58"/>
    </row>
    <row r="642" spans="1:16">
      <c r="A642"/>
      <c r="B642" s="477"/>
      <c r="C642" s="583">
        <v>4.58</v>
      </c>
      <c r="D642" s="581"/>
      <c r="E642" s="581">
        <f t="shared" si="17"/>
        <v>-4.58</v>
      </c>
      <c r="F642" s="582">
        <f>SUM($E$2:E642)/SUM($C$2:C642)</f>
        <v>-1.5415009565348881E-3</v>
      </c>
      <c r="G642" s="581">
        <f t="shared" si="16"/>
        <v>-3.1666900000000631</v>
      </c>
      <c r="H642" s="373" t="s">
        <v>47</v>
      </c>
      <c r="I642" s="2"/>
      <c r="J642" s="2"/>
      <c r="K642" s="2"/>
      <c r="L642" s="2"/>
      <c r="O642" s="58"/>
      <c r="P642" s="58"/>
    </row>
    <row r="643" spans="1:16">
      <c r="A643"/>
      <c r="B643" s="477"/>
      <c r="C643" s="583">
        <v>4.58</v>
      </c>
      <c r="D643" s="581"/>
      <c r="E643" s="581">
        <f t="shared" si="17"/>
        <v>-4.58</v>
      </c>
      <c r="F643" s="582">
        <f>SUM($E$2:E643)/SUM($C$2:C643)</f>
        <v>-3.7625930728992334E-3</v>
      </c>
      <c r="G643" s="581">
        <f t="shared" si="16"/>
        <v>-7.7466900000000631</v>
      </c>
      <c r="H643" s="373" t="s">
        <v>28</v>
      </c>
      <c r="I643" s="2"/>
      <c r="J643" s="2"/>
      <c r="K643" s="2"/>
      <c r="L643" s="2"/>
      <c r="O643" s="58"/>
      <c r="P643" s="58"/>
    </row>
    <row r="644" spans="1:16">
      <c r="A644"/>
      <c r="B644" s="477"/>
      <c r="C644" s="571">
        <v>4.58</v>
      </c>
      <c r="D644" s="552"/>
      <c r="E644" s="552">
        <f t="shared" si="17"/>
        <v>-4.58</v>
      </c>
      <c r="F644" s="555">
        <f>SUM($E$2:E644)/SUM($C$2:C644)</f>
        <v>-5.9738253895175722E-3</v>
      </c>
      <c r="G644" s="552">
        <f t="shared" si="16"/>
        <v>-12.326690000000063</v>
      </c>
      <c r="H644" s="584" t="s">
        <v>256</v>
      </c>
      <c r="I644" s="2"/>
      <c r="J644" s="2"/>
      <c r="K644" s="2"/>
      <c r="L644" s="2"/>
      <c r="O644" s="58"/>
      <c r="P644" s="58"/>
    </row>
    <row r="645" spans="1:16">
      <c r="A645"/>
      <c r="B645" s="477"/>
      <c r="C645" s="583">
        <v>4.58</v>
      </c>
      <c r="D645" s="581"/>
      <c r="E645" s="581">
        <f t="shared" si="17"/>
        <v>-4.58</v>
      </c>
      <c r="F645" s="582">
        <f>SUM($E$2:E645)/SUM($C$2:C645)</f>
        <v>-8.1752634149408008E-3</v>
      </c>
      <c r="G645" s="581">
        <f t="shared" si="16"/>
        <v>-16.906690000000062</v>
      </c>
      <c r="H645" s="373" t="s">
        <v>257</v>
      </c>
      <c r="I645" s="2">
        <f>SUM(E640:E645)</f>
        <v>-4.1219999999999999</v>
      </c>
      <c r="L645" s="2">
        <f>I645/C645</f>
        <v>-0.89999999999999991</v>
      </c>
      <c r="O645" s="58"/>
      <c r="P645" s="58"/>
    </row>
    <row r="646" spans="1:16">
      <c r="A646"/>
      <c r="B646" s="476">
        <v>46024</v>
      </c>
      <c r="C646" s="571">
        <v>2.2799999999999998</v>
      </c>
      <c r="D646" s="552">
        <v>1.91</v>
      </c>
      <c r="E646" s="552">
        <f t="shared" si="17"/>
        <v>2.0747999999999993</v>
      </c>
      <c r="F646" s="555">
        <f>SUM($E$2:E646)/SUM($C$2:C646)</f>
        <v>-7.1640913679594008E-3</v>
      </c>
      <c r="G646" s="552">
        <f t="shared" si="16"/>
        <v>-14.831890000000062</v>
      </c>
      <c r="H646" s="584" t="s">
        <v>12</v>
      </c>
      <c r="I646" s="2"/>
      <c r="J646" s="2"/>
      <c r="K646" s="2"/>
      <c r="L646" s="2"/>
      <c r="O646" s="58"/>
      <c r="P646" s="58"/>
    </row>
    <row r="647" spans="1:16">
      <c r="A647"/>
      <c r="B647" s="477"/>
      <c r="C647" s="571">
        <v>2.2799999999999998</v>
      </c>
      <c r="D647" s="552"/>
      <c r="E647" s="552">
        <f t="shared" si="17"/>
        <v>-2.2799999999999998</v>
      </c>
      <c r="F647" s="555">
        <f>SUM($E$2:E647)/SUM($C$2:C647)</f>
        <v>-8.2562832012120207E-3</v>
      </c>
      <c r="G647" s="552">
        <f t="shared" si="16"/>
        <v>-17.111890000000063</v>
      </c>
      <c r="H647" s="584" t="s">
        <v>28</v>
      </c>
      <c r="I647" s="2"/>
      <c r="J647" s="2"/>
      <c r="K647" s="2"/>
      <c r="L647" s="2"/>
      <c r="O647" s="58"/>
      <c r="P647" s="58"/>
    </row>
    <row r="648" spans="1:16">
      <c r="A648"/>
      <c r="B648" s="477"/>
      <c r="C648" s="571">
        <v>2.2799999999999998</v>
      </c>
      <c r="D648" s="552"/>
      <c r="E648" s="552">
        <f t="shared" si="17"/>
        <v>-2.2799999999999998</v>
      </c>
      <c r="F648" s="555">
        <f>SUM($E$2:E648)/SUM($C$2:C648)</f>
        <v>-9.3460746938362465E-3</v>
      </c>
      <c r="G648" s="552">
        <f t="shared" si="16"/>
        <v>-19.391890000000064</v>
      </c>
      <c r="H648" s="584" t="s">
        <v>59</v>
      </c>
      <c r="I648" s="2"/>
      <c r="J648" s="2"/>
      <c r="K648" s="2"/>
      <c r="L648" s="2"/>
      <c r="O648" s="58"/>
      <c r="P648" s="58"/>
    </row>
    <row r="649" spans="1:16">
      <c r="A649"/>
      <c r="B649" s="477"/>
      <c r="C649" s="571">
        <v>2.2799999999999998</v>
      </c>
      <c r="D649" s="552"/>
      <c r="E649" s="552">
        <f t="shared" si="17"/>
        <v>-2.2799999999999998</v>
      </c>
      <c r="F649" s="555">
        <f>SUM($E$2:E649)/SUM($C$2:C649)</f>
        <v>-1.0433473750090272E-2</v>
      </c>
      <c r="G649" s="552">
        <f t="shared" si="16"/>
        <v>-21.671890000000065</v>
      </c>
      <c r="H649" s="584" t="s">
        <v>14</v>
      </c>
      <c r="I649" s="2"/>
      <c r="J649" s="2"/>
      <c r="K649" s="2"/>
      <c r="L649" s="2"/>
      <c r="O649" s="58"/>
      <c r="P649" s="58"/>
    </row>
    <row r="650" spans="1:16">
      <c r="A650"/>
      <c r="B650" s="477"/>
      <c r="C650" s="571">
        <v>2.2799999999999998</v>
      </c>
      <c r="D650" s="552"/>
      <c r="E650" s="552">
        <f t="shared" si="17"/>
        <v>-2.2799999999999998</v>
      </c>
      <c r="F650" s="555">
        <f>SUM($E$2:E650)/SUM($C$2:C650)</f>
        <v>-1.1518488239565651E-2</v>
      </c>
      <c r="G650" s="552">
        <f t="shared" si="16"/>
        <v>-23.951890000000066</v>
      </c>
      <c r="H650" s="584" t="s">
        <v>64</v>
      </c>
      <c r="I650" s="2"/>
      <c r="J650" s="2"/>
      <c r="K650" s="2"/>
      <c r="L650" s="2"/>
      <c r="O650" s="58"/>
      <c r="P650" s="58"/>
    </row>
    <row r="651" spans="1:16">
      <c r="A651"/>
      <c r="B651" s="477"/>
      <c r="C651" s="571">
        <v>2.2799999999999998</v>
      </c>
      <c r="D651" s="552">
        <v>1</v>
      </c>
      <c r="E651" s="552">
        <f t="shared" si="17"/>
        <v>0</v>
      </c>
      <c r="F651" s="555">
        <f>SUM($E$2:E651)/SUM($C$2:C651)</f>
        <v>-1.1505872575911149E-2</v>
      </c>
      <c r="G651" s="552">
        <f t="shared" si="16"/>
        <v>-23.951890000000066</v>
      </c>
      <c r="H651" s="584" t="s">
        <v>52</v>
      </c>
      <c r="I651" s="2"/>
      <c r="J651" s="2"/>
      <c r="K651" s="2"/>
      <c r="L651" s="2"/>
      <c r="O651" s="58"/>
      <c r="P651" s="58"/>
    </row>
    <row r="652" spans="1:16">
      <c r="A652"/>
      <c r="B652" s="477"/>
      <c r="C652" s="583">
        <v>2.2799999999999998</v>
      </c>
      <c r="D652" s="581">
        <v>1.9</v>
      </c>
      <c r="E652" s="581">
        <f t="shared" si="17"/>
        <v>2.052</v>
      </c>
      <c r="F652" s="582">
        <f>SUM($E$2:E652)/SUM($C$2:C652)</f>
        <v>-1.0508634878286365E-2</v>
      </c>
      <c r="G652" s="581">
        <f t="shared" si="16"/>
        <v>-21.899890000000067</v>
      </c>
      <c r="H652" s="373" t="s">
        <v>30</v>
      </c>
      <c r="I652" s="2"/>
      <c r="J652" s="2"/>
      <c r="K652" s="2"/>
      <c r="L652" s="2"/>
      <c r="O652" s="58"/>
      <c r="P652" s="58"/>
    </row>
    <row r="653" spans="1:16">
      <c r="A653"/>
      <c r="B653" s="477"/>
      <c r="C653" s="571">
        <v>2.2799999999999998</v>
      </c>
      <c r="D653" s="552"/>
      <c r="E653" s="552">
        <f t="shared" si="17"/>
        <v>-2.2799999999999998</v>
      </c>
      <c r="F653" s="555">
        <f>SUM($E$2:E653)/SUM($C$2:C653)</f>
        <v>-1.1590009922013927E-2</v>
      </c>
      <c r="G653" s="552">
        <f t="shared" si="16"/>
        <v>-24.179890000000068</v>
      </c>
      <c r="H653" s="584" t="s">
        <v>60</v>
      </c>
      <c r="I653" s="2"/>
      <c r="J653" s="2"/>
      <c r="K653" s="2"/>
      <c r="L653" s="2"/>
      <c r="O653" s="58"/>
      <c r="P653" s="58"/>
    </row>
    <row r="654" spans="1:16">
      <c r="A654"/>
      <c r="B654" s="477"/>
      <c r="C654" s="571">
        <v>2.2799999999999998</v>
      </c>
      <c r="D654" s="552">
        <v>1.98</v>
      </c>
      <c r="E654" s="552">
        <f t="shared" si="17"/>
        <v>2.2343999999999995</v>
      </c>
      <c r="F654" s="555">
        <f>SUM($E$2:E654)/SUM($C$2:C654)</f>
        <v>-1.050752435900505E-2</v>
      </c>
      <c r="G654" s="552">
        <f t="shared" si="16"/>
        <v>-21.945490000000067</v>
      </c>
      <c r="H654" s="584" t="s">
        <v>11</v>
      </c>
      <c r="I654" s="2"/>
      <c r="J654" s="2"/>
      <c r="K654" s="2"/>
      <c r="L654" s="2"/>
      <c r="O654" s="58"/>
      <c r="P654" s="58"/>
    </row>
    <row r="655" spans="1:16">
      <c r="A655"/>
      <c r="B655" s="477"/>
      <c r="C655" s="571">
        <v>2.2799999999999998</v>
      </c>
      <c r="D655" s="552"/>
      <c r="E655" s="552">
        <f t="shared" si="17"/>
        <v>-2.2799999999999998</v>
      </c>
      <c r="F655" s="555">
        <f>SUM($E$2:E655)/SUM($C$2:C655)</f>
        <v>-1.1586542186595749E-2</v>
      </c>
      <c r="G655" s="552">
        <f t="shared" si="16"/>
        <v>-24.225490000000068</v>
      </c>
      <c r="H655" s="584" t="s">
        <v>29</v>
      </c>
      <c r="I655" s="2"/>
      <c r="J655" s="2"/>
      <c r="K655" s="2"/>
      <c r="L655" s="2"/>
      <c r="O655" s="58"/>
      <c r="P655" s="58"/>
    </row>
    <row r="656" spans="1:16">
      <c r="A656"/>
      <c r="B656" s="477"/>
      <c r="C656" s="571">
        <v>2.2799999999999998</v>
      </c>
      <c r="D656" s="552">
        <v>2</v>
      </c>
      <c r="E656" s="552">
        <f t="shared" si="17"/>
        <v>2.2799999999999998</v>
      </c>
      <c r="F656" s="555">
        <f>SUM($E$2:E656)/SUM($C$2:C656)</f>
        <v>-1.048463291465809E-2</v>
      </c>
      <c r="G656" s="552">
        <f t="shared" si="16"/>
        <v>-21.945490000000067</v>
      </c>
      <c r="H656" s="584" t="s">
        <v>34</v>
      </c>
      <c r="I656" s="2"/>
      <c r="J656" s="2"/>
      <c r="K656" s="2"/>
      <c r="L656" s="2"/>
      <c r="O656" s="58"/>
      <c r="P656" s="58"/>
    </row>
    <row r="657" spans="1:16">
      <c r="A657"/>
      <c r="B657" s="477"/>
      <c r="C657" s="571">
        <v>2.2799999999999998</v>
      </c>
      <c r="D657" s="552"/>
      <c r="E657" s="552">
        <f t="shared" si="17"/>
        <v>-2.2799999999999998</v>
      </c>
      <c r="F657" s="555">
        <f>SUM($E$2:E657)/SUM($C$2:C657)</f>
        <v>-1.156132748557547E-2</v>
      </c>
      <c r="G657" s="552">
        <f t="shared" si="16"/>
        <v>-24.225490000000068</v>
      </c>
      <c r="H657" s="584" t="s">
        <v>13</v>
      </c>
      <c r="I657" s="2"/>
      <c r="J657" s="2"/>
      <c r="K657" s="2"/>
      <c r="L657" s="2"/>
      <c r="O657" s="58"/>
      <c r="P657" s="58"/>
    </row>
    <row r="658" spans="1:16">
      <c r="A658"/>
      <c r="B658" s="477"/>
      <c r="C658" s="583">
        <v>2.2799999999999998</v>
      </c>
      <c r="D658" s="581"/>
      <c r="E658" s="581">
        <f t="shared" si="17"/>
        <v>-2.2799999999999998</v>
      </c>
      <c r="F658" s="582">
        <f>SUM($E$2:E658)/SUM($C$2:C658)</f>
        <v>-1.2635681494229301E-2</v>
      </c>
      <c r="G658" s="581">
        <f t="shared" si="16"/>
        <v>-26.505490000000069</v>
      </c>
      <c r="H658" s="373" t="s">
        <v>27</v>
      </c>
      <c r="I658" s="2"/>
      <c r="J658" s="2"/>
      <c r="K658" s="2"/>
      <c r="L658" s="2"/>
      <c r="O658" s="58"/>
      <c r="P658" s="58"/>
    </row>
    <row r="659" spans="1:16">
      <c r="A659"/>
      <c r="B659" s="477"/>
      <c r="C659" s="571">
        <v>2.2799999999999998</v>
      </c>
      <c r="D659" s="552"/>
      <c r="E659" s="552">
        <f t="shared" si="17"/>
        <v>-2.2799999999999998</v>
      </c>
      <c r="F659" s="555">
        <f>SUM($E$2:E659)/SUM($C$2:C659)</f>
        <v>-1.3707702564346754E-2</v>
      </c>
      <c r="G659" s="552">
        <f t="shared" si="16"/>
        <v>-28.78549000000007</v>
      </c>
      <c r="H659" s="584" t="s">
        <v>258</v>
      </c>
      <c r="I659" s="2"/>
      <c r="J659" s="2"/>
      <c r="K659" s="2"/>
      <c r="L659" s="2"/>
      <c r="O659" s="58"/>
      <c r="P659" s="58"/>
    </row>
    <row r="660" spans="1:16">
      <c r="A660"/>
      <c r="B660" s="477"/>
      <c r="C660" s="571">
        <v>2.2799999999999998</v>
      </c>
      <c r="D660" s="552"/>
      <c r="E660" s="552">
        <f t="shared" si="17"/>
        <v>-2.2799999999999998</v>
      </c>
      <c r="F660" s="555">
        <f>SUM($E$2:E660)/SUM($C$2:C660)</f>
        <v>-1.4777398286581372E-2</v>
      </c>
      <c r="G660" s="552">
        <f t="shared" si="16"/>
        <v>-31.065490000000072</v>
      </c>
      <c r="H660" s="584" t="s">
        <v>259</v>
      </c>
      <c r="I660" s="2"/>
      <c r="J660" s="2"/>
      <c r="K660" s="2"/>
      <c r="L660" s="2"/>
      <c r="O660" s="58"/>
      <c r="P660" s="58"/>
    </row>
    <row r="661" spans="1:16">
      <c r="A661"/>
      <c r="B661" s="477"/>
      <c r="C661" s="571">
        <v>2.2799999999999998</v>
      </c>
      <c r="D661" s="552"/>
      <c r="E661" s="552">
        <f t="shared" si="17"/>
        <v>-2.2799999999999998</v>
      </c>
      <c r="F661" s="555">
        <f>SUM($E$2:E661)/SUM($C$2:C661)</f>
        <v>-1.5844776218692212E-2</v>
      </c>
      <c r="G661" s="552">
        <f t="shared" si="16"/>
        <v>-33.345490000000069</v>
      </c>
      <c r="H661" s="584" t="s">
        <v>260</v>
      </c>
      <c r="I661" s="2"/>
      <c r="J661" s="2"/>
      <c r="K661" s="2"/>
      <c r="L661" s="2"/>
      <c r="O661" s="58"/>
      <c r="P661" s="58"/>
    </row>
    <row r="662" spans="1:16">
      <c r="A662"/>
      <c r="B662" s="477"/>
      <c r="C662" s="571">
        <v>2.2799999999999998</v>
      </c>
      <c r="D662" s="552"/>
      <c r="E662" s="552">
        <f t="shared" si="17"/>
        <v>-2.2799999999999998</v>
      </c>
      <c r="F662" s="555">
        <f>SUM($E$2:E662)/SUM($C$2:C662)</f>
        <v>-1.6909843885721847E-2</v>
      </c>
      <c r="G662" s="552">
        <f t="shared" si="16"/>
        <v>-35.62549000000007</v>
      </c>
      <c r="H662" s="584" t="s">
        <v>42</v>
      </c>
      <c r="I662" s="2"/>
      <c r="J662" s="2"/>
      <c r="K662" s="2"/>
      <c r="L662" s="2"/>
      <c r="O662" s="58"/>
      <c r="P662" s="58"/>
    </row>
    <row r="663" spans="1:16">
      <c r="A663"/>
      <c r="B663" s="477"/>
      <c r="C663" s="583">
        <v>2.2799999999999998</v>
      </c>
      <c r="D663" s="581"/>
      <c r="E663" s="581">
        <f t="shared" si="17"/>
        <v>-2.2799999999999998</v>
      </c>
      <c r="F663" s="582">
        <f>SUM($E$2:E663)/SUM($C$2:C663)</f>
        <v>-1.7972608780173215E-2</v>
      </c>
      <c r="G663" s="581">
        <f t="shared" si="16"/>
        <v>-37.905490000000071</v>
      </c>
      <c r="H663" s="373" t="s">
        <v>136</v>
      </c>
      <c r="I663" s="2">
        <f>SUM(E646:E663)</f>
        <v>-20.998799999999999</v>
      </c>
      <c r="L663" s="2">
        <f>I663/C663</f>
        <v>-9.2100000000000009</v>
      </c>
      <c r="O663" s="58"/>
      <c r="P663" s="58"/>
    </row>
    <row r="664" spans="1:16">
      <c r="A664"/>
      <c r="B664" s="476">
        <v>46025</v>
      </c>
      <c r="C664" s="571">
        <v>2.76</v>
      </c>
      <c r="D664" s="552">
        <v>1.93</v>
      </c>
      <c r="E664" s="552">
        <f t="shared" si="17"/>
        <v>2.5667999999999997</v>
      </c>
      <c r="F664" s="555">
        <f>SUM($E$2:E664)/SUM($C$2:C664)</f>
        <v>-1.6733681214870479E-2</v>
      </c>
      <c r="G664" s="552">
        <f t="shared" si="16"/>
        <v>-35.338690000000071</v>
      </c>
      <c r="H664" s="584" t="s">
        <v>104</v>
      </c>
      <c r="I664" s="2"/>
      <c r="J664" s="2"/>
      <c r="K664" s="2"/>
      <c r="L664" s="2"/>
      <c r="O664" s="58"/>
      <c r="P664" s="58"/>
    </row>
    <row r="665" spans="1:16">
      <c r="A665"/>
      <c r="B665" s="477"/>
      <c r="C665" s="571">
        <v>2.76</v>
      </c>
      <c r="D665" s="552">
        <v>1.9</v>
      </c>
      <c r="E665" s="552">
        <f t="shared" si="17"/>
        <v>2.484</v>
      </c>
      <c r="F665" s="555">
        <f>SUM($E$2:E665)/SUM($C$2:C665)</f>
        <v>-1.5537144316392271E-2</v>
      </c>
      <c r="G665" s="552">
        <f t="shared" si="16"/>
        <v>-32.854690000000069</v>
      </c>
      <c r="H665" s="584" t="s">
        <v>51</v>
      </c>
      <c r="I665" s="2"/>
      <c r="J665" s="2"/>
      <c r="K665" s="2"/>
      <c r="L665" s="2"/>
      <c r="O665" s="58"/>
      <c r="P665" s="58"/>
    </row>
    <row r="666" spans="1:16">
      <c r="A666"/>
      <c r="B666" s="477"/>
      <c r="C666" s="571">
        <v>2.76</v>
      </c>
      <c r="D666" s="552">
        <v>1.92</v>
      </c>
      <c r="E666" s="552">
        <f t="shared" si="17"/>
        <v>2.5391999999999992</v>
      </c>
      <c r="F666" s="555">
        <f>SUM($E$2:E666)/SUM($C$2:C666)</f>
        <v>-1.4317656504592977E-2</v>
      </c>
      <c r="G666" s="552">
        <f t="shared" si="16"/>
        <v>-30.315490000000068</v>
      </c>
      <c r="H666" s="584" t="s">
        <v>52</v>
      </c>
      <c r="I666" s="2"/>
      <c r="J666" s="2"/>
      <c r="K666" s="2"/>
      <c r="L666" s="2"/>
      <c r="O666" s="58"/>
      <c r="P666" s="58"/>
    </row>
    <row r="667" spans="1:16">
      <c r="A667"/>
      <c r="B667" s="477"/>
      <c r="C667" s="583">
        <v>2.76</v>
      </c>
      <c r="D667" s="581"/>
      <c r="E667" s="581">
        <f t="shared" si="17"/>
        <v>-2.76</v>
      </c>
      <c r="F667" s="582">
        <f>SUM($E$2:E667)/SUM($C$2:C667)</f>
        <v>-1.560083674903657E-2</v>
      </c>
      <c r="G667" s="581">
        <f t="shared" si="16"/>
        <v>-33.075490000000066</v>
      </c>
      <c r="H667" s="373" t="s">
        <v>47</v>
      </c>
      <c r="I667" s="2"/>
      <c r="J667" s="2"/>
      <c r="K667" s="2"/>
      <c r="L667" s="2"/>
      <c r="O667" s="58"/>
      <c r="P667" s="58"/>
    </row>
    <row r="668" spans="1:16">
      <c r="A668"/>
      <c r="B668" s="477"/>
      <c r="C668" s="571">
        <v>2.76</v>
      </c>
      <c r="D668" s="552"/>
      <c r="E668" s="552">
        <f t="shared" si="17"/>
        <v>-2.76</v>
      </c>
      <c r="F668" s="555">
        <f>SUM($E$2:E668)/SUM($C$2:C668)</f>
        <v>-1.6880680399647602E-2</v>
      </c>
      <c r="G668" s="552">
        <f t="shared" si="16"/>
        <v>-35.835490000000064</v>
      </c>
      <c r="H668" s="584" t="s">
        <v>16</v>
      </c>
      <c r="I668" s="2"/>
      <c r="J668" s="2"/>
      <c r="K668" s="2"/>
      <c r="L668" s="2"/>
      <c r="O668" s="58"/>
      <c r="P668" s="58"/>
    </row>
    <row r="669" spans="1:16">
      <c r="A669"/>
      <c r="B669" s="477"/>
      <c r="C669" s="571">
        <v>2.76</v>
      </c>
      <c r="D669" s="552">
        <v>1</v>
      </c>
      <c r="E669" s="552">
        <f t="shared" si="17"/>
        <v>0</v>
      </c>
      <c r="F669" s="555">
        <f>SUM($E$2:E669)/SUM($C$2:C669)</f>
        <v>-1.6858761872950562E-2</v>
      </c>
      <c r="G669" s="552">
        <f t="shared" si="16"/>
        <v>-35.835490000000064</v>
      </c>
      <c r="H669" s="584" t="s">
        <v>29</v>
      </c>
      <c r="I669" s="2"/>
      <c r="J669" s="2"/>
      <c r="K669" s="2"/>
      <c r="L669" s="2"/>
      <c r="O669" s="58"/>
      <c r="P669" s="58"/>
    </row>
    <row r="670" spans="1:16">
      <c r="A670"/>
      <c r="B670" s="477"/>
      <c r="C670" s="571">
        <v>2.76</v>
      </c>
      <c r="D670" s="552"/>
      <c r="E670" s="552">
        <f t="shared" si="17"/>
        <v>-2.76</v>
      </c>
      <c r="F670" s="555">
        <f>SUM($E$2:E670)/SUM($C$2:C670)</f>
        <v>-1.8133655016232871E-2</v>
      </c>
      <c r="G670" s="552">
        <f t="shared" si="16"/>
        <v>-38.595490000000062</v>
      </c>
      <c r="H670" s="584" t="s">
        <v>12</v>
      </c>
      <c r="I670" s="2"/>
      <c r="J670" s="2"/>
      <c r="K670" s="2"/>
      <c r="L670" s="2"/>
      <c r="O670" s="58"/>
      <c r="P670" s="58"/>
    </row>
    <row r="671" spans="1:16">
      <c r="A671"/>
      <c r="B671" s="477"/>
      <c r="C671" s="571">
        <v>2.76</v>
      </c>
      <c r="D671" s="552"/>
      <c r="E671" s="552">
        <f t="shared" si="17"/>
        <v>-2.76</v>
      </c>
      <c r="F671" s="555">
        <f>SUM($E$2:E671)/SUM($C$2:C671)</f>
        <v>-1.9405245993946867E-2</v>
      </c>
      <c r="G671" s="552">
        <f t="shared" si="16"/>
        <v>-41.35549000000006</v>
      </c>
      <c r="H671" s="584" t="s">
        <v>17</v>
      </c>
      <c r="I671" s="2"/>
      <c r="J671" s="2"/>
      <c r="K671" s="2"/>
      <c r="L671" s="2"/>
      <c r="O671" s="58"/>
      <c r="P671" s="58"/>
    </row>
    <row r="672" spans="1:16">
      <c r="A672"/>
      <c r="B672" s="477"/>
      <c r="C672" s="571">
        <v>2.76</v>
      </c>
      <c r="D672" s="552"/>
      <c r="E672" s="552">
        <f t="shared" si="17"/>
        <v>-2.76</v>
      </c>
      <c r="F672" s="555">
        <f>SUM($E$2:E672)/SUM($C$2:C672)</f>
        <v>-2.0673547619159124E-2</v>
      </c>
      <c r="G672" s="552">
        <f t="shared" si="16"/>
        <v>-44.115490000000058</v>
      </c>
      <c r="H672" s="584" t="s">
        <v>27</v>
      </c>
      <c r="I672" s="2"/>
      <c r="J672" s="2"/>
      <c r="K672" s="2"/>
      <c r="L672" s="2"/>
      <c r="O672" s="58"/>
      <c r="P672" s="58"/>
    </row>
    <row r="673" spans="1:16">
      <c r="A673"/>
      <c r="B673" s="477"/>
      <c r="C673" s="583">
        <v>2.76</v>
      </c>
      <c r="D673" s="581">
        <v>1.9768339768339769</v>
      </c>
      <c r="E673" s="581">
        <f t="shared" si="17"/>
        <v>2.696061776061776</v>
      </c>
      <c r="F673" s="582">
        <f>SUM($E$2:E673)/SUM($C$2:C673)</f>
        <v>-1.9385037569647198E-2</v>
      </c>
      <c r="G673" s="581">
        <f t="shared" si="16"/>
        <v>-41.419428223938283</v>
      </c>
      <c r="H673" s="373" t="s">
        <v>18</v>
      </c>
      <c r="I673" s="2"/>
      <c r="J673" s="2"/>
      <c r="K673" s="2"/>
      <c r="L673" s="2"/>
      <c r="O673" s="58"/>
      <c r="P673" s="58"/>
    </row>
    <row r="674" spans="1:16">
      <c r="A674"/>
      <c r="B674" s="477"/>
      <c r="C674" s="571">
        <v>2.76</v>
      </c>
      <c r="D674" s="552">
        <v>1.9650000000000001</v>
      </c>
      <c r="E674" s="552">
        <f t="shared" si="17"/>
        <v>2.6634000000000002</v>
      </c>
      <c r="F674" s="555">
        <f>SUM($E$2:E674)/SUM($C$2:C674)</f>
        <v>-1.811511861754677E-2</v>
      </c>
      <c r="G674" s="552">
        <f t="shared" si="16"/>
        <v>-38.75602822393828</v>
      </c>
      <c r="H674" s="584" t="s">
        <v>261</v>
      </c>
      <c r="I674" s="2"/>
      <c r="J674" s="2"/>
      <c r="K674" s="2"/>
      <c r="L674" s="2"/>
      <c r="O674" s="58"/>
      <c r="P674" s="58"/>
    </row>
    <row r="675" spans="1:16">
      <c r="A675"/>
      <c r="B675" s="477"/>
      <c r="C675" s="571">
        <v>2.76</v>
      </c>
      <c r="D675" s="552">
        <v>1.99</v>
      </c>
      <c r="E675" s="552">
        <f t="shared" si="17"/>
        <v>2.7324000000000002</v>
      </c>
      <c r="F675" s="555">
        <f>SUM($E$2:E675)/SUM($C$2:C675)</f>
        <v>-1.681626196739696E-2</v>
      </c>
      <c r="G675" s="552">
        <f t="shared" si="16"/>
        <v>-36.023628223938282</v>
      </c>
      <c r="H675" s="584" t="s">
        <v>196</v>
      </c>
      <c r="I675" s="2"/>
      <c r="J675" s="2"/>
      <c r="K675" s="2"/>
      <c r="L675" s="2"/>
      <c r="O675" s="58"/>
      <c r="P675" s="58"/>
    </row>
    <row r="676" spans="1:16">
      <c r="A676"/>
      <c r="B676" s="477"/>
      <c r="C676" s="571">
        <v>2.76</v>
      </c>
      <c r="D676" s="552"/>
      <c r="E676" s="552">
        <f t="shared" si="17"/>
        <v>-2.76</v>
      </c>
      <c r="F676" s="555">
        <f>SUM($E$2:E676)/SUM($C$2:C676)</f>
        <v>-1.8081367036032577E-2</v>
      </c>
      <c r="G676" s="552">
        <f t="shared" si="16"/>
        <v>-38.78362822393828</v>
      </c>
      <c r="H676" s="584" t="s">
        <v>262</v>
      </c>
      <c r="I676" s="2"/>
      <c r="J676" s="2"/>
      <c r="K676" s="2"/>
      <c r="L676" s="2"/>
      <c r="O676" s="58"/>
      <c r="P676" s="58"/>
    </row>
    <row r="677" spans="1:16">
      <c r="A677"/>
      <c r="B677" s="477"/>
      <c r="C677" s="583">
        <v>2.76</v>
      </c>
      <c r="D677" s="581"/>
      <c r="E677" s="581">
        <f t="shared" si="17"/>
        <v>-2.76</v>
      </c>
      <c r="F677" s="582">
        <f>SUM($E$2:E677)/SUM($C$2:C677)</f>
        <v>-1.9343220557681465E-2</v>
      </c>
      <c r="G677" s="581">
        <f t="shared" si="16"/>
        <v>-41.543628223938278</v>
      </c>
      <c r="H677" s="373" t="s">
        <v>263</v>
      </c>
      <c r="I677" s="2">
        <f>SUM(E664:E677)</f>
        <v>-3.6381382239382232</v>
      </c>
      <c r="L677" s="2">
        <f>I677/C677</f>
        <v>-1.318166023166023</v>
      </c>
      <c r="O677" s="58"/>
      <c r="P677" s="58"/>
    </row>
    <row r="678" spans="1:16">
      <c r="A678"/>
      <c r="B678" s="476">
        <v>46026</v>
      </c>
      <c r="C678" s="571">
        <v>2.74</v>
      </c>
      <c r="D678" s="552"/>
      <c r="E678" s="552">
        <f t="shared" si="17"/>
        <v>-2.74</v>
      </c>
      <c r="F678" s="555">
        <f>SUM($E$2:E678)/SUM($C$2:C678)</f>
        <v>-2.059272627772701E-2</v>
      </c>
      <c r="G678" s="552">
        <f t="shared" si="16"/>
        <v>-44.28362822393828</v>
      </c>
      <c r="H678" s="584" t="s">
        <v>97</v>
      </c>
      <c r="I678" s="2"/>
      <c r="J678" s="2"/>
      <c r="K678" s="2"/>
      <c r="L678" s="2"/>
      <c r="O678" s="58"/>
      <c r="P678" s="58"/>
    </row>
    <row r="679" spans="1:16">
      <c r="A679"/>
      <c r="B679" s="477"/>
      <c r="C679" s="571">
        <v>2.74</v>
      </c>
      <c r="D679" s="552">
        <v>2</v>
      </c>
      <c r="E679" s="552">
        <f t="shared" si="17"/>
        <v>2.74</v>
      </c>
      <c r="F679" s="555">
        <f>SUM($E$2:E679)/SUM($C$2:C679)</f>
        <v>-1.9293990880478763E-2</v>
      </c>
      <c r="G679" s="552">
        <f t="shared" si="16"/>
        <v>-41.543628223938278</v>
      </c>
      <c r="H679" s="584" t="s">
        <v>60</v>
      </c>
      <c r="I679" s="2"/>
      <c r="J679" s="2"/>
      <c r="K679" s="2"/>
      <c r="L679" s="2"/>
      <c r="O679" s="58"/>
      <c r="P679" s="58"/>
    </row>
    <row r="680" spans="1:16">
      <c r="A680"/>
      <c r="B680" s="477"/>
      <c r="C680" s="571">
        <v>2.74</v>
      </c>
      <c r="D680" s="552">
        <v>1.9</v>
      </c>
      <c r="E680" s="552">
        <f t="shared" si="17"/>
        <v>2.4660000000000002</v>
      </c>
      <c r="F680" s="555">
        <f>SUM($E$2:E680)/SUM($C$2:C680)</f>
        <v>-1.8125647968133513E-2</v>
      </c>
      <c r="G680" s="552">
        <f t="shared" si="16"/>
        <v>-39.077628223938277</v>
      </c>
      <c r="H680" s="584" t="s">
        <v>59</v>
      </c>
      <c r="I680" s="2"/>
      <c r="J680" s="2"/>
      <c r="K680" s="2"/>
      <c r="L680" s="2"/>
      <c r="O680" s="58"/>
      <c r="P680" s="58"/>
    </row>
    <row r="681" spans="1:16">
      <c r="A681"/>
      <c r="B681" s="477"/>
      <c r="C681" s="583">
        <v>2.74</v>
      </c>
      <c r="D681" s="581"/>
      <c r="E681" s="581">
        <f t="shared" si="17"/>
        <v>-2.74</v>
      </c>
      <c r="F681" s="582">
        <f>SUM($E$2:E681)/SUM($C$2:C681)</f>
        <v>-1.9371941160037466E-2</v>
      </c>
      <c r="G681" s="581">
        <f t="shared" si="16"/>
        <v>-41.817628223938279</v>
      </c>
      <c r="H681" s="373" t="s">
        <v>34</v>
      </c>
      <c r="I681" s="2"/>
      <c r="J681" s="2"/>
      <c r="K681" s="2"/>
      <c r="L681" s="2"/>
      <c r="O681" s="58"/>
      <c r="P681" s="58"/>
    </row>
    <row r="682" spans="1:16">
      <c r="A682"/>
      <c r="B682" s="477"/>
      <c r="C682" s="571">
        <v>2.74</v>
      </c>
      <c r="D682" s="552">
        <v>2.1</v>
      </c>
      <c r="E682" s="552">
        <f t="shared" si="17"/>
        <v>3.0140000000000002</v>
      </c>
      <c r="F682" s="555">
        <f>SUM($E$2:E682)/SUM($C$2:C682)</f>
        <v>-1.7952923426808466E-2</v>
      </c>
      <c r="G682" s="552">
        <f t="shared" si="16"/>
        <v>-38.803628223938276</v>
      </c>
      <c r="H682" s="584" t="s">
        <v>64</v>
      </c>
      <c r="I682" s="2"/>
      <c r="J682" s="2"/>
      <c r="K682" s="2"/>
      <c r="L682" s="2"/>
      <c r="O682" s="58"/>
      <c r="P682" s="58"/>
    </row>
    <row r="683" spans="1:16">
      <c r="A683"/>
      <c r="B683" s="477"/>
      <c r="C683" s="571">
        <v>2.74</v>
      </c>
      <c r="D683" s="552"/>
      <c r="E683" s="552">
        <f t="shared" si="17"/>
        <v>-2.74</v>
      </c>
      <c r="F683" s="555">
        <f>SUM($E$2:E683)/SUM($C$2:C683)</f>
        <v>-1.9196279474129836E-2</v>
      </c>
      <c r="G683" s="552">
        <f t="shared" si="16"/>
        <v>-41.543628223938278</v>
      </c>
      <c r="H683" s="584" t="s">
        <v>16</v>
      </c>
      <c r="I683" s="2"/>
      <c r="J683" s="2"/>
      <c r="K683" s="2"/>
      <c r="L683" s="2"/>
      <c r="O683" s="58"/>
      <c r="P683" s="58"/>
    </row>
    <row r="684" spans="1:16">
      <c r="A684"/>
      <c r="B684" s="477"/>
      <c r="C684" s="571">
        <v>2.74</v>
      </c>
      <c r="D684" s="552">
        <v>1.99</v>
      </c>
      <c r="E684" s="552">
        <f t="shared" si="17"/>
        <v>2.7126000000000001</v>
      </c>
      <c r="F684" s="555">
        <f>SUM($E$2:E684)/SUM($C$2:C684)</f>
        <v>-1.7920165870873972E-2</v>
      </c>
      <c r="G684" s="552">
        <f t="shared" ref="G684:G747" si="18">G683+E684</f>
        <v>-38.831028223938276</v>
      </c>
      <c r="H684" s="584" t="s">
        <v>11</v>
      </c>
      <c r="I684" s="2"/>
      <c r="J684" s="2"/>
      <c r="K684" s="2"/>
      <c r="L684" s="2"/>
      <c r="O684" s="58"/>
      <c r="P684" s="58"/>
    </row>
    <row r="685" spans="1:16">
      <c r="A685"/>
      <c r="B685" s="477"/>
      <c r="C685" s="571">
        <v>2.74</v>
      </c>
      <c r="D685" s="590"/>
      <c r="E685" s="552">
        <f t="shared" si="17"/>
        <v>-2.74</v>
      </c>
      <c r="F685" s="555">
        <f>SUM($E$2:E685)/SUM($C$2:C685)</f>
        <v>-1.9160422848106862E-2</v>
      </c>
      <c r="G685" s="552">
        <f t="shared" si="18"/>
        <v>-41.571028223938278</v>
      </c>
      <c r="H685" s="584" t="s">
        <v>36</v>
      </c>
      <c r="I685" s="2"/>
      <c r="J685" s="2"/>
      <c r="K685" s="2"/>
      <c r="L685" s="2"/>
      <c r="O685" s="58"/>
      <c r="P685" s="58"/>
    </row>
    <row r="686" spans="1:16">
      <c r="A686"/>
      <c r="B686" s="477"/>
      <c r="C686" s="583">
        <v>2.74</v>
      </c>
      <c r="D686" s="581"/>
      <c r="E686" s="581">
        <f t="shared" si="17"/>
        <v>-2.74</v>
      </c>
      <c r="F686" s="582">
        <f>SUM($E$2:E686)/SUM($C$2:C686)</f>
        <v>-2.0397551164828314E-2</v>
      </c>
      <c r="G686" s="581">
        <f t="shared" si="18"/>
        <v>-44.31102822393828</v>
      </c>
      <c r="H686" s="373" t="s">
        <v>38</v>
      </c>
      <c r="I686" s="2"/>
      <c r="J686" s="2"/>
      <c r="K686" s="2"/>
      <c r="L686" s="2"/>
      <c r="O686" s="58"/>
      <c r="P686" s="58"/>
    </row>
    <row r="687" spans="1:16">
      <c r="A687"/>
      <c r="B687" s="477"/>
      <c r="C687" s="571">
        <v>2.74</v>
      </c>
      <c r="D687" s="552"/>
      <c r="E687" s="552">
        <f t="shared" ref="E687:E750" si="19">(C687*D687)-C687</f>
        <v>-2.74</v>
      </c>
      <c r="F687" s="555">
        <f>SUM($E$2:E687)/SUM($C$2:C687)</f>
        <v>-2.1631562644619389E-2</v>
      </c>
      <c r="G687" s="552">
        <f t="shared" si="18"/>
        <v>-47.051028223938282</v>
      </c>
      <c r="H687" s="584" t="s">
        <v>264</v>
      </c>
      <c r="I687" s="2"/>
      <c r="J687" s="2"/>
      <c r="K687" s="2"/>
      <c r="L687" s="2"/>
      <c r="O687" s="58"/>
      <c r="P687" s="58"/>
    </row>
    <row r="688" spans="1:16">
      <c r="A688"/>
      <c r="B688" s="477"/>
      <c r="C688" s="571">
        <v>2.74</v>
      </c>
      <c r="D688" s="552">
        <v>1.99</v>
      </c>
      <c r="E688" s="552">
        <f t="shared" si="19"/>
        <v>2.7126000000000001</v>
      </c>
      <c r="F688" s="555">
        <f>SUM($E$2:E688)/SUM($C$2:C688)</f>
        <v>-2.0358807183202744E-2</v>
      </c>
      <c r="G688" s="552">
        <f t="shared" si="18"/>
        <v>-44.33842822393828</v>
      </c>
      <c r="H688" s="584" t="s">
        <v>265</v>
      </c>
      <c r="I688" s="2"/>
      <c r="J688" s="2"/>
      <c r="K688" s="2"/>
      <c r="L688" s="2"/>
      <c r="O688" s="58"/>
      <c r="P688" s="58"/>
    </row>
    <row r="689" spans="1:16">
      <c r="A689"/>
      <c r="B689" s="477"/>
      <c r="C689" s="571">
        <v>2.74</v>
      </c>
      <c r="D689" s="552">
        <v>1.98</v>
      </c>
      <c r="E689" s="552">
        <f t="shared" si="19"/>
        <v>2.6852</v>
      </c>
      <c r="F689" s="555">
        <f>SUM($E$2:E689)/SUM($C$2:C689)</f>
        <v>-1.9101815666373829E-2</v>
      </c>
      <c r="G689" s="552">
        <f t="shared" si="18"/>
        <v>-41.653228223938278</v>
      </c>
      <c r="H689" s="584" t="s">
        <v>266</v>
      </c>
      <c r="I689" s="2"/>
      <c r="J689" s="2"/>
      <c r="K689" s="2"/>
      <c r="L689" s="2"/>
      <c r="O689" s="58"/>
      <c r="P689" s="58"/>
    </row>
    <row r="690" spans="1:16">
      <c r="A690"/>
      <c r="B690" s="477"/>
      <c r="C690" s="571">
        <v>2.74</v>
      </c>
      <c r="D690" s="552">
        <v>1.97</v>
      </c>
      <c r="E690" s="552">
        <f t="shared" si="19"/>
        <v>2.6577999999999999</v>
      </c>
      <c r="F690" s="555">
        <f>SUM($E$2:E690)/SUM($C$2:C690)</f>
        <v>-1.7860528744595698E-2</v>
      </c>
      <c r="G690" s="552">
        <f t="shared" si="18"/>
        <v>-38.995428223938276</v>
      </c>
      <c r="H690" s="584" t="s">
        <v>267</v>
      </c>
      <c r="I690" s="2"/>
      <c r="J690" s="2"/>
      <c r="K690" s="2"/>
      <c r="L690" s="2"/>
      <c r="O690" s="58"/>
      <c r="P690" s="58"/>
    </row>
    <row r="691" spans="1:16">
      <c r="A691"/>
      <c r="B691" s="477"/>
      <c r="C691" s="583">
        <v>2.74</v>
      </c>
      <c r="D691" s="581"/>
      <c r="E691" s="581">
        <f t="shared" si="19"/>
        <v>-2.74</v>
      </c>
      <c r="F691" s="582">
        <f>SUM($E$2:E691)/SUM($C$2:C691)</f>
        <v>-1.909153331043293E-2</v>
      </c>
      <c r="G691" s="581">
        <f t="shared" si="18"/>
        <v>-41.735428223938278</v>
      </c>
      <c r="H691" s="373" t="s">
        <v>268</v>
      </c>
      <c r="I691" s="444">
        <f>SUM(E678:E691)</f>
        <v>-0.19180000000000064</v>
      </c>
      <c r="J691" s="444">
        <f>SUM(E595:E691)</f>
        <v>18.901421776061795</v>
      </c>
      <c r="L691" s="2">
        <f>I691/C691</f>
        <v>-7.0000000000000229E-2</v>
      </c>
      <c r="O691" s="58"/>
      <c r="P691" s="58"/>
    </row>
    <row r="692" spans="1:16">
      <c r="A692"/>
      <c r="B692" s="476">
        <v>46027</v>
      </c>
      <c r="C692" s="571">
        <v>2.74</v>
      </c>
      <c r="D692" s="552"/>
      <c r="E692" s="552">
        <f t="shared" si="19"/>
        <v>-2.74</v>
      </c>
      <c r="F692" s="555">
        <f>SUM($E$2:E692)/SUM($C$2:C692)</f>
        <v>-2.0319455879650641E-2</v>
      </c>
      <c r="G692" s="552">
        <f t="shared" si="18"/>
        <v>-44.47542822393828</v>
      </c>
      <c r="H692" s="584" t="s">
        <v>29</v>
      </c>
      <c r="I692" s="2"/>
      <c r="J692" s="2"/>
      <c r="K692" s="2"/>
      <c r="L692" s="2"/>
      <c r="O692" s="58"/>
      <c r="P692" s="58"/>
    </row>
    <row r="693" spans="1:16">
      <c r="A693"/>
      <c r="B693" s="477"/>
      <c r="C693" s="571">
        <v>2.74</v>
      </c>
      <c r="D693" s="552"/>
      <c r="E693" s="552">
        <f t="shared" si="19"/>
        <v>-2.74</v>
      </c>
      <c r="F693" s="555">
        <f>SUM($E$2:E693)/SUM($C$2:C693)</f>
        <v>-2.1544308012109287E-2</v>
      </c>
      <c r="G693" s="552">
        <f t="shared" si="18"/>
        <v>-47.215428223938282</v>
      </c>
      <c r="H693" s="584" t="s">
        <v>36</v>
      </c>
      <c r="I693" s="2"/>
      <c r="J693" s="2"/>
      <c r="K693" s="2"/>
      <c r="L693" s="2"/>
      <c r="O693" s="58"/>
      <c r="P693" s="58"/>
    </row>
    <row r="694" spans="1:16">
      <c r="A694"/>
      <c r="B694" s="477"/>
      <c r="C694" s="583">
        <v>2.74</v>
      </c>
      <c r="D694" s="581">
        <v>1.9</v>
      </c>
      <c r="E694" s="581">
        <f t="shared" si="19"/>
        <v>2.4660000000000002</v>
      </c>
      <c r="F694" s="582">
        <f>SUM($E$2:E694)/SUM($C$2:C694)</f>
        <v>-2.0393579802094584E-2</v>
      </c>
      <c r="G694" s="581">
        <f t="shared" si="18"/>
        <v>-44.749428223938281</v>
      </c>
      <c r="H694" s="373" t="s">
        <v>15</v>
      </c>
      <c r="I694" s="2"/>
      <c r="J694" s="2"/>
      <c r="K694" s="2"/>
      <c r="L694" s="2"/>
      <c r="O694" s="58"/>
      <c r="P694" s="58"/>
    </row>
    <row r="695" spans="1:16">
      <c r="A695"/>
      <c r="B695" s="477"/>
      <c r="C695" s="571">
        <v>2.74</v>
      </c>
      <c r="D695" s="552">
        <v>2.23</v>
      </c>
      <c r="E695" s="552">
        <f t="shared" si="19"/>
        <v>3.3702000000000005</v>
      </c>
      <c r="F695" s="555">
        <f>SUM($E$2:E695)/SUM($C$2:C695)</f>
        <v>-1.883416622619543E-2</v>
      </c>
      <c r="G695" s="552">
        <f t="shared" si="18"/>
        <v>-41.379228223938284</v>
      </c>
      <c r="H695" s="584" t="s">
        <v>18</v>
      </c>
      <c r="I695" s="2"/>
      <c r="J695" s="2"/>
      <c r="K695" s="2"/>
      <c r="L695" s="2"/>
      <c r="O695" s="58"/>
      <c r="P695" s="58"/>
    </row>
    <row r="696" spans="1:16">
      <c r="A696"/>
      <c r="B696" s="477"/>
      <c r="C696" s="583">
        <v>2.74</v>
      </c>
      <c r="D696" s="581"/>
      <c r="E696" s="581">
        <f t="shared" si="19"/>
        <v>-2.74</v>
      </c>
      <c r="F696" s="582">
        <f>SUM($E$2:E696)/SUM($C$2:C696)</f>
        <v>-2.0056291441349842E-2</v>
      </c>
      <c r="G696" s="581">
        <f t="shared" si="18"/>
        <v>-44.119228223938286</v>
      </c>
      <c r="H696" s="373" t="s">
        <v>47</v>
      </c>
      <c r="I696" s="2"/>
      <c r="J696" s="2"/>
      <c r="K696" s="2"/>
      <c r="L696" s="2"/>
      <c r="O696" s="58"/>
      <c r="P696" s="58"/>
    </row>
    <row r="697" spans="1:16">
      <c r="A697"/>
      <c r="B697" s="477"/>
      <c r="C697" s="571">
        <v>2.74</v>
      </c>
      <c r="D697" s="552"/>
      <c r="E697" s="552">
        <f t="shared" si="19"/>
        <v>-2.74</v>
      </c>
      <c r="F697" s="555">
        <f>SUM($E$2:E697)/SUM($C$2:C697)</f>
        <v>-2.1275375922896213E-2</v>
      </c>
      <c r="G697" s="552">
        <f t="shared" si="18"/>
        <v>-46.859228223938288</v>
      </c>
      <c r="H697" s="584" t="s">
        <v>269</v>
      </c>
      <c r="I697" s="2"/>
      <c r="J697" s="2"/>
      <c r="K697" s="2"/>
      <c r="L697" s="2"/>
      <c r="O697" s="58"/>
      <c r="P697" s="58"/>
    </row>
    <row r="698" spans="1:16">
      <c r="A698"/>
      <c r="B698" s="477"/>
      <c r="C698" s="571">
        <v>2.74</v>
      </c>
      <c r="D698" s="552"/>
      <c r="E698" s="552">
        <f t="shared" si="19"/>
        <v>-2.74</v>
      </c>
      <c r="F698" s="555">
        <f>SUM($E$2:E698)/SUM($C$2:C698)</f>
        <v>-2.249143100507341E-2</v>
      </c>
      <c r="G698" s="552">
        <f t="shared" si="18"/>
        <v>-49.59922822393829</v>
      </c>
      <c r="H698" s="584" t="s">
        <v>153</v>
      </c>
      <c r="I698" s="2"/>
      <c r="J698" s="2"/>
      <c r="K698" s="2"/>
      <c r="L698" s="2"/>
      <c r="O698" s="58"/>
      <c r="P698" s="58"/>
    </row>
    <row r="699" spans="1:16">
      <c r="A699"/>
      <c r="B699" s="477"/>
      <c r="C699" s="571">
        <v>2.74</v>
      </c>
      <c r="D699" s="552"/>
      <c r="E699" s="552">
        <f t="shared" si="19"/>
        <v>-2.74</v>
      </c>
      <c r="F699" s="555">
        <f>SUM($E$2:E699)/SUM($C$2:C699)</f>
        <v>-2.3704467965859507E-2</v>
      </c>
      <c r="G699" s="552">
        <f t="shared" si="18"/>
        <v>-52.339228223938292</v>
      </c>
      <c r="H699" s="584" t="s">
        <v>270</v>
      </c>
      <c r="I699" s="2"/>
      <c r="J699" s="2"/>
      <c r="K699" s="2"/>
      <c r="L699" s="2"/>
      <c r="O699" s="58"/>
      <c r="P699" s="58"/>
    </row>
    <row r="700" spans="1:16">
      <c r="A700"/>
      <c r="B700" s="477"/>
      <c r="C700" s="571">
        <v>2.74</v>
      </c>
      <c r="D700" s="552">
        <v>1.98</v>
      </c>
      <c r="E700" s="552">
        <f t="shared" si="19"/>
        <v>2.6852</v>
      </c>
      <c r="F700" s="555">
        <f>SUM($E$2:E700)/SUM($C$2:C700)</f>
        <v>-2.2460467005893141E-2</v>
      </c>
      <c r="G700" s="552">
        <f t="shared" si="18"/>
        <v>-49.65402822393829</v>
      </c>
      <c r="H700" s="584" t="s">
        <v>271</v>
      </c>
      <c r="I700" s="2"/>
      <c r="J700" s="2"/>
      <c r="K700" s="2"/>
      <c r="L700" s="2"/>
      <c r="O700" s="58"/>
      <c r="P700" s="58"/>
    </row>
    <row r="701" spans="1:16">
      <c r="A701"/>
      <c r="B701" s="477"/>
      <c r="C701" s="583">
        <v>2.74</v>
      </c>
      <c r="D701" s="581"/>
      <c r="E701" s="581">
        <f t="shared" si="19"/>
        <v>-2.74</v>
      </c>
      <c r="F701" s="582">
        <f>SUM($E$2:E701)/SUM($C$2:C701)</f>
        <v>-2.3670539119092712E-2</v>
      </c>
      <c r="G701" s="581">
        <f t="shared" si="18"/>
        <v>-52.394028223938292</v>
      </c>
      <c r="H701" s="373" t="s">
        <v>272</v>
      </c>
      <c r="I701" s="2">
        <f>SUM(E692:E701)</f>
        <v>-10.6586</v>
      </c>
      <c r="L701" s="2">
        <f>I701/C701</f>
        <v>-3.8899999999999997</v>
      </c>
      <c r="O701" s="58"/>
      <c r="P701" s="58"/>
    </row>
    <row r="702" spans="1:16">
      <c r="A702"/>
      <c r="B702" s="476">
        <v>46028</v>
      </c>
      <c r="C702" s="583">
        <v>3.6</v>
      </c>
      <c r="D702" s="581"/>
      <c r="E702" s="581">
        <f t="shared" si="19"/>
        <v>-3.6</v>
      </c>
      <c r="F702" s="582">
        <f>SUM($E$2:E702)/SUM($C$2:C702)</f>
        <v>-2.5255868431731131E-2</v>
      </c>
      <c r="G702" s="581">
        <f t="shared" si="18"/>
        <v>-55.994028223938294</v>
      </c>
      <c r="H702" s="373" t="s">
        <v>46</v>
      </c>
      <c r="I702" s="2"/>
      <c r="J702" s="2"/>
      <c r="K702" s="2"/>
      <c r="L702" s="2"/>
      <c r="O702" s="58"/>
      <c r="P702" s="58"/>
    </row>
    <row r="703" spans="1:16">
      <c r="A703"/>
      <c r="B703" s="477"/>
      <c r="C703" s="571">
        <v>3.6</v>
      </c>
      <c r="D703" s="552">
        <v>3.46</v>
      </c>
      <c r="E703" s="552">
        <f t="shared" si="19"/>
        <v>8.8559999999999999</v>
      </c>
      <c r="F703" s="555">
        <f>SUM($E$2:E703)/SUM($C$2:C703)</f>
        <v>-2.1226939718165312E-2</v>
      </c>
      <c r="G703" s="552">
        <f t="shared" si="18"/>
        <v>-47.138028223938292</v>
      </c>
      <c r="H703" s="584" t="s">
        <v>11</v>
      </c>
      <c r="I703" s="2"/>
      <c r="J703" s="2"/>
      <c r="K703" s="2"/>
      <c r="L703" s="2"/>
      <c r="O703" s="58"/>
      <c r="P703" s="58"/>
    </row>
    <row r="704" spans="1:16">
      <c r="A704"/>
      <c r="B704" s="477"/>
      <c r="C704" s="571">
        <v>3.6</v>
      </c>
      <c r="D704" s="552">
        <v>2.835</v>
      </c>
      <c r="E704" s="552">
        <f t="shared" si="19"/>
        <v>6.6059999999999999</v>
      </c>
      <c r="F704" s="555">
        <f>SUM($E$2:E704)/SUM($C$2:C704)</f>
        <v>-1.8222620555929894E-2</v>
      </c>
      <c r="G704" s="552">
        <f t="shared" si="18"/>
        <v>-40.532028223938291</v>
      </c>
      <c r="H704" s="584" t="s">
        <v>26</v>
      </c>
      <c r="I704" s="2"/>
      <c r="J704" s="2"/>
      <c r="K704" s="2"/>
      <c r="L704" s="2"/>
      <c r="O704" s="58"/>
      <c r="P704" s="58"/>
    </row>
    <row r="705" spans="1:16">
      <c r="A705"/>
      <c r="B705" s="477"/>
      <c r="C705" s="571">
        <v>3.6</v>
      </c>
      <c r="D705" s="552"/>
      <c r="E705" s="552">
        <f t="shared" si="19"/>
        <v>-3.6</v>
      </c>
      <c r="F705" s="555">
        <f>SUM($E$2:E705)/SUM($C$2:C705)</f>
        <v>-1.9809067954565652E-2</v>
      </c>
      <c r="G705" s="552">
        <f t="shared" si="18"/>
        <v>-44.132028223938292</v>
      </c>
      <c r="H705" s="584" t="s">
        <v>13</v>
      </c>
      <c r="I705" s="2"/>
      <c r="J705" s="2"/>
      <c r="K705" s="2"/>
      <c r="L705" s="2"/>
      <c r="O705" s="58"/>
      <c r="P705" s="58"/>
    </row>
    <row r="706" spans="1:16">
      <c r="A706"/>
      <c r="B706" s="477"/>
      <c r="C706" s="583">
        <v>3.6</v>
      </c>
      <c r="D706" s="581"/>
      <c r="E706" s="581">
        <f t="shared" si="19"/>
        <v>-3.6</v>
      </c>
      <c r="F706" s="582">
        <f>SUM($E$2:E706)/SUM($C$2:C706)</f>
        <v>-2.1390396565464993E-2</v>
      </c>
      <c r="G706" s="581">
        <f t="shared" si="18"/>
        <v>-47.732028223938293</v>
      </c>
      <c r="H706" s="373" t="s">
        <v>38</v>
      </c>
      <c r="I706" s="2"/>
      <c r="J706" s="2"/>
      <c r="K706" s="2"/>
      <c r="L706" s="2"/>
      <c r="O706" s="58"/>
      <c r="P706" s="58"/>
    </row>
    <row r="707" spans="1:16">
      <c r="A707"/>
      <c r="B707" s="477"/>
      <c r="C707" s="571">
        <v>3.6</v>
      </c>
      <c r="D707" s="552"/>
      <c r="E707" s="552">
        <f t="shared" si="19"/>
        <v>-3.6</v>
      </c>
      <c r="F707" s="555">
        <f>SUM($E$2:E707)/SUM($C$2:C707)</f>
        <v>-2.2966631122934927E-2</v>
      </c>
      <c r="G707" s="552">
        <f t="shared" si="18"/>
        <v>-51.332028223938295</v>
      </c>
      <c r="H707" s="584" t="s">
        <v>127</v>
      </c>
      <c r="O707" s="58"/>
      <c r="P707" s="58"/>
    </row>
    <row r="708" spans="1:16">
      <c r="A708"/>
      <c r="B708" s="477"/>
      <c r="C708" s="583">
        <v>3.6</v>
      </c>
      <c r="D708" s="581"/>
      <c r="E708" s="581">
        <f t="shared" si="19"/>
        <v>-3.6</v>
      </c>
      <c r="F708" s="582">
        <f>SUM($E$2:E708)/SUM($C$2:C708)</f>
        <v>-2.4537796202181723E-2</v>
      </c>
      <c r="G708" s="581">
        <f t="shared" si="18"/>
        <v>-54.932028223938296</v>
      </c>
      <c r="H708" s="373" t="s">
        <v>273</v>
      </c>
      <c r="I708" s="2">
        <f>SUM(E702:E708)</f>
        <v>-2.5379999999999994</v>
      </c>
      <c r="L708" s="2">
        <f>I708/C708</f>
        <v>-0.70499999999999985</v>
      </c>
      <c r="O708" s="58"/>
      <c r="P708" s="58"/>
    </row>
    <row r="709" spans="1:16">
      <c r="A709"/>
      <c r="B709" s="476">
        <v>46029</v>
      </c>
      <c r="C709" s="571">
        <v>1.79</v>
      </c>
      <c r="D709" s="552"/>
      <c r="E709" s="552">
        <f t="shared" si="19"/>
        <v>-1.79</v>
      </c>
      <c r="F709" s="555">
        <f>SUM($E$2:E709)/SUM($C$2:C709)</f>
        <v>-2.5317134974040222E-2</v>
      </c>
      <c r="G709" s="552">
        <f t="shared" si="18"/>
        <v>-56.722028223938295</v>
      </c>
      <c r="H709" s="584" t="s">
        <v>25</v>
      </c>
      <c r="I709" s="2"/>
      <c r="J709" s="2"/>
      <c r="K709" s="2"/>
      <c r="L709" s="2"/>
      <c r="O709" s="58"/>
      <c r="P709" s="58"/>
    </row>
    <row r="710" spans="1:16">
      <c r="A710"/>
      <c r="B710" s="477"/>
      <c r="C710" s="571">
        <v>1.79</v>
      </c>
      <c r="D710" s="552"/>
      <c r="E710" s="552">
        <f t="shared" si="19"/>
        <v>-1.79</v>
      </c>
      <c r="F710" s="555">
        <f>SUM($E$2:E710)/SUM($C$2:C710)</f>
        <v>-2.6095229445395541E-2</v>
      </c>
      <c r="G710" s="552">
        <f t="shared" si="18"/>
        <v>-58.512028223938295</v>
      </c>
      <c r="H710" s="584" t="s">
        <v>35</v>
      </c>
      <c r="I710" s="2"/>
      <c r="J710" s="2"/>
      <c r="K710" s="2"/>
      <c r="L710" s="2"/>
      <c r="O710" s="58"/>
      <c r="P710" s="58"/>
    </row>
    <row r="711" spans="1:16">
      <c r="A711"/>
      <c r="B711" s="477"/>
      <c r="C711" s="571">
        <v>1.79</v>
      </c>
      <c r="D711" s="552">
        <v>2</v>
      </c>
      <c r="E711" s="552">
        <f t="shared" si="19"/>
        <v>1.79</v>
      </c>
      <c r="F711" s="555">
        <f>SUM($E$2:E711)/SUM($C$2:C711)</f>
        <v>-2.5276745612350118E-2</v>
      </c>
      <c r="G711" s="552">
        <f t="shared" si="18"/>
        <v>-56.722028223938295</v>
      </c>
      <c r="H711" s="584" t="s">
        <v>59</v>
      </c>
      <c r="I711" s="2"/>
      <c r="J711" s="2"/>
      <c r="K711" s="2"/>
      <c r="L711" s="2"/>
      <c r="O711" s="58"/>
      <c r="P711" s="58"/>
    </row>
    <row r="712" spans="1:16">
      <c r="A712"/>
      <c r="B712" s="477"/>
      <c r="C712" s="571">
        <v>1.79</v>
      </c>
      <c r="D712" s="552"/>
      <c r="E712" s="552">
        <f t="shared" si="19"/>
        <v>-1.79</v>
      </c>
      <c r="F712" s="555">
        <f>SUM($E$2:E712)/SUM($C$2:C712)</f>
        <v>-2.6053631941838053E-2</v>
      </c>
      <c r="G712" s="552">
        <f t="shared" si="18"/>
        <v>-58.512028223938295</v>
      </c>
      <c r="H712" s="584" t="s">
        <v>18</v>
      </c>
      <c r="I712" s="2"/>
      <c r="J712" s="2"/>
      <c r="K712" s="2"/>
      <c r="L712" s="2"/>
      <c r="O712" s="58"/>
      <c r="P712" s="58"/>
    </row>
    <row r="713" spans="1:16">
      <c r="A713"/>
      <c r="B713" s="477"/>
      <c r="C713" s="571">
        <v>1.79</v>
      </c>
      <c r="D713" s="552">
        <v>3.4249999999999998</v>
      </c>
      <c r="E713" s="552">
        <f t="shared" si="19"/>
        <v>4.3407499999999999</v>
      </c>
      <c r="F713" s="555">
        <f>SUM($E$2:E713)/SUM($C$2:C713)</f>
        <v>-2.4101617810812399E-2</v>
      </c>
      <c r="G713" s="552">
        <f t="shared" si="18"/>
        <v>-54.171278223938295</v>
      </c>
      <c r="H713" s="584" t="s">
        <v>47</v>
      </c>
      <c r="I713" s="2"/>
      <c r="J713" s="2"/>
      <c r="K713" s="2"/>
      <c r="L713" s="2"/>
      <c r="O713" s="58"/>
      <c r="P713" s="58"/>
    </row>
    <row r="714" spans="1:16">
      <c r="A714"/>
      <c r="B714" s="477"/>
      <c r="C714" s="571">
        <v>1.79</v>
      </c>
      <c r="D714" s="552"/>
      <c r="E714" s="552">
        <f t="shared" si="19"/>
        <v>-1.79</v>
      </c>
      <c r="F714" s="555">
        <f>SUM($E$2:E714)/SUM($C$2:C714)</f>
        <v>-2.4878202828269708E-2</v>
      </c>
      <c r="G714" s="552">
        <f t="shared" si="18"/>
        <v>-55.961278223938294</v>
      </c>
      <c r="H714" s="584" t="s">
        <v>10</v>
      </c>
      <c r="I714" s="2"/>
      <c r="J714" s="2"/>
      <c r="K714" s="2"/>
      <c r="L714" s="2"/>
      <c r="O714" s="58"/>
      <c r="P714" s="58"/>
    </row>
    <row r="715" spans="1:16">
      <c r="A715"/>
      <c r="B715" s="477"/>
      <c r="C715" s="583">
        <v>1.79</v>
      </c>
      <c r="D715" s="581"/>
      <c r="E715" s="581">
        <f t="shared" si="19"/>
        <v>-1.79</v>
      </c>
      <c r="F715" s="582">
        <f>SUM($E$2:E715)/SUM($C$2:C715)</f>
        <v>-2.5653552871330029E-2</v>
      </c>
      <c r="G715" s="581">
        <f t="shared" si="18"/>
        <v>-57.751278223938293</v>
      </c>
      <c r="H715" s="373" t="s">
        <v>53</v>
      </c>
      <c r="I715" s="2"/>
      <c r="J715" s="2"/>
      <c r="K715" s="2"/>
      <c r="L715" s="2"/>
      <c r="O715" s="58"/>
      <c r="P715" s="58"/>
    </row>
    <row r="716" spans="1:16">
      <c r="A716"/>
      <c r="B716" s="477"/>
      <c r="C716" s="571">
        <v>1.79</v>
      </c>
      <c r="D716" s="552">
        <v>2.1</v>
      </c>
      <c r="E716" s="552">
        <f t="shared" si="19"/>
        <v>1.9690000000000003</v>
      </c>
      <c r="F716" s="555">
        <f>SUM($E$2:E716)/SUM($C$2:C716)</f>
        <v>-2.4759221400866477E-2</v>
      </c>
      <c r="G716" s="552">
        <f t="shared" si="18"/>
        <v>-55.782278223938292</v>
      </c>
      <c r="H716" s="584" t="s">
        <v>37</v>
      </c>
      <c r="I716" s="2"/>
      <c r="J716" s="2"/>
      <c r="K716" s="2"/>
      <c r="L716" s="2"/>
      <c r="O716" s="58"/>
      <c r="P716" s="58"/>
    </row>
    <row r="717" spans="1:16">
      <c r="A717"/>
      <c r="B717" s="477"/>
      <c r="C717" s="583">
        <v>1.79</v>
      </c>
      <c r="D717" s="581">
        <v>1.99</v>
      </c>
      <c r="E717" s="581">
        <f t="shared" si="19"/>
        <v>1.7721</v>
      </c>
      <c r="F717" s="582">
        <f>SUM($E$2:E717)/SUM($C$2:C717)</f>
        <v>-2.3953635487248496E-2</v>
      </c>
      <c r="G717" s="581">
        <f t="shared" si="18"/>
        <v>-54.01017822393829</v>
      </c>
      <c r="H717" s="373" t="s">
        <v>52</v>
      </c>
      <c r="I717" s="2"/>
      <c r="J717" s="2"/>
      <c r="K717" s="2"/>
      <c r="L717" s="2"/>
      <c r="O717" s="58"/>
      <c r="P717" s="58"/>
    </row>
    <row r="718" spans="1:16">
      <c r="A718"/>
      <c r="B718" s="477"/>
      <c r="C718" s="571">
        <v>1.79</v>
      </c>
      <c r="D718" s="552"/>
      <c r="E718" s="552">
        <f t="shared" si="19"/>
        <v>-1.79</v>
      </c>
      <c r="F718" s="555">
        <f>SUM($E$2:E718)/SUM($C$2:C718)</f>
        <v>-2.4727873819087448E-2</v>
      </c>
      <c r="G718" s="552">
        <f t="shared" si="18"/>
        <v>-55.800178223938289</v>
      </c>
      <c r="H718" s="584" t="s">
        <v>28</v>
      </c>
      <c r="I718" s="2"/>
      <c r="J718" s="2"/>
      <c r="K718" s="2"/>
      <c r="L718" s="2"/>
      <c r="O718" s="58"/>
      <c r="P718" s="58"/>
    </row>
    <row r="719" spans="1:16">
      <c r="A719"/>
      <c r="B719" s="477"/>
      <c r="C719" s="571">
        <v>1.79</v>
      </c>
      <c r="D719" s="552"/>
      <c r="E719" s="552">
        <f t="shared" si="19"/>
        <v>-1.79</v>
      </c>
      <c r="F719" s="555">
        <f>SUM($E$2:E719)/SUM($C$2:C719)</f>
        <v>-2.5500884811960077E-2</v>
      </c>
      <c r="G719" s="552">
        <f t="shared" si="18"/>
        <v>-57.590178223938288</v>
      </c>
      <c r="H719" s="584" t="s">
        <v>26</v>
      </c>
      <c r="I719" s="2"/>
      <c r="J719" s="2"/>
      <c r="K719" s="2"/>
      <c r="L719" s="2"/>
      <c r="O719" s="58"/>
      <c r="P719" s="58"/>
    </row>
    <row r="720" spans="1:16">
      <c r="A720"/>
      <c r="B720" s="478"/>
      <c r="C720" s="583">
        <v>1.79</v>
      </c>
      <c r="D720" s="581">
        <v>1.395</v>
      </c>
      <c r="E720" s="581">
        <f t="shared" si="19"/>
        <v>0.70705000000000018</v>
      </c>
      <c r="F720" s="582">
        <f>SUM($E$2:E720)/SUM($C$2:C720)</f>
        <v>-2.5167855329928615E-2</v>
      </c>
      <c r="G720" s="581">
        <f t="shared" si="18"/>
        <v>-56.883128223938286</v>
      </c>
      <c r="H720" s="373" t="s">
        <v>27</v>
      </c>
      <c r="I720" s="2">
        <f>SUM(E709:E720)</f>
        <v>-1.9510999999999998</v>
      </c>
      <c r="L720" s="2">
        <f>I720/C720</f>
        <v>-1.0899999999999999</v>
      </c>
      <c r="O720" s="58"/>
      <c r="P720" s="58"/>
    </row>
    <row r="721" spans="1:16">
      <c r="A721"/>
      <c r="B721" s="476">
        <v>46030</v>
      </c>
      <c r="C721" s="583">
        <v>5.36</v>
      </c>
      <c r="D721" s="581"/>
      <c r="E721" s="581">
        <f t="shared" si="19"/>
        <v>-5.36</v>
      </c>
      <c r="F721" s="582">
        <f>SUM($E$2:E721)/SUM($C$2:C721)</f>
        <v>-2.7474223562879062E-2</v>
      </c>
      <c r="G721" s="581">
        <f t="shared" si="18"/>
        <v>-62.243128223938285</v>
      </c>
      <c r="H721" s="373" t="s">
        <v>60</v>
      </c>
      <c r="I721" s="2"/>
      <c r="J721" s="2"/>
      <c r="K721" s="2"/>
      <c r="L721" s="2"/>
      <c r="O721" s="58"/>
      <c r="P721" s="58"/>
    </row>
    <row r="722" spans="1:16">
      <c r="A722"/>
      <c r="B722" s="477"/>
      <c r="C722" s="583">
        <v>5.36</v>
      </c>
      <c r="D722" s="581"/>
      <c r="E722" s="581">
        <f t="shared" si="19"/>
        <v>-5.36</v>
      </c>
      <c r="F722" s="582">
        <f>SUM($E$2:E722)/SUM($C$2:C722)</f>
        <v>-2.9769704220822032E-2</v>
      </c>
      <c r="G722" s="581">
        <f t="shared" si="18"/>
        <v>-67.603128223938285</v>
      </c>
      <c r="H722" s="373" t="s">
        <v>104</v>
      </c>
      <c r="I722" s="2"/>
      <c r="J722" s="2"/>
      <c r="K722" s="2"/>
      <c r="L722" s="2"/>
      <c r="O722" s="58"/>
      <c r="P722" s="58"/>
    </row>
    <row r="723" spans="1:16">
      <c r="A723"/>
      <c r="B723" s="477"/>
      <c r="C723" s="571">
        <v>5.36</v>
      </c>
      <c r="D723" s="552">
        <v>2.57</v>
      </c>
      <c r="E723" s="552">
        <f t="shared" si="19"/>
        <v>8.4151999999999987</v>
      </c>
      <c r="F723" s="555">
        <f>SUM($E$2:E723)/SUM($C$2:C723)</f>
        <v>-2.6002613191082685E-2</v>
      </c>
      <c r="G723" s="552">
        <f t="shared" si="18"/>
        <v>-59.187928223938286</v>
      </c>
      <c r="H723" s="584" t="s">
        <v>60</v>
      </c>
      <c r="I723" s="2"/>
      <c r="J723" s="2"/>
      <c r="K723" s="2"/>
      <c r="L723" s="2"/>
      <c r="O723" s="58"/>
      <c r="P723" s="58"/>
    </row>
    <row r="724" spans="1:16">
      <c r="A724"/>
      <c r="B724" s="477"/>
      <c r="C724" s="583">
        <v>5.36</v>
      </c>
      <c r="D724" s="581">
        <v>2.66</v>
      </c>
      <c r="E724" s="581">
        <f t="shared" si="19"/>
        <v>8.8976000000000006</v>
      </c>
      <c r="F724" s="582">
        <f>SUM($E$2:E724)/SUM($C$2:C724)</f>
        <v>-2.2041790253261175E-2</v>
      </c>
      <c r="G724" s="581">
        <f t="shared" si="18"/>
        <v>-50.290328223938289</v>
      </c>
      <c r="H724" s="373" t="s">
        <v>47</v>
      </c>
      <c r="I724" s="2">
        <f>SUM(E721:E724)</f>
        <v>6.5927999999999987</v>
      </c>
      <c r="L724" s="2">
        <f>I724/C724</f>
        <v>1.2299999999999998</v>
      </c>
      <c r="O724" s="58"/>
      <c r="P724" s="58"/>
    </row>
    <row r="725" spans="1:16">
      <c r="A725"/>
      <c r="B725" s="476">
        <v>46031</v>
      </c>
      <c r="C725" s="571">
        <v>2.17</v>
      </c>
      <c r="D725" s="552">
        <v>2.2509999999999999</v>
      </c>
      <c r="E725" s="552">
        <f t="shared" si="19"/>
        <v>2.7146699999999999</v>
      </c>
      <c r="F725" s="555">
        <f>SUM($E$2:E725)/SUM($C$2:C725)</f>
        <v>-2.0832161971458547E-2</v>
      </c>
      <c r="G725" s="552">
        <f t="shared" si="18"/>
        <v>-47.575658223938291</v>
      </c>
      <c r="H725" s="584" t="s">
        <v>25</v>
      </c>
      <c r="I725" s="2"/>
      <c r="J725" s="2"/>
      <c r="K725" s="2"/>
      <c r="L725" s="2"/>
      <c r="O725" s="58"/>
      <c r="P725" s="58"/>
    </row>
    <row r="726" spans="1:16">
      <c r="A726"/>
      <c r="B726" s="477"/>
      <c r="C726" s="571">
        <v>2.17</v>
      </c>
      <c r="D726" s="552">
        <v>2.0139999999999998</v>
      </c>
      <c r="E726" s="552">
        <f t="shared" si="19"/>
        <v>2.2003799999999991</v>
      </c>
      <c r="F726" s="555">
        <f>SUM($E$2:E726)/SUM($C$2:C726)</f>
        <v>-1.9849810897069543E-2</v>
      </c>
      <c r="G726" s="552">
        <f t="shared" si="18"/>
        <v>-45.375278223938295</v>
      </c>
      <c r="H726" s="584" t="s">
        <v>13</v>
      </c>
      <c r="I726" s="2"/>
      <c r="J726" s="2"/>
      <c r="K726" s="2"/>
      <c r="L726" s="2"/>
      <c r="O726" s="58"/>
      <c r="P726" s="58"/>
    </row>
    <row r="727" spans="1:16">
      <c r="A727"/>
      <c r="B727" s="477"/>
      <c r="C727" s="571">
        <v>2.17</v>
      </c>
      <c r="D727" s="552">
        <v>2.1739999999999999</v>
      </c>
      <c r="E727" s="552">
        <f t="shared" si="19"/>
        <v>2.54758</v>
      </c>
      <c r="F727" s="555">
        <f>SUM($E$2:E727)/SUM($C$2:C727)</f>
        <v>-1.8717581497285168E-2</v>
      </c>
      <c r="G727" s="552">
        <f t="shared" si="18"/>
        <v>-42.827698223938299</v>
      </c>
      <c r="H727" s="584" t="s">
        <v>18</v>
      </c>
      <c r="I727" s="2"/>
      <c r="J727" s="2"/>
      <c r="K727" s="2"/>
      <c r="L727" s="2"/>
      <c r="O727" s="58"/>
      <c r="P727" s="58"/>
    </row>
    <row r="728" spans="1:16">
      <c r="A728"/>
      <c r="B728" s="477"/>
      <c r="C728" s="571">
        <v>2.17</v>
      </c>
      <c r="D728" s="552"/>
      <c r="E728" s="552">
        <f t="shared" si="19"/>
        <v>-2.17</v>
      </c>
      <c r="F728" s="555">
        <f>SUM($E$2:E728)/SUM($C$2:C728)</f>
        <v>-1.9647333381626702E-2</v>
      </c>
      <c r="G728" s="552">
        <f t="shared" si="18"/>
        <v>-44.997698223938301</v>
      </c>
      <c r="H728" s="584" t="s">
        <v>38</v>
      </c>
      <c r="I728" s="2"/>
      <c r="J728" s="2"/>
      <c r="K728" s="2"/>
      <c r="L728" s="2"/>
      <c r="O728" s="58"/>
      <c r="P728" s="58"/>
    </row>
    <row r="729" spans="1:16">
      <c r="A729"/>
      <c r="B729" s="477"/>
      <c r="C729" s="571">
        <v>2.17</v>
      </c>
      <c r="D729" s="552"/>
      <c r="E729" s="552">
        <f t="shared" si="19"/>
        <v>-2.17</v>
      </c>
      <c r="F729" s="555">
        <f>SUM($E$2:E729)/SUM($C$2:C729)</f>
        <v>-2.0575325078928206E-2</v>
      </c>
      <c r="G729" s="552">
        <f t="shared" si="18"/>
        <v>-47.167698223938302</v>
      </c>
      <c r="H729" s="584" t="s">
        <v>53</v>
      </c>
      <c r="I729" s="2"/>
      <c r="J729" s="2"/>
      <c r="K729" s="2"/>
      <c r="L729" s="2"/>
      <c r="O729" s="58"/>
      <c r="P729" s="58"/>
    </row>
    <row r="730" spans="1:16">
      <c r="A730"/>
      <c r="B730" s="477"/>
      <c r="C730" s="583">
        <v>2.17</v>
      </c>
      <c r="D730" s="581"/>
      <c r="E730" s="581">
        <f t="shared" si="19"/>
        <v>-2.17</v>
      </c>
      <c r="F730" s="582">
        <f>SUM($E$2:E730)/SUM($C$2:C730)</f>
        <v>-2.1501561582987164E-2</v>
      </c>
      <c r="G730" s="581">
        <f t="shared" si="18"/>
        <v>-49.337698223938304</v>
      </c>
      <c r="H730" s="373" t="s">
        <v>34</v>
      </c>
      <c r="I730" s="2"/>
      <c r="J730" s="2"/>
      <c r="K730" s="2"/>
      <c r="L730" s="2"/>
      <c r="O730" s="58"/>
      <c r="P730" s="58"/>
    </row>
    <row r="731" spans="1:16">
      <c r="A731"/>
      <c r="B731" s="477"/>
      <c r="C731" s="583">
        <v>2.17</v>
      </c>
      <c r="D731" s="581"/>
      <c r="E731" s="581">
        <f t="shared" si="19"/>
        <v>-2.17</v>
      </c>
      <c r="F731" s="582">
        <f>SUM($E$2:E731)/SUM($C$2:C731)</f>
        <v>-2.2426047868728469E-2</v>
      </c>
      <c r="G731" s="581">
        <f t="shared" si="18"/>
        <v>-51.507698223938306</v>
      </c>
      <c r="H731" s="373" t="s">
        <v>26</v>
      </c>
      <c r="I731" s="2"/>
      <c r="J731" s="2"/>
      <c r="K731" s="2"/>
      <c r="L731" s="2"/>
      <c r="O731" s="58"/>
      <c r="P731" s="58"/>
    </row>
    <row r="732" spans="1:16">
      <c r="A732"/>
      <c r="B732" s="477"/>
      <c r="C732" s="571">
        <v>2.17</v>
      </c>
      <c r="D732" s="552"/>
      <c r="E732" s="552">
        <f t="shared" si="19"/>
        <v>-2.17</v>
      </c>
      <c r="F732" s="555">
        <f>SUM($E$2:E732)/SUM($C$2:C732)</f>
        <v>-2.3348788892293509E-2</v>
      </c>
      <c r="G732" s="552">
        <f t="shared" si="18"/>
        <v>-53.677698223938307</v>
      </c>
      <c r="H732" s="584" t="s">
        <v>25</v>
      </c>
      <c r="I732" s="2"/>
      <c r="J732" s="2"/>
      <c r="K732" s="2"/>
      <c r="L732" s="2"/>
      <c r="O732" s="58"/>
      <c r="P732" s="58"/>
    </row>
    <row r="733" spans="1:16">
      <c r="A733"/>
      <c r="B733" s="477"/>
      <c r="C733" s="571">
        <v>2.17</v>
      </c>
      <c r="D733" s="552"/>
      <c r="E733" s="552">
        <f t="shared" si="19"/>
        <v>-2.17</v>
      </c>
      <c r="F733" s="555">
        <f>SUM($E$2:E733)/SUM($C$2:C733)</f>
        <v>-2.4269789591128736E-2</v>
      </c>
      <c r="G733" s="552">
        <f t="shared" si="18"/>
        <v>-55.847698223938309</v>
      </c>
      <c r="H733" s="584" t="s">
        <v>64</v>
      </c>
      <c r="I733" s="2"/>
      <c r="J733" s="2"/>
      <c r="K733" s="2"/>
      <c r="L733" s="2"/>
      <c r="O733" s="58"/>
      <c r="P733" s="58"/>
    </row>
    <row r="734" spans="1:16">
      <c r="A734"/>
      <c r="B734" s="477"/>
      <c r="C734" s="571">
        <v>2.17</v>
      </c>
      <c r="D734" s="552"/>
      <c r="E734" s="552">
        <f t="shared" si="19"/>
        <v>-2.17</v>
      </c>
      <c r="F734" s="555">
        <f>SUM($E$2:E734)/SUM($C$2:C734)</f>
        <v>-2.5189054884073716E-2</v>
      </c>
      <c r="G734" s="552">
        <f t="shared" si="18"/>
        <v>-58.017698223938311</v>
      </c>
      <c r="H734" s="584" t="s">
        <v>11</v>
      </c>
      <c r="I734" s="2"/>
      <c r="J734" s="2"/>
      <c r="K734" s="2"/>
      <c r="L734" s="2"/>
      <c r="O734" s="58"/>
      <c r="P734" s="58"/>
    </row>
    <row r="735" spans="1:16">
      <c r="A735"/>
      <c r="B735" s="477"/>
      <c r="C735" s="571">
        <v>2.17</v>
      </c>
      <c r="D735" s="552"/>
      <c r="E735" s="552">
        <f t="shared" si="19"/>
        <v>-2.17</v>
      </c>
      <c r="F735" s="555">
        <f>SUM($E$2:E735)/SUM($C$2:C735)</f>
        <v>-2.6106589671448712E-2</v>
      </c>
      <c r="G735" s="552">
        <f t="shared" si="18"/>
        <v>-60.187698223938312</v>
      </c>
      <c r="H735" s="584" t="s">
        <v>28</v>
      </c>
      <c r="I735" s="2"/>
      <c r="J735" s="2"/>
      <c r="K735" s="2"/>
      <c r="L735" s="2"/>
      <c r="O735" s="58"/>
      <c r="P735" s="58"/>
    </row>
    <row r="736" spans="1:16">
      <c r="A736"/>
      <c r="B736" s="477"/>
      <c r="C736" s="583">
        <v>2.17</v>
      </c>
      <c r="D736" s="581">
        <v>1.99</v>
      </c>
      <c r="E736" s="581">
        <f t="shared" si="19"/>
        <v>2.1482999999999999</v>
      </c>
      <c r="F736" s="582">
        <f>SUM($E$2:E736)/SUM($C$2:C736)</f>
        <v>-2.5151084976334226E-2</v>
      </c>
      <c r="G736" s="581">
        <f t="shared" si="18"/>
        <v>-58.039398223938313</v>
      </c>
      <c r="H736" s="373" t="s">
        <v>36</v>
      </c>
      <c r="I736" s="2">
        <f>SUM(E725:E736)</f>
        <v>-7.7490700000000006</v>
      </c>
      <c r="L736" s="2">
        <f>I736/C736</f>
        <v>-3.5710000000000002</v>
      </c>
      <c r="O736" s="58"/>
      <c r="P736" s="58"/>
    </row>
    <row r="737" spans="1:16">
      <c r="A737"/>
      <c r="B737" s="476">
        <v>46032</v>
      </c>
      <c r="C737" s="571">
        <v>3.57</v>
      </c>
      <c r="D737" s="552">
        <v>2.1</v>
      </c>
      <c r="E737" s="552">
        <f t="shared" si="19"/>
        <v>3.927</v>
      </c>
      <c r="F737" s="555">
        <f>SUM($E$2:E737)/SUM($C$2:C737)</f>
        <v>-2.3413117957744096E-2</v>
      </c>
      <c r="G737" s="552">
        <f t="shared" si="18"/>
        <v>-54.112398223938314</v>
      </c>
      <c r="H737" s="584" t="s">
        <v>104</v>
      </c>
      <c r="I737" s="2"/>
      <c r="J737" s="2"/>
      <c r="K737" s="2"/>
      <c r="L737" s="2"/>
      <c r="O737" s="58"/>
      <c r="P737" s="58"/>
    </row>
    <row r="738" spans="1:16">
      <c r="A738"/>
      <c r="B738" s="477"/>
      <c r="C738" s="571">
        <v>3.57</v>
      </c>
      <c r="D738" s="590"/>
      <c r="E738" s="552">
        <f t="shared" si="19"/>
        <v>-3.57</v>
      </c>
      <c r="F738" s="555">
        <f>SUM($E$2:E738)/SUM($C$2:C738)</f>
        <v>-2.4919278469972456E-2</v>
      </c>
      <c r="G738" s="552">
        <f t="shared" si="18"/>
        <v>-57.682398223938314</v>
      </c>
      <c r="H738" s="584" t="s">
        <v>18</v>
      </c>
      <c r="I738" s="2"/>
      <c r="J738" s="2"/>
      <c r="K738" s="2"/>
      <c r="L738" s="2"/>
      <c r="O738" s="58"/>
      <c r="P738" s="58"/>
    </row>
    <row r="739" spans="1:16">
      <c r="A739"/>
      <c r="B739" s="477"/>
      <c r="C739" s="583">
        <v>3.57</v>
      </c>
      <c r="D739" s="581"/>
      <c r="E739" s="581">
        <f t="shared" si="19"/>
        <v>-3.57</v>
      </c>
      <c r="F739" s="582">
        <f>SUM($E$2:E739)/SUM($C$2:C739)</f>
        <v>-2.6420800324343335E-2</v>
      </c>
      <c r="G739" s="581">
        <f t="shared" si="18"/>
        <v>-61.252398223938314</v>
      </c>
      <c r="H739" s="373" t="s">
        <v>17</v>
      </c>
      <c r="I739" s="2"/>
      <c r="J739" s="2"/>
      <c r="K739" s="2"/>
      <c r="L739" s="2"/>
      <c r="O739" s="58"/>
      <c r="P739" s="58"/>
    </row>
    <row r="740" spans="1:16">
      <c r="A740"/>
      <c r="B740" s="477"/>
      <c r="C740" s="571">
        <v>3.57</v>
      </c>
      <c r="D740" s="590"/>
      <c r="E740" s="552">
        <f t="shared" si="19"/>
        <v>-3.57</v>
      </c>
      <c r="F740" s="555">
        <f>SUM($E$2:E740)/SUM($C$2:C740)</f>
        <v>-2.7917704917045927E-2</v>
      </c>
      <c r="G740" s="552">
        <f t="shared" si="18"/>
        <v>-64.822398223938308</v>
      </c>
      <c r="H740" s="584" t="s">
        <v>60</v>
      </c>
      <c r="I740" s="2"/>
      <c r="J740" s="2"/>
      <c r="K740" s="2"/>
      <c r="L740" s="2"/>
      <c r="O740" s="58"/>
      <c r="P740" s="58"/>
    </row>
    <row r="741" spans="1:16">
      <c r="A741"/>
      <c r="B741" s="477"/>
      <c r="C741" s="583">
        <v>3.57</v>
      </c>
      <c r="D741" s="581"/>
      <c r="E741" s="581">
        <f t="shared" si="19"/>
        <v>-3.57</v>
      </c>
      <c r="F741" s="582">
        <f>SUM($E$2:E741)/SUM($C$2:C741)</f>
        <v>-2.9410013512882537E-2</v>
      </c>
      <c r="G741" s="581">
        <f t="shared" si="18"/>
        <v>-68.392398223938301</v>
      </c>
      <c r="H741" s="373" t="s">
        <v>35</v>
      </c>
      <c r="I741" s="2"/>
      <c r="J741" s="2"/>
      <c r="K741" s="2"/>
      <c r="L741" s="2"/>
      <c r="O741" s="58"/>
      <c r="P741" s="58"/>
    </row>
    <row r="742" spans="1:16">
      <c r="A742"/>
      <c r="B742" s="477"/>
      <c r="C742" s="571">
        <v>3.57</v>
      </c>
      <c r="D742" s="552"/>
      <c r="E742" s="552">
        <f t="shared" si="19"/>
        <v>-3.57</v>
      </c>
      <c r="F742" s="555">
        <f>SUM($E$2:E742)/SUM($C$2:C742)</f>
        <v>-3.0897747246275548E-2</v>
      </c>
      <c r="G742" s="552">
        <f t="shared" si="18"/>
        <v>-71.962398223938294</v>
      </c>
      <c r="H742" s="584" t="s">
        <v>104</v>
      </c>
      <c r="I742" s="2"/>
      <c r="J742" s="2"/>
      <c r="K742" s="2"/>
      <c r="L742" s="2"/>
      <c r="O742" s="58"/>
      <c r="P742" s="58"/>
    </row>
    <row r="743" spans="1:16">
      <c r="A743"/>
      <c r="B743" s="477"/>
      <c r="C743" s="571">
        <v>3.57</v>
      </c>
      <c r="D743" s="552"/>
      <c r="E743" s="552">
        <f t="shared" si="19"/>
        <v>-3.57</v>
      </c>
      <c r="F743" s="555">
        <f>SUM($E$2:E743)/SUM($C$2:C743)</f>
        <v>-3.2380927122265112E-2</v>
      </c>
      <c r="G743" s="552">
        <f t="shared" si="18"/>
        <v>-75.532398223938287</v>
      </c>
      <c r="H743" s="584" t="s">
        <v>17</v>
      </c>
      <c r="I743" s="2"/>
      <c r="J743" s="2"/>
      <c r="K743" s="2"/>
      <c r="L743" s="2"/>
      <c r="O743" s="58"/>
      <c r="P743" s="58"/>
    </row>
    <row r="744" spans="1:16">
      <c r="A744"/>
      <c r="B744" s="477"/>
      <c r="C744" s="583">
        <v>3.57</v>
      </c>
      <c r="D744" s="581"/>
      <c r="E744" s="581">
        <f t="shared" si="19"/>
        <v>-3.57</v>
      </c>
      <c r="F744" s="582">
        <f>SUM($E$2:E744)/SUM($C$2:C744)</f>
        <v>-3.3859574017497729E-2</v>
      </c>
      <c r="G744" s="581">
        <f t="shared" si="18"/>
        <v>-79.10239822393828</v>
      </c>
      <c r="H744" s="373" t="s">
        <v>47</v>
      </c>
      <c r="I744" s="2">
        <f>SUM(E737:E744)</f>
        <v>-21.062999999999999</v>
      </c>
      <c r="L744" s="2">
        <f>I744/C744</f>
        <v>-5.9</v>
      </c>
      <c r="O744" s="58"/>
      <c r="P744" s="58"/>
    </row>
    <row r="745" spans="1:16">
      <c r="A745"/>
      <c r="B745" s="476">
        <v>46033</v>
      </c>
      <c r="C745" s="571">
        <v>2.0699999999999998</v>
      </c>
      <c r="D745" s="552">
        <v>1.99</v>
      </c>
      <c r="E745" s="552">
        <f t="shared" si="19"/>
        <v>2.0493000000000001</v>
      </c>
      <c r="F745" s="555">
        <f>SUM($E$2:E745)/SUM($C$2:C745)</f>
        <v>-3.2953178099928156E-2</v>
      </c>
      <c r="G745" s="552">
        <f t="shared" si="18"/>
        <v>-77.053098223938278</v>
      </c>
      <c r="H745" s="584" t="s">
        <v>13</v>
      </c>
      <c r="I745" s="2"/>
      <c r="J745" s="2"/>
      <c r="K745" s="2"/>
      <c r="L745" s="2"/>
      <c r="O745" s="58"/>
      <c r="P745" s="58"/>
    </row>
    <row r="746" spans="1:16">
      <c r="A746"/>
      <c r="B746" s="477"/>
      <c r="C746" s="571">
        <v>2.0699999999999998</v>
      </c>
      <c r="D746" s="552"/>
      <c r="E746" s="552">
        <f t="shared" si="19"/>
        <v>-2.0699999999999998</v>
      </c>
      <c r="F746" s="555">
        <f>SUM($E$2:E746)/SUM($C$2:C746)</f>
        <v>-3.3808521970806679E-2</v>
      </c>
      <c r="G746" s="552">
        <f t="shared" si="18"/>
        <v>-79.123098223938271</v>
      </c>
      <c r="H746" s="584" t="s">
        <v>28</v>
      </c>
      <c r="I746" s="2"/>
      <c r="J746" s="2"/>
      <c r="K746" s="2"/>
      <c r="L746" s="2"/>
      <c r="O746" s="58"/>
      <c r="P746" s="58"/>
    </row>
    <row r="747" spans="1:16">
      <c r="A747"/>
      <c r="B747" s="477"/>
      <c r="C747" s="571">
        <v>2.0699999999999998</v>
      </c>
      <c r="D747" s="552">
        <v>2.0150000000000001</v>
      </c>
      <c r="E747" s="552">
        <f t="shared" si="19"/>
        <v>2.1010500000000003</v>
      </c>
      <c r="F747" s="555">
        <f>SUM($E$2:E747)/SUM($C$2:C747)</f>
        <v>-3.2881680423470797E-2</v>
      </c>
      <c r="G747" s="552">
        <f t="shared" si="18"/>
        <v>-77.02204822393827</v>
      </c>
      <c r="H747" s="584" t="s">
        <v>29</v>
      </c>
      <c r="I747" s="2"/>
      <c r="J747" s="2"/>
      <c r="K747" s="2"/>
      <c r="L747" s="2"/>
      <c r="O747" s="58"/>
      <c r="P747" s="58"/>
    </row>
    <row r="748" spans="1:16">
      <c r="A748"/>
      <c r="B748" s="477"/>
      <c r="C748" s="571">
        <v>2.0699999999999998</v>
      </c>
      <c r="D748" s="552">
        <v>2.9249999999999998</v>
      </c>
      <c r="E748" s="552">
        <f t="shared" si="19"/>
        <v>3.9847499999999996</v>
      </c>
      <c r="F748" s="555">
        <f>SUM($E$2:E748)/SUM($C$2:C748)</f>
        <v>-3.1153010370760983E-2</v>
      </c>
      <c r="G748" s="552">
        <f t="shared" ref="G748:G811" si="20">G747+E748</f>
        <v>-73.037298223938265</v>
      </c>
      <c r="H748" s="584" t="s">
        <v>14</v>
      </c>
      <c r="I748" s="2"/>
      <c r="J748" s="2"/>
      <c r="K748" s="2"/>
      <c r="L748" s="2"/>
      <c r="O748" s="58"/>
      <c r="P748" s="58"/>
    </row>
    <row r="749" spans="1:16">
      <c r="A749"/>
      <c r="B749" s="477"/>
      <c r="C749" s="583">
        <v>2.0699999999999998</v>
      </c>
      <c r="D749" s="581"/>
      <c r="E749" s="581">
        <f t="shared" si="19"/>
        <v>-2.0699999999999998</v>
      </c>
      <c r="F749" s="582">
        <f>SUM($E$2:E749)/SUM($C$2:C749)</f>
        <v>-3.2007678634899887E-2</v>
      </c>
      <c r="G749" s="581">
        <f t="shared" si="20"/>
        <v>-75.107298223938258</v>
      </c>
      <c r="H749" s="373" t="s">
        <v>53</v>
      </c>
      <c r="I749" s="2"/>
      <c r="J749" s="2"/>
      <c r="K749" s="2"/>
      <c r="L749" s="2"/>
      <c r="O749" s="58"/>
      <c r="P749" s="58"/>
    </row>
    <row r="750" spans="1:16">
      <c r="A750"/>
      <c r="B750" s="477"/>
      <c r="C750" s="583">
        <v>2.0699999999999998</v>
      </c>
      <c r="D750" s="581"/>
      <c r="E750" s="581">
        <f t="shared" si="19"/>
        <v>-2.0699999999999998</v>
      </c>
      <c r="F750" s="582">
        <f>SUM($E$2:E750)/SUM($C$2:C750)</f>
        <v>-3.2860840337024008E-2</v>
      </c>
      <c r="G750" s="581">
        <f t="shared" si="20"/>
        <v>-77.177298223938251</v>
      </c>
      <c r="H750" s="373" t="s">
        <v>30</v>
      </c>
      <c r="I750" s="2"/>
      <c r="J750" s="2"/>
      <c r="K750" s="2"/>
      <c r="L750" s="2"/>
      <c r="O750" s="58"/>
      <c r="P750" s="58"/>
    </row>
    <row r="751" spans="1:16">
      <c r="A751"/>
      <c r="B751" s="477"/>
      <c r="C751" s="571">
        <v>2.0699999999999998</v>
      </c>
      <c r="D751" s="552"/>
      <c r="E751" s="552">
        <f t="shared" ref="E751:E814" si="21">(C751*D751)-C751</f>
        <v>-2.0699999999999998</v>
      </c>
      <c r="F751" s="555">
        <f>SUM($E$2:E751)/SUM($C$2:C751)</f>
        <v>-3.3712499457151948E-2</v>
      </c>
      <c r="G751" s="552">
        <f t="shared" si="20"/>
        <v>-79.247298223938245</v>
      </c>
      <c r="H751" s="584" t="s">
        <v>13</v>
      </c>
      <c r="I751" s="2"/>
      <c r="J751" s="2"/>
      <c r="K751" s="2"/>
      <c r="L751" s="2"/>
      <c r="O751" s="58"/>
      <c r="P751" s="58"/>
    </row>
    <row r="752" spans="1:16">
      <c r="A752"/>
      <c r="B752" s="477"/>
      <c r="C752" s="571">
        <v>2.0699999999999998</v>
      </c>
      <c r="D752" s="552">
        <v>2.4750000000000001</v>
      </c>
      <c r="E752" s="552">
        <f t="shared" si="21"/>
        <v>3.0532499999999998</v>
      </c>
      <c r="F752" s="555">
        <f>SUM($E$2:E752)/SUM($C$2:C752)</f>
        <v>-3.2385101784693636E-2</v>
      </c>
      <c r="G752" s="552">
        <f>G751+E752</f>
        <v>-76.194048223938239</v>
      </c>
      <c r="H752" s="584" t="s">
        <v>25</v>
      </c>
      <c r="I752" s="2"/>
      <c r="J752" s="2"/>
      <c r="K752" s="2"/>
      <c r="L752" s="2"/>
      <c r="O752" s="58"/>
      <c r="P752" s="58"/>
    </row>
    <row r="753" spans="1:16">
      <c r="A753"/>
      <c r="B753" s="477"/>
      <c r="C753" s="571">
        <v>2.0699999999999998</v>
      </c>
      <c r="D753" s="552"/>
      <c r="E753" s="552">
        <f t="shared" si="21"/>
        <v>-2.0699999999999998</v>
      </c>
      <c r="F753" s="555">
        <f>SUM($E$2:E753)/SUM($C$2:C753)</f>
        <v>-3.3235681803253717E-2</v>
      </c>
      <c r="G753" s="552">
        <f t="shared" si="20"/>
        <v>-78.264048223938232</v>
      </c>
      <c r="H753" s="584" t="s">
        <v>52</v>
      </c>
      <c r="I753" s="2"/>
      <c r="J753" s="2"/>
      <c r="K753" s="2"/>
      <c r="L753" s="2"/>
      <c r="O753" s="58"/>
      <c r="P753" s="58"/>
    </row>
    <row r="754" spans="1:16">
      <c r="A754"/>
      <c r="B754" s="477"/>
      <c r="C754" s="571">
        <v>2.0699999999999998</v>
      </c>
      <c r="D754" s="552">
        <v>2.08</v>
      </c>
      <c r="E754" s="552">
        <f t="shared" si="21"/>
        <v>2.2356000000000003</v>
      </c>
      <c r="F754" s="555">
        <f>SUM($E$2:E754)/SUM($C$2:C754)</f>
        <v>-3.2257953584570315E-2</v>
      </c>
      <c r="G754" s="552">
        <f t="shared" si="20"/>
        <v>-76.028448223938227</v>
      </c>
      <c r="H754" s="584" t="s">
        <v>59</v>
      </c>
      <c r="I754" s="2"/>
      <c r="J754" s="2"/>
      <c r="K754" s="2"/>
      <c r="L754" s="2"/>
      <c r="O754" s="58"/>
      <c r="P754" s="58"/>
    </row>
    <row r="755" spans="1:16">
      <c r="A755"/>
      <c r="B755" s="477"/>
      <c r="C755" s="571">
        <v>2.0699999999999998</v>
      </c>
      <c r="D755" s="552"/>
      <c r="E755" s="552">
        <f t="shared" si="21"/>
        <v>-2.0699999999999998</v>
      </c>
      <c r="F755" s="555">
        <f>SUM($E$2:E755)/SUM($C$2:C755)</f>
        <v>-3.3107152399336107E-2</v>
      </c>
      <c r="G755" s="552">
        <f t="shared" si="20"/>
        <v>-78.09844822393822</v>
      </c>
      <c r="H755" s="584" t="s">
        <v>27</v>
      </c>
      <c r="I755" s="2"/>
      <c r="J755" s="2"/>
      <c r="K755" s="2"/>
      <c r="L755" s="2"/>
      <c r="O755" s="58"/>
      <c r="P755" s="58"/>
    </row>
    <row r="756" spans="1:16">
      <c r="A756"/>
      <c r="B756" s="478"/>
      <c r="C756" s="583">
        <v>2.0699999999999998</v>
      </c>
      <c r="D756" s="581">
        <v>5.5</v>
      </c>
      <c r="E756" s="581">
        <f t="shared" si="21"/>
        <v>9.3149999999999995</v>
      </c>
      <c r="F756" s="582">
        <f>SUM($E$2:E756)/SUM($C$2:C756)</f>
        <v>-2.9132814163283796E-2</v>
      </c>
      <c r="G756" s="581">
        <f t="shared" si="20"/>
        <v>-68.783448223938223</v>
      </c>
      <c r="H756" s="373" t="s">
        <v>38</v>
      </c>
      <c r="I756" s="444">
        <f>SUM(E745:E756)</f>
        <v>10.318950000000001</v>
      </c>
      <c r="J756" s="444">
        <f>SUM(E692:E756)</f>
        <v>-27.048020000000008</v>
      </c>
      <c r="L756" s="2">
        <f>I756/C756</f>
        <v>4.9850000000000012</v>
      </c>
      <c r="O756" s="58"/>
      <c r="P756" s="58"/>
    </row>
    <row r="757" spans="1:16">
      <c r="A757"/>
      <c r="B757" s="477">
        <v>46034</v>
      </c>
      <c r="C757" s="583">
        <v>3.51</v>
      </c>
      <c r="D757" s="581">
        <v>2.145</v>
      </c>
      <c r="E757" s="581">
        <f t="shared" si="21"/>
        <v>4.0189500000000002</v>
      </c>
      <c r="F757" s="582">
        <f>SUM($E$2:E757)/SUM($C$2:C757)</f>
        <v>-2.7389893266317317E-2</v>
      </c>
      <c r="G757" s="581">
        <f t="shared" si="20"/>
        <v>-64.764498223938219</v>
      </c>
      <c r="H757" s="373" t="s">
        <v>46</v>
      </c>
      <c r="I757" s="2"/>
      <c r="J757" s="2"/>
      <c r="K757" s="2"/>
      <c r="L757" s="2"/>
      <c r="O757" s="58"/>
      <c r="P757" s="58"/>
    </row>
    <row r="758" spans="1:16">
      <c r="A758"/>
      <c r="B758" s="477"/>
      <c r="C758" s="583">
        <v>3.51</v>
      </c>
      <c r="D758" s="581">
        <v>1.98</v>
      </c>
      <c r="E758" s="581">
        <f t="shared" si="21"/>
        <v>3.4398</v>
      </c>
      <c r="F758" s="582">
        <f>SUM($E$2:E758)/SUM($C$2:C758)</f>
        <v>-2.5896707512061804E-2</v>
      </c>
      <c r="G758" s="581">
        <f t="shared" si="20"/>
        <v>-61.324698223938221</v>
      </c>
      <c r="H758" s="373" t="s">
        <v>274</v>
      </c>
      <c r="I758" s="2"/>
      <c r="J758" s="2"/>
      <c r="K758" s="2"/>
      <c r="L758" s="2"/>
      <c r="O758" s="58"/>
      <c r="P758" s="58"/>
    </row>
    <row r="759" spans="1:16">
      <c r="A759"/>
      <c r="B759" s="477"/>
      <c r="C759" s="571">
        <v>3.51</v>
      </c>
      <c r="D759" s="552">
        <v>5.5</v>
      </c>
      <c r="E759" s="552">
        <f t="shared" si="21"/>
        <v>15.795</v>
      </c>
      <c r="F759" s="555">
        <f>SUM($E$2:E759)/SUM($C$2:C759)</f>
        <v>-1.9198206338417758E-2</v>
      </c>
      <c r="G759" s="552">
        <f t="shared" si="20"/>
        <v>-45.529698223938219</v>
      </c>
      <c r="H759" s="584" t="s">
        <v>47</v>
      </c>
      <c r="I759" s="2"/>
      <c r="J759" s="2"/>
      <c r="K759" s="2"/>
      <c r="L759" s="2"/>
      <c r="O759" s="58"/>
      <c r="P759" s="58"/>
    </row>
    <row r="760" spans="1:16" ht="15.75" customHeight="1">
      <c r="A760"/>
      <c r="B760" s="477"/>
      <c r="C760" s="571">
        <v>3.51</v>
      </c>
      <c r="D760" s="552">
        <v>3.02</v>
      </c>
      <c r="E760" s="552">
        <f t="shared" si="21"/>
        <v>7.0901999999999994</v>
      </c>
      <c r="F760" s="555">
        <f>SUM($E$2:E760)/SUM($C$2:C760)</f>
        <v>-1.6184574864714744E-2</v>
      </c>
      <c r="G760" s="552">
        <f t="shared" si="20"/>
        <v>-38.439498223938216</v>
      </c>
      <c r="H760" s="584" t="s">
        <v>60</v>
      </c>
      <c r="I760" s="2"/>
      <c r="J760" s="2"/>
      <c r="K760" s="2"/>
      <c r="L760" s="2"/>
      <c r="O760" s="58"/>
      <c r="P760" s="58"/>
    </row>
    <row r="761" spans="1:16" ht="15" customHeight="1">
      <c r="A761"/>
      <c r="B761" s="477"/>
      <c r="C761" s="571">
        <v>3.51</v>
      </c>
      <c r="D761" s="552"/>
      <c r="E761" s="552">
        <f t="shared" si="21"/>
        <v>-3.51</v>
      </c>
      <c r="F761" s="555">
        <f>SUM($E$2:E761)/SUM($C$2:C761)</f>
        <v>-1.7636362125275595E-2</v>
      </c>
      <c r="G761" s="552">
        <f t="shared" si="20"/>
        <v>-41.949498223938214</v>
      </c>
      <c r="H761" s="584" t="s">
        <v>25</v>
      </c>
      <c r="I761" s="2"/>
      <c r="J761" s="2"/>
      <c r="K761" s="2"/>
      <c r="L761" s="2"/>
      <c r="O761" s="58"/>
      <c r="P761" s="58"/>
    </row>
    <row r="762" spans="1:16" ht="15" customHeight="1">
      <c r="A762"/>
      <c r="B762" s="477"/>
      <c r="C762" s="571">
        <v>3.51</v>
      </c>
      <c r="D762" s="552">
        <v>3.96</v>
      </c>
      <c r="E762" s="552">
        <f t="shared" si="21"/>
        <v>10.3896</v>
      </c>
      <c r="F762" s="555">
        <f>SUM($E$2:E762)/SUM($C$2:C762)</f>
        <v>-1.3248826964530336E-2</v>
      </c>
      <c r="G762" s="552">
        <f t="shared" si="20"/>
        <v>-31.559898223938212</v>
      </c>
      <c r="H762" s="584" t="s">
        <v>38</v>
      </c>
      <c r="I762" s="2"/>
      <c r="J762" s="2"/>
      <c r="K762" s="2"/>
      <c r="L762" s="2"/>
      <c r="O762" s="58"/>
      <c r="P762" s="58"/>
    </row>
    <row r="763" spans="1:16">
      <c r="A763"/>
      <c r="B763" s="477"/>
      <c r="C763" s="583">
        <v>3.51</v>
      </c>
      <c r="D763" s="581"/>
      <c r="E763" s="581">
        <f t="shared" si="21"/>
        <v>-3.51</v>
      </c>
      <c r="F763" s="582">
        <f>SUM($E$2:E763)/SUM($C$2:C763)</f>
        <v>-1.470066156268362E-2</v>
      </c>
      <c r="G763" s="581">
        <f t="shared" si="20"/>
        <v>-35.06989822393821</v>
      </c>
      <c r="H763" s="373" t="s">
        <v>15</v>
      </c>
      <c r="I763" s="2">
        <f>SUM(E757:E763)</f>
        <v>33.713550000000005</v>
      </c>
      <c r="L763" s="2">
        <f>I763/C763</f>
        <v>9.6050000000000022</v>
      </c>
      <c r="O763" s="58"/>
      <c r="P763" s="58"/>
    </row>
    <row r="764" spans="1:16">
      <c r="A764"/>
      <c r="B764" s="476">
        <v>46035</v>
      </c>
      <c r="C764" s="571">
        <v>3.17</v>
      </c>
      <c r="D764" s="552"/>
      <c r="E764" s="552">
        <f t="shared" si="21"/>
        <v>-3.17</v>
      </c>
      <c r="F764" s="555">
        <f>SUM($E$2:E764)/SUM($C$2:C764)</f>
        <v>-1.6008195943493106E-2</v>
      </c>
      <c r="G764" s="552">
        <f t="shared" si="20"/>
        <v>-38.239898223938212</v>
      </c>
      <c r="H764" s="584" t="s">
        <v>13</v>
      </c>
      <c r="I764" s="2"/>
      <c r="J764" s="2"/>
      <c r="K764" s="2"/>
      <c r="L764" s="2"/>
      <c r="O764" s="58"/>
      <c r="P764" s="58"/>
    </row>
    <row r="765" spans="1:16">
      <c r="A765"/>
      <c r="B765" s="477"/>
      <c r="C765" s="583">
        <v>3.17</v>
      </c>
      <c r="D765" s="581">
        <v>2.23</v>
      </c>
      <c r="E765" s="581">
        <f t="shared" si="21"/>
        <v>3.8990999999999998</v>
      </c>
      <c r="F765" s="582">
        <f>SUM($E$2:E765)/SUM($C$2:C765)</f>
        <v>-1.4356881119065718E-2</v>
      </c>
      <c r="G765" s="581">
        <f t="shared" si="20"/>
        <v>-34.340798223938215</v>
      </c>
      <c r="H765" s="373" t="s">
        <v>10</v>
      </c>
      <c r="I765" s="2">
        <f>SUM(E764:E765)</f>
        <v>0.72909999999999986</v>
      </c>
      <c r="L765" s="2">
        <f>I765/C765</f>
        <v>0.22999999999999995</v>
      </c>
      <c r="O765" s="58"/>
      <c r="P765" s="58"/>
    </row>
    <row r="766" spans="1:16">
      <c r="A766"/>
      <c r="B766" s="476">
        <v>46036</v>
      </c>
      <c r="C766" s="571">
        <v>3.17</v>
      </c>
      <c r="D766" s="552">
        <v>1.91</v>
      </c>
      <c r="E766" s="552">
        <f t="shared" si="21"/>
        <v>2.8846999999999996</v>
      </c>
      <c r="F766" s="555">
        <f>SUM($E$2:E766)/SUM($C$2:C766)</f>
        <v>-1.3133467032386013E-2</v>
      </c>
      <c r="G766" s="552">
        <f t="shared" si="20"/>
        <v>-31.456098223938216</v>
      </c>
      <c r="H766" s="584" t="s">
        <v>51</v>
      </c>
      <c r="I766" s="2"/>
      <c r="J766" s="2"/>
      <c r="K766" s="2"/>
      <c r="L766" s="2"/>
      <c r="O766" s="58"/>
      <c r="P766" s="58"/>
    </row>
    <row r="767" spans="1:16">
      <c r="A767"/>
      <c r="B767" s="477"/>
      <c r="C767" s="571">
        <v>3.17</v>
      </c>
      <c r="D767" s="552"/>
      <c r="E767" s="552">
        <f t="shared" si="21"/>
        <v>-3.17</v>
      </c>
      <c r="F767" s="555">
        <f>SUM($E$2:E767)/SUM($C$2:C767)</f>
        <v>-1.4437888079764684E-2</v>
      </c>
      <c r="G767" s="552">
        <f t="shared" si="20"/>
        <v>-34.626098223938214</v>
      </c>
      <c r="H767" s="584" t="s">
        <v>35</v>
      </c>
      <c r="I767" s="2"/>
      <c r="J767" s="2"/>
      <c r="K767" s="2"/>
      <c r="L767" s="2"/>
      <c r="O767" s="58"/>
      <c r="P767" s="58"/>
    </row>
    <row r="768" spans="1:16">
      <c r="A768"/>
      <c r="B768" s="477"/>
      <c r="C768" s="583">
        <v>3.17</v>
      </c>
      <c r="D768" s="591">
        <v>1.89</v>
      </c>
      <c r="E768" s="581">
        <f t="shared" si="21"/>
        <v>2.8212999999999999</v>
      </c>
      <c r="F768" s="582">
        <f>SUM($E$2:E768)/SUM($C$2:C768)</f>
        <v>-1.3243997678043707E-2</v>
      </c>
      <c r="G768" s="581">
        <f t="shared" si="20"/>
        <v>-31.804798223938214</v>
      </c>
      <c r="H768" s="373" t="s">
        <v>17</v>
      </c>
      <c r="I768" s="2"/>
      <c r="J768" s="2"/>
      <c r="K768" s="2"/>
      <c r="L768" s="2"/>
      <c r="O768" s="58"/>
      <c r="P768" s="58"/>
    </row>
    <row r="769" spans="1:16">
      <c r="A769"/>
      <c r="B769" s="477"/>
      <c r="C769" s="571">
        <v>3.17</v>
      </c>
      <c r="D769" s="552"/>
      <c r="E769" s="552">
        <f t="shared" si="21"/>
        <v>-3.17</v>
      </c>
      <c r="F769" s="555">
        <f>SUM($E$2:E769)/SUM($C$2:C769)</f>
        <v>-1.4544833788265108E-2</v>
      </c>
      <c r="G769" s="552">
        <f t="shared" si="20"/>
        <v>-34.974798223938215</v>
      </c>
      <c r="H769" s="584" t="s">
        <v>275</v>
      </c>
      <c r="I769" s="2"/>
      <c r="J769" s="2"/>
      <c r="K769" s="2"/>
      <c r="L769" s="2"/>
      <c r="O769" s="58"/>
      <c r="P769" s="58"/>
    </row>
    <row r="770" spans="1:16">
      <c r="A770"/>
      <c r="B770" s="477"/>
      <c r="C770" s="571">
        <v>3.17</v>
      </c>
      <c r="D770" s="552"/>
      <c r="E770" s="552">
        <f t="shared" si="21"/>
        <v>-3.17</v>
      </c>
      <c r="F770" s="555">
        <f>SUM($E$2:E770)/SUM($C$2:C770)</f>
        <v>-1.5842244640910556E-2</v>
      </c>
      <c r="G770" s="552">
        <f t="shared" si="20"/>
        <v>-38.144798223938217</v>
      </c>
      <c r="H770" s="584" t="s">
        <v>276</v>
      </c>
      <c r="I770" s="2"/>
      <c r="J770" s="2"/>
      <c r="K770" s="2"/>
      <c r="L770" s="2"/>
      <c r="O770" s="58"/>
      <c r="P770" s="58"/>
    </row>
    <row r="771" spans="1:16">
      <c r="A771"/>
      <c r="B771" s="477"/>
      <c r="C771" s="583">
        <v>3.17</v>
      </c>
      <c r="D771" s="581"/>
      <c r="E771" s="581">
        <f t="shared" si="21"/>
        <v>-3.17</v>
      </c>
      <c r="F771" s="582">
        <f>SUM($E$2:E771)/SUM($C$2:C771)</f>
        <v>-1.7136243746863497E-2</v>
      </c>
      <c r="G771" s="581">
        <f t="shared" si="20"/>
        <v>-41.314798223938219</v>
      </c>
      <c r="H771" s="373" t="s">
        <v>277</v>
      </c>
      <c r="I771" s="2"/>
      <c r="J771" s="2"/>
      <c r="K771" s="2"/>
      <c r="L771" s="2"/>
      <c r="O771" s="58"/>
      <c r="P771" s="58"/>
    </row>
    <row r="772" spans="1:16">
      <c r="A772"/>
      <c r="B772" s="477"/>
      <c r="C772" s="571">
        <v>3.17</v>
      </c>
      <c r="D772" s="552">
        <v>2.08</v>
      </c>
      <c r="E772" s="552">
        <f t="shared" si="21"/>
        <v>3.4236000000000004</v>
      </c>
      <c r="F772" s="555">
        <f>SUM($E$2:E772)/SUM($C$2:C772)</f>
        <v>-1.5695591465222682E-2</v>
      </c>
      <c r="G772" s="552">
        <f t="shared" si="20"/>
        <v>-37.891198223938218</v>
      </c>
      <c r="H772" s="584" t="s">
        <v>13</v>
      </c>
      <c r="I772" s="2"/>
      <c r="J772" s="2"/>
      <c r="K772" s="2"/>
      <c r="L772" s="2"/>
      <c r="O772" s="58"/>
      <c r="P772" s="58"/>
    </row>
    <row r="773" spans="1:16">
      <c r="A773"/>
      <c r="B773" s="477"/>
      <c r="C773" s="571">
        <v>3.17</v>
      </c>
      <c r="D773" s="592">
        <v>1.97</v>
      </c>
      <c r="E773" s="552">
        <f t="shared" si="21"/>
        <v>3.0748999999999995</v>
      </c>
      <c r="F773" s="555">
        <f>SUM($E$2:E773)/SUM($C$2:C773)</f>
        <v>-1.4402969521341185E-2</v>
      </c>
      <c r="G773" s="552">
        <f t="shared" si="20"/>
        <v>-34.816298223938219</v>
      </c>
      <c r="H773" s="584" t="s">
        <v>59</v>
      </c>
      <c r="I773" s="2"/>
      <c r="J773" s="2"/>
      <c r="K773" s="2"/>
      <c r="L773" s="2"/>
      <c r="O773" s="58"/>
      <c r="P773" s="58"/>
    </row>
    <row r="774" spans="1:16">
      <c r="A774"/>
      <c r="B774" s="477"/>
      <c r="C774" s="583">
        <v>3.17</v>
      </c>
      <c r="D774" s="591">
        <v>4.82</v>
      </c>
      <c r="E774" s="581">
        <f t="shared" si="21"/>
        <v>12.109400000000001</v>
      </c>
      <c r="F774" s="582">
        <f>SUM($E$2:E774)/SUM($C$2:C774)</f>
        <v>-9.3811938276194724E-3</v>
      </c>
      <c r="G774" s="581">
        <f t="shared" si="20"/>
        <v>-22.706898223938218</v>
      </c>
      <c r="H774" s="373" t="s">
        <v>38</v>
      </c>
      <c r="I774" s="2">
        <f>SUM(E766:E774)</f>
        <v>11.633900000000001</v>
      </c>
      <c r="L774" s="2">
        <f>I774/C774</f>
        <v>3.6700000000000004</v>
      </c>
      <c r="O774" s="58"/>
      <c r="P774" s="58"/>
    </row>
    <row r="775" spans="1:16">
      <c r="A775"/>
      <c r="B775" s="476">
        <v>46037</v>
      </c>
      <c r="C775" s="571">
        <v>2.5099999999999998</v>
      </c>
      <c r="D775" s="552"/>
      <c r="E775" s="552">
        <f t="shared" si="21"/>
        <v>-2.5099999999999998</v>
      </c>
      <c r="F775" s="555">
        <f>SUM($E$2:E775)/SUM($C$2:C775)</f>
        <v>-1.0407390165803304E-2</v>
      </c>
      <c r="G775" s="552">
        <f t="shared" si="20"/>
        <v>-25.216898223938216</v>
      </c>
      <c r="H775" s="584" t="s">
        <v>64</v>
      </c>
      <c r="I775" s="2"/>
      <c r="J775" s="2"/>
      <c r="K775" s="2"/>
      <c r="L775" s="2"/>
      <c r="O775" s="58"/>
      <c r="P775" s="58"/>
    </row>
    <row r="776" spans="1:16">
      <c r="A776"/>
      <c r="B776" s="477"/>
      <c r="C776" s="571">
        <v>2.5099999999999998</v>
      </c>
      <c r="D776" s="592">
        <v>1.92</v>
      </c>
      <c r="E776" s="552">
        <f t="shared" si="21"/>
        <v>2.3091999999999997</v>
      </c>
      <c r="F776" s="555">
        <f>SUM($E$2:E776)/SUM($C$2:C776)</f>
        <v>-9.4445651080557313E-3</v>
      </c>
      <c r="G776" s="552">
        <f t="shared" si="20"/>
        <v>-22.907698223938215</v>
      </c>
      <c r="H776" s="584" t="s">
        <v>16</v>
      </c>
      <c r="I776" s="2"/>
      <c r="J776" s="2"/>
      <c r="K776" s="2"/>
      <c r="L776" s="2"/>
      <c r="O776" s="58"/>
      <c r="P776" s="58"/>
    </row>
    <row r="777" spans="1:16">
      <c r="A777"/>
      <c r="B777" s="477"/>
      <c r="C777" s="571">
        <v>2.5099999999999998</v>
      </c>
      <c r="D777" s="592"/>
      <c r="E777" s="552">
        <f t="shared" si="21"/>
        <v>-2.5099999999999998</v>
      </c>
      <c r="F777" s="555">
        <f>SUM($E$2:E777)/SUM($C$2:C777)</f>
        <v>-1.046857422732211E-2</v>
      </c>
      <c r="G777" s="552">
        <f t="shared" si="20"/>
        <v>-25.417698223938217</v>
      </c>
      <c r="H777" s="584" t="s">
        <v>12</v>
      </c>
      <c r="I777" s="2"/>
      <c r="J777" s="2"/>
      <c r="K777" s="2"/>
      <c r="L777" s="2"/>
      <c r="O777" s="58"/>
      <c r="P777" s="58"/>
    </row>
    <row r="778" spans="1:16">
      <c r="A778"/>
      <c r="B778" s="477"/>
      <c r="C778" s="583">
        <v>2.5099999999999998</v>
      </c>
      <c r="D778" s="591"/>
      <c r="E778" s="581">
        <f t="shared" si="21"/>
        <v>-2.5099999999999998</v>
      </c>
      <c r="F778" s="582">
        <f>SUM($E$2:E778)/SUM($C$2:C778)</f>
        <v>-1.1490468347769837E-2</v>
      </c>
      <c r="G778" s="581">
        <f t="shared" si="20"/>
        <v>-27.927698223938215</v>
      </c>
      <c r="H778" s="373" t="s">
        <v>52</v>
      </c>
      <c r="I778" s="2"/>
      <c r="J778" s="2"/>
      <c r="K778" s="2"/>
      <c r="L778" s="2"/>
      <c r="O778" s="58"/>
      <c r="P778" s="58"/>
    </row>
    <row r="779" spans="1:16">
      <c r="A779"/>
      <c r="B779" s="477"/>
      <c r="C779" s="571">
        <v>2.5099999999999998</v>
      </c>
      <c r="D779" s="592">
        <v>1.89</v>
      </c>
      <c r="E779" s="552">
        <f t="shared" si="21"/>
        <v>2.2338999999999993</v>
      </c>
      <c r="F779" s="555">
        <f>SUM($E$2:E779)/SUM($C$2:C779)</f>
        <v>-1.0560454999933447E-2</v>
      </c>
      <c r="G779" s="552">
        <f t="shared" si="20"/>
        <v>-25.693798223938217</v>
      </c>
      <c r="H779" s="584" t="s">
        <v>278</v>
      </c>
      <c r="I779" s="2"/>
      <c r="J779" s="2"/>
      <c r="K779" s="2"/>
      <c r="L779" s="2"/>
      <c r="O779" s="58"/>
      <c r="P779" s="58"/>
    </row>
    <row r="780" spans="1:16">
      <c r="A780"/>
      <c r="B780" s="477"/>
      <c r="C780" s="583">
        <v>2.5099999999999998</v>
      </c>
      <c r="D780" s="591">
        <v>1.89</v>
      </c>
      <c r="E780" s="581">
        <f t="shared" si="21"/>
        <v>2.2338999999999993</v>
      </c>
      <c r="F780" s="582">
        <f>SUM($E$2:E780)/SUM($C$2:C780)</f>
        <v>-9.6323585519119403E-3</v>
      </c>
      <c r="G780" s="581">
        <f t="shared" si="20"/>
        <v>-23.459898223938218</v>
      </c>
      <c r="H780" s="373" t="s">
        <v>279</v>
      </c>
      <c r="I780" s="2"/>
      <c r="J780" s="2"/>
      <c r="K780" s="2"/>
      <c r="L780" s="2"/>
      <c r="O780" s="58"/>
      <c r="P780" s="58"/>
    </row>
    <row r="781" spans="1:16">
      <c r="A781"/>
      <c r="B781" s="477"/>
      <c r="C781" s="571">
        <v>2.5099999999999998</v>
      </c>
      <c r="D781" s="592"/>
      <c r="E781" s="552">
        <f t="shared" si="21"/>
        <v>-2.5099999999999998</v>
      </c>
      <c r="F781" s="555">
        <f>SUM($E$2:E781)/SUM($C$2:C781)</f>
        <v>-1.0651957401821984E-2</v>
      </c>
      <c r="G781" s="552">
        <f t="shared" si="20"/>
        <v>-25.969898223938216</v>
      </c>
      <c r="H781" s="584" t="s">
        <v>26</v>
      </c>
      <c r="I781" s="2"/>
      <c r="J781" s="2"/>
      <c r="K781" s="2"/>
      <c r="L781" s="2"/>
      <c r="O781" s="58"/>
      <c r="P781" s="58"/>
    </row>
    <row r="782" spans="1:16">
      <c r="A782"/>
      <c r="B782" s="477"/>
      <c r="C782" s="571">
        <v>2.5099999999999998</v>
      </c>
      <c r="D782" s="592"/>
      <c r="E782" s="552">
        <f t="shared" si="21"/>
        <v>-2.5099999999999998</v>
      </c>
      <c r="F782" s="555">
        <f>SUM($E$2:E782)/SUM($C$2:C782)</f>
        <v>-1.1669459025194343E-2</v>
      </c>
      <c r="G782" s="552">
        <f t="shared" si="20"/>
        <v>-28.479898223938214</v>
      </c>
      <c r="H782" s="584" t="s">
        <v>53</v>
      </c>
      <c r="I782" s="2"/>
      <c r="J782" s="2"/>
      <c r="K782" s="2"/>
      <c r="L782" s="2"/>
      <c r="O782" s="58"/>
      <c r="P782" s="58"/>
    </row>
    <row r="783" spans="1:16">
      <c r="A783"/>
      <c r="B783" s="477"/>
      <c r="C783" s="571">
        <v>2.5099999999999998</v>
      </c>
      <c r="D783" s="592"/>
      <c r="E783" s="552">
        <f t="shared" si="21"/>
        <v>-2.5099999999999998</v>
      </c>
      <c r="F783" s="555">
        <f>SUM($E$2:E783)/SUM($C$2:C783)</f>
        <v>-1.2684869886101052E-2</v>
      </c>
      <c r="G783" s="552">
        <f t="shared" si="20"/>
        <v>-30.989898223938212</v>
      </c>
      <c r="H783" s="584" t="s">
        <v>34</v>
      </c>
      <c r="I783" s="2"/>
      <c r="J783" s="2"/>
      <c r="K783" s="2"/>
      <c r="L783" s="2"/>
      <c r="O783" s="58"/>
      <c r="P783" s="58"/>
    </row>
    <row r="784" spans="1:16">
      <c r="A784"/>
      <c r="B784" s="478"/>
      <c r="C784" s="583">
        <v>2.5099999999999998</v>
      </c>
      <c r="D784" s="591"/>
      <c r="E784" s="581">
        <f t="shared" si="21"/>
        <v>-2.5099999999999998</v>
      </c>
      <c r="F784" s="582">
        <f>SUM($E$2:E784)/SUM($C$2:C784)</f>
        <v>-1.3698196422076659E-2</v>
      </c>
      <c r="G784" s="581">
        <f t="shared" si="20"/>
        <v>-33.49989822393821</v>
      </c>
      <c r="H784" s="373" t="s">
        <v>29</v>
      </c>
      <c r="I784" s="2">
        <f>SUM(E775:E784)</f>
        <v>-10.793000000000001</v>
      </c>
      <c r="L784" s="2">
        <f>I784/C784</f>
        <v>-4.3000000000000007</v>
      </c>
      <c r="O784" s="58"/>
      <c r="P784" s="58"/>
    </row>
    <row r="785" spans="1:16">
      <c r="A785"/>
      <c r="B785" s="477">
        <v>46038</v>
      </c>
      <c r="C785" s="571">
        <v>3.7</v>
      </c>
      <c r="D785" s="592">
        <v>1.9</v>
      </c>
      <c r="E785" s="552">
        <f t="shared" si="21"/>
        <v>3.33</v>
      </c>
      <c r="F785" s="555">
        <f>SUM($E$2:E785)/SUM($C$2:C785)</f>
        <v>-1.2317914408757727E-2</v>
      </c>
      <c r="G785" s="552">
        <f t="shared" si="20"/>
        <v>-30.169898223938212</v>
      </c>
      <c r="H785" s="584" t="s">
        <v>28</v>
      </c>
      <c r="I785" s="2"/>
      <c r="J785" s="2"/>
      <c r="K785" s="2"/>
      <c r="L785" s="2"/>
      <c r="O785" s="58"/>
      <c r="P785" s="58"/>
    </row>
    <row r="786" spans="1:16">
      <c r="A786"/>
      <c r="B786" s="477"/>
      <c r="C786" s="583">
        <v>3.7</v>
      </c>
      <c r="D786" s="591"/>
      <c r="E786" s="581">
        <f t="shared" si="21"/>
        <v>-3.7</v>
      </c>
      <c r="F786" s="582">
        <f>SUM($E$2:E786)/SUM($C$2:C786)</f>
        <v>-1.3807709928754948E-2</v>
      </c>
      <c r="G786" s="581">
        <f t="shared" si="20"/>
        <v>-33.869898223938215</v>
      </c>
      <c r="H786" s="373" t="s">
        <v>38</v>
      </c>
      <c r="I786" s="2"/>
      <c r="J786" s="2"/>
      <c r="K786" s="2"/>
      <c r="L786" s="2"/>
      <c r="O786" s="58"/>
      <c r="P786" s="58"/>
    </row>
    <row r="787" spans="1:16" ht="15" customHeight="1">
      <c r="A787"/>
      <c r="B787" s="477"/>
      <c r="C787" s="583">
        <v>3.7</v>
      </c>
      <c r="D787" s="591">
        <v>1.9</v>
      </c>
      <c r="E787" s="581">
        <f t="shared" si="21"/>
        <v>3.33</v>
      </c>
      <c r="F787" s="582">
        <f>SUM($E$2:E787)/SUM($C$2:C787)</f>
        <v>-1.2431420672674004E-2</v>
      </c>
      <c r="G787" s="581">
        <f t="shared" si="20"/>
        <v>-30.539898223938216</v>
      </c>
      <c r="H787" s="373" t="s">
        <v>280</v>
      </c>
      <c r="I787" s="2"/>
      <c r="J787" s="2"/>
      <c r="K787" s="2"/>
      <c r="L787" s="2"/>
      <c r="O787" s="58"/>
      <c r="P787" s="58"/>
    </row>
    <row r="788" spans="1:16">
      <c r="A788"/>
      <c r="B788" s="477"/>
      <c r="C788" s="571">
        <v>3.7</v>
      </c>
      <c r="D788" s="592"/>
      <c r="E788" s="552">
        <f t="shared" si="21"/>
        <v>-3.7</v>
      </c>
      <c r="F788" s="555">
        <f>SUM($E$2:E788)/SUM($C$2:C788)</f>
        <v>-1.3916564672767929E-2</v>
      </c>
      <c r="G788" s="552">
        <f t="shared" si="20"/>
        <v>-34.239898223938219</v>
      </c>
      <c r="H788" s="584" t="s">
        <v>13</v>
      </c>
      <c r="I788" s="2"/>
      <c r="J788" s="2"/>
      <c r="K788" s="2"/>
      <c r="L788" s="2"/>
      <c r="O788" s="58"/>
      <c r="P788" s="58"/>
    </row>
    <row r="789" spans="1:16">
      <c r="A789"/>
      <c r="B789" s="477"/>
      <c r="C789" s="583">
        <v>3.7</v>
      </c>
      <c r="D789" s="591"/>
      <c r="E789" s="581">
        <f t="shared" si="21"/>
        <v>-3.7</v>
      </c>
      <c r="F789" s="582">
        <f>SUM($E$2:E789)/SUM($C$2:C789)</f>
        <v>-1.5397248545673628E-2</v>
      </c>
      <c r="G789" s="581">
        <f t="shared" si="20"/>
        <v>-37.939898223938222</v>
      </c>
      <c r="H789" s="373" t="s">
        <v>25</v>
      </c>
      <c r="I789" s="2">
        <f>SUM(E785:E789)</f>
        <v>-4.4400000000000004</v>
      </c>
      <c r="L789" s="2">
        <f>I789/C789</f>
        <v>-1.2</v>
      </c>
      <c r="O789" s="58"/>
      <c r="P789" s="58"/>
    </row>
    <row r="790" spans="1:16">
      <c r="A790"/>
      <c r="B790" s="476">
        <v>46040</v>
      </c>
      <c r="C790" s="571">
        <v>3.68</v>
      </c>
      <c r="D790" s="592"/>
      <c r="E790" s="552">
        <f t="shared" si="21"/>
        <v>-3.68</v>
      </c>
      <c r="F790" s="555">
        <f>SUM($E$2:E790)/SUM($C$2:C790)</f>
        <v>-1.6865524556352141E-2</v>
      </c>
      <c r="G790" s="552">
        <f t="shared" si="20"/>
        <v>-41.619898223938222</v>
      </c>
      <c r="H790" s="589" t="s">
        <v>26</v>
      </c>
      <c r="I790" s="2"/>
      <c r="J790" s="2"/>
      <c r="K790" s="2"/>
      <c r="L790" s="2"/>
      <c r="O790" s="58"/>
      <c r="P790" s="58"/>
    </row>
    <row r="791" spans="1:16">
      <c r="A791"/>
      <c r="B791" s="477"/>
      <c r="C791" s="583">
        <v>3.68</v>
      </c>
      <c r="D791" s="591">
        <v>1.9</v>
      </c>
      <c r="E791" s="581">
        <f t="shared" si="21"/>
        <v>3.3119999999999998</v>
      </c>
      <c r="F791" s="582">
        <f>SUM($E$2:E791)/SUM($C$2:C791)</f>
        <v>-1.5500296680034645E-2</v>
      </c>
      <c r="G791" s="581">
        <f t="shared" si="20"/>
        <v>-38.307898223938224</v>
      </c>
      <c r="H791" s="373" t="s">
        <v>38</v>
      </c>
      <c r="I791" s="2"/>
      <c r="J791" s="2"/>
      <c r="K791" s="2"/>
      <c r="L791" s="2"/>
      <c r="O791" s="58"/>
      <c r="P791" s="58"/>
    </row>
    <row r="792" spans="1:16">
      <c r="A792"/>
      <c r="B792" s="477"/>
      <c r="C792" s="593">
        <v>5</v>
      </c>
      <c r="D792" s="591">
        <v>1.9</v>
      </c>
      <c r="E792" s="581">
        <f t="shared" si="21"/>
        <v>4.5</v>
      </c>
      <c r="F792" s="582">
        <f>SUM($E$2:E792)/SUM($C$2:C792)</f>
        <v>-1.3651869111558997E-2</v>
      </c>
      <c r="G792" s="581">
        <f t="shared" si="20"/>
        <v>-33.807898223938224</v>
      </c>
      <c r="H792" s="373" t="s">
        <v>281</v>
      </c>
      <c r="I792" s="2"/>
      <c r="J792" s="2"/>
      <c r="K792" s="2"/>
      <c r="L792" s="2"/>
      <c r="O792" s="58"/>
      <c r="P792" s="58"/>
    </row>
    <row r="793" spans="1:16">
      <c r="A793"/>
      <c r="B793" s="478"/>
      <c r="C793" s="583">
        <v>3.68</v>
      </c>
      <c r="D793" s="591">
        <v>1.984</v>
      </c>
      <c r="E793" s="581">
        <f t="shared" si="21"/>
        <v>3.6211199999999999</v>
      </c>
      <c r="F793" s="582">
        <f>SUM($E$2:E793)/SUM($C$2:C793)</f>
        <v>-1.2171548126469417E-2</v>
      </c>
      <c r="G793" s="581">
        <f t="shared" si="20"/>
        <v>-30.186778223938223</v>
      </c>
      <c r="H793" s="373" t="s">
        <v>10</v>
      </c>
      <c r="I793" s="444">
        <f>SUM(E790:E793)</f>
        <v>7.7531199999999991</v>
      </c>
      <c r="J793" s="444">
        <f>SUM(E757:E793)</f>
        <v>38.596669999999996</v>
      </c>
      <c r="L793" s="2">
        <f>I793/C793</f>
        <v>2.1068260869565214</v>
      </c>
      <c r="O793" s="58"/>
      <c r="P793" s="58"/>
    </row>
    <row r="794" spans="1:16">
      <c r="A794"/>
      <c r="B794" s="477">
        <v>46041</v>
      </c>
      <c r="C794" s="571">
        <v>2.48</v>
      </c>
      <c r="D794" s="592">
        <v>1.87</v>
      </c>
      <c r="E794" s="552">
        <f t="shared" si="21"/>
        <v>2.1576</v>
      </c>
      <c r="F794" s="555">
        <f>SUM($E$2:E794)/SUM($C$2:C794)</f>
        <v>-1.129029691730736E-2</v>
      </c>
      <c r="G794" s="552">
        <f t="shared" si="20"/>
        <v>-28.029178223938224</v>
      </c>
      <c r="H794" s="584" t="s">
        <v>46</v>
      </c>
      <c r="I794" s="2"/>
      <c r="J794" s="2"/>
      <c r="K794" s="2"/>
      <c r="L794" s="2"/>
      <c r="O794" s="58"/>
      <c r="P794" s="58"/>
    </row>
    <row r="795" spans="1:16">
      <c r="A795"/>
      <c r="B795" s="477"/>
      <c r="C795" s="571">
        <v>2.48</v>
      </c>
      <c r="D795" s="592">
        <v>1.9390000000000001</v>
      </c>
      <c r="E795" s="552">
        <f t="shared" si="21"/>
        <v>2.3287200000000001</v>
      </c>
      <c r="F795" s="555">
        <f>SUM($E$2:E795)/SUM($C$2:C795)</f>
        <v>-1.0341945387428962E-2</v>
      </c>
      <c r="G795" s="552">
        <f t="shared" si="20"/>
        <v>-25.700458223938224</v>
      </c>
      <c r="H795" s="584" t="s">
        <v>12</v>
      </c>
      <c r="I795" s="2"/>
      <c r="J795" s="2"/>
      <c r="K795" s="2"/>
      <c r="L795" s="2"/>
      <c r="O795" s="58"/>
      <c r="P795" s="58"/>
    </row>
    <row r="796" spans="1:16">
      <c r="A796"/>
      <c r="B796" s="477"/>
      <c r="C796" s="583">
        <v>2.48</v>
      </c>
      <c r="D796" s="591">
        <v>1.9</v>
      </c>
      <c r="E796" s="581">
        <f t="shared" si="21"/>
        <v>2.2319999999999998</v>
      </c>
      <c r="F796" s="582">
        <f>SUM($E$2:E796)/SUM($C$2:C796)</f>
        <v>-9.4343664344186465E-3</v>
      </c>
      <c r="G796" s="581">
        <f t="shared" si="20"/>
        <v>-23.468458223938224</v>
      </c>
      <c r="H796" s="373" t="s">
        <v>97</v>
      </c>
      <c r="I796" s="2"/>
      <c r="J796" s="2"/>
      <c r="K796" s="2"/>
      <c r="L796" s="2"/>
      <c r="O796" s="58"/>
      <c r="P796" s="58"/>
    </row>
    <row r="797" spans="1:16">
      <c r="A797"/>
      <c r="B797" s="477"/>
      <c r="C797" s="571">
        <v>2.48</v>
      </c>
      <c r="D797" s="592"/>
      <c r="E797" s="552">
        <f t="shared" si="21"/>
        <v>-2.48</v>
      </c>
      <c r="F797" s="555">
        <f>SUM($E$2:E797)/SUM($C$2:C797)</f>
        <v>-1.0420942006296346E-2</v>
      </c>
      <c r="G797" s="552">
        <f t="shared" si="20"/>
        <v>-25.948458223938225</v>
      </c>
      <c r="H797" s="584" t="s">
        <v>282</v>
      </c>
      <c r="I797" s="2"/>
      <c r="J797" s="2"/>
      <c r="K797" s="2"/>
      <c r="L797" s="2"/>
      <c r="O797" s="58"/>
      <c r="P797" s="58"/>
    </row>
    <row r="798" spans="1:16">
      <c r="A798"/>
      <c r="B798" s="477"/>
      <c r="C798" s="583">
        <v>2.48</v>
      </c>
      <c r="D798" s="591">
        <v>1.9</v>
      </c>
      <c r="E798" s="581">
        <f t="shared" si="21"/>
        <v>2.2319999999999998</v>
      </c>
      <c r="F798" s="582">
        <f>SUM($E$2:E798)/SUM($C$2:C798)</f>
        <v>-9.5150905007153844E-3</v>
      </c>
      <c r="G798" s="581">
        <f t="shared" si="20"/>
        <v>-23.716458223938226</v>
      </c>
      <c r="H798" s="373" t="s">
        <v>283</v>
      </c>
      <c r="I798" s="2"/>
      <c r="J798" s="2"/>
      <c r="K798" s="2"/>
      <c r="L798" s="2"/>
      <c r="O798" s="58"/>
      <c r="P798" s="58"/>
    </row>
    <row r="799" spans="1:16">
      <c r="A799"/>
      <c r="B799" s="477"/>
      <c r="C799" s="571">
        <v>2.48</v>
      </c>
      <c r="D799" s="592">
        <v>2.16</v>
      </c>
      <c r="E799" s="552">
        <f t="shared" si="21"/>
        <v>2.8768000000000007</v>
      </c>
      <c r="F799" s="555">
        <f>SUM($E$2:E799)/SUM($C$2:C799)</f>
        <v>-8.352601903790443E-3</v>
      </c>
      <c r="G799" s="552">
        <f t="shared" si="20"/>
        <v>-20.839658223938226</v>
      </c>
      <c r="H799" s="584" t="s">
        <v>34</v>
      </c>
      <c r="I799" s="2"/>
      <c r="J799" s="2"/>
      <c r="K799" s="2"/>
      <c r="L799" s="2"/>
      <c r="O799" s="58"/>
      <c r="P799" s="58"/>
    </row>
    <row r="800" spans="1:16">
      <c r="A800"/>
      <c r="B800" s="477"/>
      <c r="C800" s="571">
        <v>2.48</v>
      </c>
      <c r="D800" s="592"/>
      <c r="E800" s="552">
        <f t="shared" si="21"/>
        <v>-2.48</v>
      </c>
      <c r="F800" s="555">
        <f>SUM($E$2:E800)/SUM($C$2:C800)</f>
        <v>-9.3373126499770188E-3</v>
      </c>
      <c r="G800" s="552">
        <f t="shared" si="20"/>
        <v>-23.319658223938227</v>
      </c>
      <c r="H800" s="584" t="s">
        <v>11</v>
      </c>
      <c r="I800" s="2"/>
      <c r="J800" s="2"/>
      <c r="K800" s="2"/>
      <c r="L800" s="2"/>
      <c r="O800" s="58"/>
      <c r="P800" s="58"/>
    </row>
    <row r="801" spans="1:16">
      <c r="A801"/>
      <c r="B801" s="477"/>
      <c r="C801" s="571">
        <v>2.48</v>
      </c>
      <c r="D801" s="592"/>
      <c r="E801" s="552">
        <f t="shared" si="21"/>
        <v>-2.48</v>
      </c>
      <c r="F801" s="555">
        <f>SUM($E$2:E801)/SUM($C$2:C801)</f>
        <v>-1.0320069690969056E-2</v>
      </c>
      <c r="G801" s="552">
        <f t="shared" si="20"/>
        <v>-25.799658223938227</v>
      </c>
      <c r="H801" s="584" t="s">
        <v>47</v>
      </c>
      <c r="I801" s="2"/>
      <c r="J801" s="2"/>
      <c r="K801" s="2"/>
      <c r="L801" s="2"/>
      <c r="O801" s="58"/>
      <c r="P801" s="58"/>
    </row>
    <row r="802" spans="1:16">
      <c r="A802"/>
      <c r="B802" s="478"/>
      <c r="C802" s="583">
        <v>2.48</v>
      </c>
      <c r="D802" s="591">
        <v>1.4159999999999999</v>
      </c>
      <c r="E802" s="581">
        <f t="shared" si="21"/>
        <v>1.0316799999999997</v>
      </c>
      <c r="F802" s="582">
        <f>SUM($E$2:E802)/SUM($C$2:C802)</f>
        <v>-9.8975708507083524E-3</v>
      </c>
      <c r="G802" s="581">
        <f t="shared" si="20"/>
        <v>-24.767978223938229</v>
      </c>
      <c r="H802" s="373" t="s">
        <v>27</v>
      </c>
      <c r="I802" s="2">
        <f>SUM(E794:E802)</f>
        <v>5.4187999999999992</v>
      </c>
      <c r="L802" s="2">
        <f>I802/C802</f>
        <v>2.1849999999999996</v>
      </c>
      <c r="O802" s="58"/>
      <c r="P802" s="58"/>
    </row>
    <row r="803" spans="1:16">
      <c r="A803"/>
      <c r="B803" s="477">
        <v>46042</v>
      </c>
      <c r="C803" s="571">
        <v>3.22</v>
      </c>
      <c r="D803" s="592">
        <v>1.9</v>
      </c>
      <c r="E803" s="552">
        <f t="shared" si="21"/>
        <v>2.8980000000000001</v>
      </c>
      <c r="F803" s="555">
        <f>SUM($E$2:E803)/SUM($C$2:C803)</f>
        <v>-8.7282654097492144E-3</v>
      </c>
      <c r="G803" s="552">
        <f t="shared" si="20"/>
        <v>-21.869978223938229</v>
      </c>
      <c r="H803" s="584" t="s">
        <v>284</v>
      </c>
      <c r="I803" s="2"/>
      <c r="J803" s="2"/>
      <c r="K803" s="2"/>
      <c r="L803" s="2"/>
      <c r="O803" s="58"/>
      <c r="P803" s="58"/>
    </row>
    <row r="804" spans="1:16">
      <c r="A804"/>
      <c r="B804" s="477"/>
      <c r="C804" s="583">
        <v>3.22</v>
      </c>
      <c r="D804" s="591"/>
      <c r="E804" s="581">
        <f t="shared" si="21"/>
        <v>-3.22</v>
      </c>
      <c r="F804" s="582">
        <f>SUM($E$2:E804)/SUM($C$2:C804)</f>
        <v>-1.0000509481933342E-2</v>
      </c>
      <c r="G804" s="581">
        <f t="shared" si="20"/>
        <v>-25.089978223938228</v>
      </c>
      <c r="H804" s="373" t="s">
        <v>285</v>
      </c>
      <c r="I804" s="2"/>
      <c r="J804" s="2"/>
      <c r="K804" s="2"/>
      <c r="L804" s="2"/>
      <c r="O804" s="58"/>
      <c r="P804" s="58"/>
    </row>
    <row r="805" spans="1:16">
      <c r="A805"/>
      <c r="B805" s="477"/>
      <c r="C805" s="571">
        <v>3.22</v>
      </c>
      <c r="D805" s="592">
        <v>5.7</v>
      </c>
      <c r="E805" s="552">
        <f t="shared" si="21"/>
        <v>15.134000000000002</v>
      </c>
      <c r="F805" s="555">
        <f>SUM($E$2:E805)/SUM($C$2:C805)</f>
        <v>-3.9632251328328913E-3</v>
      </c>
      <c r="G805" s="552">
        <f t="shared" si="20"/>
        <v>-9.9559782239382262</v>
      </c>
      <c r="H805" s="584" t="s">
        <v>47</v>
      </c>
      <c r="I805" s="2"/>
      <c r="J805" s="2"/>
      <c r="K805" s="2"/>
      <c r="L805" s="2"/>
      <c r="O805" s="58"/>
      <c r="P805" s="58"/>
    </row>
    <row r="806" spans="1:16">
      <c r="A806"/>
      <c r="B806" s="477"/>
      <c r="C806" s="571">
        <v>3.22</v>
      </c>
      <c r="D806" s="592"/>
      <c r="E806" s="552">
        <f t="shared" si="21"/>
        <v>-3.22</v>
      </c>
      <c r="F806" s="555">
        <f>SUM($E$2:E806)/SUM($C$2:C806)</f>
        <v>-5.2383118676974857E-3</v>
      </c>
      <c r="G806" s="552">
        <f t="shared" si="20"/>
        <v>-13.175978223938227</v>
      </c>
      <c r="H806" s="584" t="s">
        <v>59</v>
      </c>
      <c r="I806" s="2"/>
      <c r="J806" s="2"/>
      <c r="K806" s="2"/>
      <c r="L806" s="2"/>
      <c r="O806" s="58"/>
      <c r="P806" s="58"/>
    </row>
    <row r="807" spans="1:16">
      <c r="A807"/>
      <c r="B807" s="477"/>
      <c r="C807" s="583">
        <v>3.22</v>
      </c>
      <c r="D807" s="591"/>
      <c r="E807" s="581">
        <f t="shared" si="21"/>
        <v>-3.22</v>
      </c>
      <c r="F807" s="582">
        <f>SUM($E$2:E807)/SUM($C$2:C807)</f>
        <v>-6.5101381456397767E-3</v>
      </c>
      <c r="G807" s="581">
        <f t="shared" si="20"/>
        <v>-16.395978223938226</v>
      </c>
      <c r="H807" s="373" t="s">
        <v>38</v>
      </c>
      <c r="I807" s="2">
        <f>SUM(E803:E807)</f>
        <v>8.3719999999999999</v>
      </c>
      <c r="L807" s="2">
        <f>I807/C807</f>
        <v>2.5999999999999996</v>
      </c>
      <c r="O807" s="58"/>
      <c r="P807" s="58"/>
    </row>
    <row r="808" spans="1:16">
      <c r="A808"/>
      <c r="B808" s="476">
        <v>46043</v>
      </c>
      <c r="C808" s="571">
        <v>3.26</v>
      </c>
      <c r="D808" s="592">
        <v>1.88</v>
      </c>
      <c r="E808" s="552">
        <f t="shared" si="21"/>
        <v>2.8687999999999994</v>
      </c>
      <c r="F808" s="555">
        <f>SUM($E$2:E808)/SUM($C$2:C808)</f>
        <v>-5.3641176402230793E-3</v>
      </c>
      <c r="G808" s="552">
        <f t="shared" si="20"/>
        <v>-13.527178223938225</v>
      </c>
      <c r="H808" s="584" t="s">
        <v>15</v>
      </c>
      <c r="I808" s="2"/>
      <c r="J808" s="2"/>
      <c r="K808" s="2"/>
      <c r="L808" s="2"/>
      <c r="O808" s="58"/>
      <c r="P808" s="58"/>
    </row>
    <row r="809" spans="1:16">
      <c r="A809"/>
      <c r="B809" s="477"/>
      <c r="C809" s="583">
        <v>3.26</v>
      </c>
      <c r="D809" s="591"/>
      <c r="E809" s="581">
        <f t="shared" si="21"/>
        <v>-3.26</v>
      </c>
      <c r="F809" s="582">
        <f>SUM($E$2:E809)/SUM($C$2:C809)</f>
        <v>-6.6482557667920019E-3</v>
      </c>
      <c r="G809" s="581">
        <f t="shared" si="20"/>
        <v>-16.787178223938227</v>
      </c>
      <c r="H809" s="594" t="s">
        <v>26</v>
      </c>
      <c r="I809" s="2"/>
      <c r="J809" s="2"/>
      <c r="K809" s="2"/>
      <c r="L809" s="2"/>
      <c r="O809" s="58"/>
      <c r="P809" s="58"/>
    </row>
    <row r="810" spans="1:16">
      <c r="A810"/>
      <c r="B810" s="477"/>
      <c r="C810" s="583">
        <v>3.26</v>
      </c>
      <c r="D810" s="591">
        <v>1.9</v>
      </c>
      <c r="E810" s="581">
        <f t="shared" si="21"/>
        <v>2.9339999999999993</v>
      </c>
      <c r="F810" s="582">
        <f>SUM($E$2:E810)/SUM($C$2:C810)</f>
        <v>-5.4792245507624291E-3</v>
      </c>
      <c r="G810" s="581">
        <f t="shared" si="20"/>
        <v>-13.853178223938228</v>
      </c>
      <c r="H810" s="373" t="s">
        <v>286</v>
      </c>
      <c r="I810" s="2"/>
      <c r="J810" s="2"/>
      <c r="K810" s="2"/>
      <c r="L810" s="2"/>
      <c r="O810" s="58"/>
      <c r="P810" s="58"/>
    </row>
    <row r="811" spans="1:16">
      <c r="A811"/>
      <c r="B811" s="477"/>
      <c r="C811" s="571">
        <v>3.26</v>
      </c>
      <c r="D811" s="592"/>
      <c r="E811" s="552">
        <f t="shared" si="21"/>
        <v>-3.26</v>
      </c>
      <c r="F811" s="555">
        <f>SUM($E$2:E811)/SUM($C$2:C811)</f>
        <v>-6.7599071816849387E-3</v>
      </c>
      <c r="G811" s="552">
        <f t="shared" si="20"/>
        <v>-17.113178223938228</v>
      </c>
      <c r="H811" s="584" t="s">
        <v>13</v>
      </c>
      <c r="I811" s="2"/>
      <c r="J811" s="2"/>
      <c r="K811" s="2"/>
      <c r="L811" s="2"/>
      <c r="O811" s="58"/>
      <c r="P811" s="58"/>
    </row>
    <row r="812" spans="1:16">
      <c r="A812"/>
      <c r="B812" s="478"/>
      <c r="C812" s="583">
        <v>3.26</v>
      </c>
      <c r="D812" s="591"/>
      <c r="E812" s="581">
        <f t="shared" si="21"/>
        <v>-3.26</v>
      </c>
      <c r="F812" s="582">
        <f>SUM($E$2:E812)/SUM($C$2:C812)</f>
        <v>-8.0372956860768254E-3</v>
      </c>
      <c r="G812" s="581">
        <f t="shared" ref="G812:G875" si="22">G811+E812</f>
        <v>-20.373178223938226</v>
      </c>
      <c r="H812" s="373" t="s">
        <v>34</v>
      </c>
      <c r="I812" s="2">
        <f>SUM(E808:E812)</f>
        <v>-3.9772000000000007</v>
      </c>
      <c r="L812" s="2">
        <f>I812/C812</f>
        <v>-1.2200000000000002</v>
      </c>
      <c r="O812" s="58"/>
      <c r="P812" s="58"/>
    </row>
    <row r="813" spans="1:16">
      <c r="A813"/>
      <c r="B813" s="477">
        <v>46044</v>
      </c>
      <c r="C813" s="571">
        <v>2.83</v>
      </c>
      <c r="D813" s="592">
        <v>1.87</v>
      </c>
      <c r="E813" s="552">
        <f t="shared" si="21"/>
        <v>2.4621000000000004</v>
      </c>
      <c r="F813" s="555">
        <f>SUM($E$2:E813)/SUM($C$2:C813)</f>
        <v>-7.058107951395433E-3</v>
      </c>
      <c r="G813" s="552">
        <f t="shared" si="22"/>
        <v>-17.911078223938226</v>
      </c>
      <c r="H813" s="584" t="s">
        <v>104</v>
      </c>
      <c r="I813" s="2"/>
      <c r="J813" s="2"/>
      <c r="K813" s="2"/>
      <c r="L813" s="2"/>
      <c r="O813" s="58"/>
      <c r="P813" s="58"/>
    </row>
    <row r="814" spans="1:16">
      <c r="A814"/>
      <c r="B814" s="477"/>
      <c r="C814" s="583">
        <v>2.83</v>
      </c>
      <c r="D814" s="591"/>
      <c r="E814" s="581">
        <f t="shared" si="21"/>
        <v>-2.83</v>
      </c>
      <c r="F814" s="582">
        <f>SUM($E$2:E814)/SUM($C$2:C814)</f>
        <v>-8.1642038441159456E-3</v>
      </c>
      <c r="G814" s="581">
        <f t="shared" si="22"/>
        <v>-20.741078223938224</v>
      </c>
      <c r="H814" s="373" t="s">
        <v>52</v>
      </c>
      <c r="I814" s="2"/>
      <c r="J814" s="2"/>
      <c r="K814" s="2"/>
      <c r="L814" s="2"/>
      <c r="O814" s="58"/>
      <c r="P814" s="58"/>
    </row>
    <row r="815" spans="1:16">
      <c r="A815"/>
      <c r="B815" s="477"/>
      <c r="C815" s="571">
        <v>2.83</v>
      </c>
      <c r="D815" s="592">
        <v>1.86</v>
      </c>
      <c r="E815" s="552">
        <f t="shared" ref="E815:E878" si="23">(C815*D815)-C815</f>
        <v>2.4338000000000006</v>
      </c>
      <c r="F815" s="555">
        <f>SUM($E$2:E815)/SUM($C$2:C815)</f>
        <v>-7.1981812056438549E-3</v>
      </c>
      <c r="G815" s="552">
        <f t="shared" si="22"/>
        <v>-18.307278223938223</v>
      </c>
      <c r="H815" s="584" t="s">
        <v>287</v>
      </c>
      <c r="I815" s="2"/>
      <c r="J815" s="2"/>
      <c r="K815" s="2"/>
      <c r="L815" s="2"/>
      <c r="O815" s="58"/>
      <c r="P815" s="58"/>
    </row>
    <row r="816" spans="1:16">
      <c r="A816"/>
      <c r="B816" s="477"/>
      <c r="C816" s="583">
        <v>2.83</v>
      </c>
      <c r="D816" s="591">
        <v>1.87</v>
      </c>
      <c r="E816" s="581">
        <f t="shared" si="23"/>
        <v>2.4621000000000004</v>
      </c>
      <c r="F816" s="582">
        <f>SUM($E$2:E816)/SUM($C$2:C816)</f>
        <v>-6.2231911803853441E-3</v>
      </c>
      <c r="G816" s="581">
        <f t="shared" si="22"/>
        <v>-15.845178223938223</v>
      </c>
      <c r="H816" s="373" t="s">
        <v>288</v>
      </c>
      <c r="I816" s="2"/>
      <c r="J816" s="2"/>
      <c r="K816" s="2"/>
      <c r="L816" s="2"/>
      <c r="O816" s="58"/>
      <c r="P816" s="58"/>
    </row>
    <row r="817" spans="1:16">
      <c r="A817"/>
      <c r="B817" s="477"/>
      <c r="C817" s="571">
        <v>2.83</v>
      </c>
      <c r="D817" s="592">
        <v>2.9119999999999999</v>
      </c>
      <c r="E817" s="552">
        <f t="shared" si="23"/>
        <v>5.4109599999999993</v>
      </c>
      <c r="F817" s="555">
        <f>SUM($E$2:E817)/SUM($C$2:C817)</f>
        <v>-4.0934876789689096E-3</v>
      </c>
      <c r="G817" s="552">
        <f t="shared" si="22"/>
        <v>-10.434218223938224</v>
      </c>
      <c r="H817" s="584" t="s">
        <v>15</v>
      </c>
      <c r="I817" s="2"/>
      <c r="J817" s="2"/>
      <c r="K817" s="2"/>
      <c r="L817" s="2"/>
      <c r="O817" s="58"/>
      <c r="P817" s="58"/>
    </row>
    <row r="818" spans="1:16">
      <c r="A818"/>
      <c r="B818" s="477"/>
      <c r="C818" s="571">
        <v>2.83</v>
      </c>
      <c r="D818" s="592">
        <v>2.0299999999999998</v>
      </c>
      <c r="E818" s="552">
        <f t="shared" si="23"/>
        <v>2.9148999999999994</v>
      </c>
      <c r="F818" s="555">
        <f>SUM($E$2:E818)/SUM($C$2:C818)</f>
        <v>-2.9466606933659586E-3</v>
      </c>
      <c r="G818" s="552">
        <f t="shared" si="22"/>
        <v>-7.5193182239382246</v>
      </c>
      <c r="H818" s="584" t="s">
        <v>51</v>
      </c>
      <c r="I818" s="2"/>
      <c r="J818" s="2"/>
      <c r="K818" s="2"/>
      <c r="L818" s="2"/>
      <c r="O818" s="58"/>
      <c r="P818" s="58"/>
    </row>
    <row r="819" spans="1:16">
      <c r="A819"/>
      <c r="B819" s="477"/>
      <c r="C819" s="571">
        <v>2.83</v>
      </c>
      <c r="D819" s="592"/>
      <c r="E819" s="552">
        <f t="shared" si="23"/>
        <v>-2.83</v>
      </c>
      <c r="F819" s="555">
        <f>SUM($E$2:E819)/SUM($C$2:C819)</f>
        <v>-4.0511845989799631E-3</v>
      </c>
      <c r="G819" s="552">
        <f t="shared" si="22"/>
        <v>-10.349318223938225</v>
      </c>
      <c r="H819" s="584" t="s">
        <v>11</v>
      </c>
      <c r="I819" s="2"/>
      <c r="J819" s="2"/>
      <c r="K819" s="2"/>
      <c r="L819" s="2"/>
      <c r="O819" s="58"/>
      <c r="P819" s="58"/>
    </row>
    <row r="820" spans="1:16">
      <c r="A820"/>
      <c r="B820" s="477"/>
      <c r="C820" s="571">
        <v>2.83</v>
      </c>
      <c r="D820" s="592">
        <v>2.82</v>
      </c>
      <c r="E820" s="552">
        <f t="shared" si="23"/>
        <v>5.1505999999999998</v>
      </c>
      <c r="F820" s="555">
        <f>SUM($E$2:E820)/SUM($C$2:C820)</f>
        <v>-2.0327582430832813E-3</v>
      </c>
      <c r="G820" s="552">
        <f t="shared" si="22"/>
        <v>-5.1987182239382248</v>
      </c>
      <c r="H820" s="584" t="s">
        <v>17</v>
      </c>
      <c r="I820" s="2"/>
      <c r="J820" s="2"/>
      <c r="K820" s="2"/>
      <c r="L820" s="2"/>
      <c r="O820" s="58"/>
      <c r="P820" s="58"/>
    </row>
    <row r="821" spans="1:16">
      <c r="A821"/>
      <c r="B821" s="478"/>
      <c r="C821" s="583">
        <v>2.83</v>
      </c>
      <c r="D821" s="591"/>
      <c r="E821" s="581">
        <f t="shared" si="23"/>
        <v>-2.83</v>
      </c>
      <c r="F821" s="582">
        <f>SUM($E$2:E821)/SUM($C$2:C821)</f>
        <v>-3.1358505737367438E-3</v>
      </c>
      <c r="G821" s="581">
        <f t="shared" si="22"/>
        <v>-8.028718223938224</v>
      </c>
      <c r="H821" s="373" t="s">
        <v>47</v>
      </c>
      <c r="I821" s="2">
        <f>SUM(E813:E821)</f>
        <v>12.34446</v>
      </c>
      <c r="L821" s="2">
        <f>I821/C821</f>
        <v>4.3620000000000001</v>
      </c>
      <c r="O821" s="58"/>
      <c r="P821" s="58"/>
    </row>
    <row r="822" spans="1:16">
      <c r="A822"/>
      <c r="B822" s="477">
        <v>46045</v>
      </c>
      <c r="C822" s="571">
        <v>2.88</v>
      </c>
      <c r="D822" s="592"/>
      <c r="E822" s="552">
        <f t="shared" si="23"/>
        <v>-2.88</v>
      </c>
      <c r="F822" s="555">
        <f>SUM($E$2:E822)/SUM($C$2:C822)</f>
        <v>-4.2559313914505301E-3</v>
      </c>
      <c r="G822" s="552">
        <f t="shared" si="22"/>
        <v>-10.908718223938223</v>
      </c>
      <c r="H822" s="584" t="s">
        <v>46</v>
      </c>
      <c r="I822" s="2"/>
      <c r="J822" s="2"/>
      <c r="K822" s="2"/>
      <c r="L822" s="2"/>
      <c r="O822" s="58"/>
      <c r="P822" s="58"/>
    </row>
    <row r="823" spans="1:16">
      <c r="A823"/>
      <c r="B823" s="477"/>
      <c r="C823" s="583">
        <v>2.88</v>
      </c>
      <c r="D823" s="591"/>
      <c r="E823" s="581">
        <f t="shared" si="23"/>
        <v>-2.88</v>
      </c>
      <c r="F823" s="582">
        <f>SUM($E$2:E823)/SUM($C$2:C823)</f>
        <v>-5.3734979789787276E-3</v>
      </c>
      <c r="G823" s="581">
        <f t="shared" si="22"/>
        <v>-13.788718223938222</v>
      </c>
      <c r="H823" s="373" t="s">
        <v>26</v>
      </c>
      <c r="I823" s="2"/>
      <c r="J823" s="2"/>
      <c r="K823" s="2"/>
      <c r="L823" s="2"/>
      <c r="O823" s="58"/>
      <c r="P823" s="58"/>
    </row>
    <row r="824" spans="1:16">
      <c r="A824"/>
      <c r="B824" s="477"/>
      <c r="C824" s="571">
        <v>2.88</v>
      </c>
      <c r="D824" s="592"/>
      <c r="E824" s="552">
        <f t="shared" si="23"/>
        <v>-2.88</v>
      </c>
      <c r="F824" s="555">
        <f>SUM($E$2:E824)/SUM($C$2:C824)</f>
        <v>-6.4885587923182858E-3</v>
      </c>
      <c r="G824" s="552">
        <f t="shared" si="22"/>
        <v>-16.668718223938221</v>
      </c>
      <c r="H824" s="584" t="s">
        <v>289</v>
      </c>
      <c r="I824" s="2"/>
      <c r="J824" s="2"/>
      <c r="K824" s="2"/>
      <c r="L824" s="2"/>
      <c r="O824" s="58"/>
      <c r="P824" s="58"/>
    </row>
    <row r="825" spans="1:16">
      <c r="A825"/>
      <c r="B825" s="477"/>
      <c r="C825" s="583">
        <v>2.88</v>
      </c>
      <c r="D825" s="591">
        <v>1.88</v>
      </c>
      <c r="E825" s="581">
        <f t="shared" si="23"/>
        <v>2.5343999999999998</v>
      </c>
      <c r="F825" s="582">
        <f>SUM($E$2:E825)/SUM($C$2:C825)</f>
        <v>-5.495842719917471E-3</v>
      </c>
      <c r="G825" s="581">
        <f t="shared" si="22"/>
        <v>-14.134318223938221</v>
      </c>
      <c r="H825" s="373" t="s">
        <v>290</v>
      </c>
      <c r="I825" s="2"/>
      <c r="J825" s="2"/>
      <c r="K825" s="2"/>
      <c r="L825" s="2"/>
      <c r="O825" s="58"/>
      <c r="P825" s="58"/>
    </row>
    <row r="826" spans="1:16">
      <c r="A826"/>
      <c r="B826" s="477"/>
      <c r="C826" s="571">
        <v>2.88</v>
      </c>
      <c r="D826" s="592">
        <v>2.52</v>
      </c>
      <c r="E826" s="552">
        <f t="shared" si="23"/>
        <v>4.3776000000000002</v>
      </c>
      <c r="F826" s="555">
        <f>SUM($E$2:E826)/SUM($C$2:C826)</f>
        <v>-3.7894582762800222E-3</v>
      </c>
      <c r="G826" s="552">
        <f t="shared" si="22"/>
        <v>-9.756718223938222</v>
      </c>
      <c r="H826" s="584" t="s">
        <v>53</v>
      </c>
      <c r="I826" s="2"/>
      <c r="J826" s="2"/>
      <c r="K826" s="2"/>
      <c r="L826" s="2"/>
      <c r="O826" s="58"/>
      <c r="P826" s="58"/>
    </row>
    <row r="827" spans="1:16">
      <c r="A827"/>
      <c r="B827" s="477"/>
      <c r="C827" s="571">
        <v>2.88</v>
      </c>
      <c r="D827" s="592">
        <v>2.33</v>
      </c>
      <c r="E827" s="552">
        <f t="shared" si="23"/>
        <v>3.8304</v>
      </c>
      <c r="F827" s="555">
        <f>SUM($E$2:E827)/SUM($C$2:C827)</f>
        <v>-2.2991791618255076E-3</v>
      </c>
      <c r="G827" s="552">
        <f t="shared" si="22"/>
        <v>-5.9263182239382219</v>
      </c>
      <c r="H827" s="584" t="s">
        <v>14</v>
      </c>
      <c r="I827" s="2"/>
      <c r="J827" s="2"/>
      <c r="K827" s="2"/>
      <c r="L827" s="2"/>
      <c r="O827" s="58"/>
      <c r="P827" s="58"/>
    </row>
    <row r="828" spans="1:16">
      <c r="A828"/>
      <c r="B828" s="477"/>
      <c r="C828" s="583">
        <v>2.88</v>
      </c>
      <c r="D828" s="591"/>
      <c r="E828" s="581">
        <f t="shared" si="23"/>
        <v>-2.88</v>
      </c>
      <c r="F828" s="582">
        <f>SUM($E$2:E828)/SUM($C$2:C828)</f>
        <v>-3.4126931725111712E-3</v>
      </c>
      <c r="G828" s="581">
        <f t="shared" si="22"/>
        <v>-8.8063182239382218</v>
      </c>
      <c r="H828" s="373" t="s">
        <v>52</v>
      </c>
      <c r="I828" s="2">
        <f>SUM(E822:E828)</f>
        <v>-0.77760000000000051</v>
      </c>
      <c r="L828" s="2">
        <f>I828/C828</f>
        <v>-0.27000000000000018</v>
      </c>
      <c r="O828" s="58"/>
      <c r="P828" s="58"/>
    </row>
    <row r="829" spans="1:16">
      <c r="A829"/>
      <c r="B829" s="476">
        <v>46046</v>
      </c>
      <c r="C829" s="571">
        <v>3.29</v>
      </c>
      <c r="D829" s="592">
        <v>1.9</v>
      </c>
      <c r="E829" s="552">
        <f t="shared" si="23"/>
        <v>2.9609999999999994</v>
      </c>
      <c r="F829" s="555">
        <f>SUM($E$2:E829)/SUM($C$2:C829)</f>
        <v>-2.2623389352445836E-3</v>
      </c>
      <c r="G829" s="552">
        <f t="shared" si="22"/>
        <v>-5.8453182239382224</v>
      </c>
      <c r="H829" s="584" t="s">
        <v>15</v>
      </c>
      <c r="I829" s="2"/>
      <c r="J829" s="2"/>
      <c r="K829" s="2"/>
      <c r="L829" s="2"/>
      <c r="O829" s="58"/>
      <c r="P829" s="58"/>
    </row>
    <row r="830" spans="1:16">
      <c r="A830"/>
      <c r="B830" s="477"/>
      <c r="C830" s="571">
        <v>3.29</v>
      </c>
      <c r="D830" s="595">
        <v>1.86</v>
      </c>
      <c r="E830" s="552">
        <f t="shared" si="23"/>
        <v>2.8294000000000006</v>
      </c>
      <c r="F830" s="555">
        <f>SUM($E$2:E830)/SUM($C$2:C830)</f>
        <v>-1.1657795101499035E-3</v>
      </c>
      <c r="G830" s="552">
        <f t="shared" si="22"/>
        <v>-3.0159182239382218</v>
      </c>
      <c r="H830" s="584" t="s">
        <v>51</v>
      </c>
      <c r="I830" s="2"/>
      <c r="J830" s="2"/>
      <c r="K830" s="2"/>
      <c r="L830" s="2"/>
      <c r="O830" s="58"/>
      <c r="P830" s="58"/>
    </row>
    <row r="831" spans="1:16">
      <c r="A831"/>
      <c r="B831" s="477"/>
      <c r="C831" s="571">
        <v>3.29</v>
      </c>
      <c r="D831" s="592">
        <v>1.84</v>
      </c>
      <c r="E831" s="552">
        <f t="shared" si="23"/>
        <v>2.7636000000000003</v>
      </c>
      <c r="F831" s="555">
        <f>SUM($E$2:E831)/SUM($C$2:C831)</f>
        <v>-9.7407752656310308E-5</v>
      </c>
      <c r="G831" s="552">
        <f t="shared" si="22"/>
        <v>-0.25231822393822156</v>
      </c>
      <c r="H831" s="584" t="s">
        <v>64</v>
      </c>
      <c r="I831" s="2"/>
      <c r="J831" s="2"/>
      <c r="K831" s="2"/>
      <c r="L831" s="2"/>
      <c r="O831" s="58"/>
      <c r="P831" s="58"/>
    </row>
    <row r="832" spans="1:16">
      <c r="A832"/>
      <c r="B832" s="477"/>
      <c r="C832" s="571">
        <v>3.29</v>
      </c>
      <c r="D832" s="592">
        <v>1.8620000000000001</v>
      </c>
      <c r="E832" s="552">
        <f t="shared" si="23"/>
        <v>2.8359800000000002</v>
      </c>
      <c r="F832" s="555">
        <f>SUM($E$2:E832)/SUM($C$2:C832)</f>
        <v>9.96160492308729E-4</v>
      </c>
      <c r="G832" s="552">
        <f t="shared" si="22"/>
        <v>2.5836617760617786</v>
      </c>
      <c r="H832" s="584" t="s">
        <v>35</v>
      </c>
      <c r="I832" s="2"/>
      <c r="J832" s="2"/>
      <c r="K832" s="2"/>
      <c r="L832" s="2"/>
      <c r="O832" s="58"/>
      <c r="P832" s="58"/>
    </row>
    <row r="833" spans="1:16">
      <c r="A833"/>
      <c r="B833" s="477"/>
      <c r="C833" s="583">
        <v>3.29</v>
      </c>
      <c r="D833" s="591">
        <v>1.87</v>
      </c>
      <c r="E833" s="581">
        <f t="shared" si="23"/>
        <v>2.8623000000000003</v>
      </c>
      <c r="F833" s="582">
        <f>SUM($E$2:E833)/SUM($C$2:C833)</f>
        <v>2.0970929974707445E-3</v>
      </c>
      <c r="G833" s="581">
        <f t="shared" si="22"/>
        <v>5.4459617760617789</v>
      </c>
      <c r="H833" s="373" t="s">
        <v>47</v>
      </c>
      <c r="I833" s="2"/>
      <c r="J833" s="2"/>
      <c r="K833" s="2"/>
      <c r="L833" s="2"/>
      <c r="O833" s="58"/>
      <c r="P833" s="58"/>
    </row>
    <row r="834" spans="1:16">
      <c r="A834"/>
      <c r="B834" s="477"/>
      <c r="C834" s="571">
        <v>3.29</v>
      </c>
      <c r="D834" s="592"/>
      <c r="E834" s="552">
        <f t="shared" si="23"/>
        <v>-3.29</v>
      </c>
      <c r="F834" s="555">
        <f>SUM($E$2:E834)/SUM($C$2:C834)</f>
        <v>8.2915228677092839E-4</v>
      </c>
      <c r="G834" s="552">
        <f t="shared" si="22"/>
        <v>2.1559617760617789</v>
      </c>
      <c r="H834" s="584" t="s">
        <v>213</v>
      </c>
      <c r="I834" s="2"/>
      <c r="J834" s="2"/>
      <c r="K834" s="2"/>
      <c r="L834" s="2"/>
      <c r="O834" s="58"/>
      <c r="P834" s="58"/>
    </row>
    <row r="835" spans="1:16">
      <c r="A835"/>
      <c r="B835" s="477"/>
      <c r="C835" s="571">
        <v>3.29</v>
      </c>
      <c r="D835" s="595">
        <v>1.87</v>
      </c>
      <c r="E835" s="552">
        <f t="shared" si="23"/>
        <v>2.8623000000000003</v>
      </c>
      <c r="F835" s="555">
        <f>SUM($E$2:E835)/SUM($C$2:C835)</f>
        <v>1.927513367081016E-3</v>
      </c>
      <c r="G835" s="552">
        <f t="shared" si="22"/>
        <v>5.0182617760617791</v>
      </c>
      <c r="H835" s="584" t="s">
        <v>291</v>
      </c>
      <c r="I835" s="2"/>
      <c r="J835" s="2"/>
      <c r="K835" s="2"/>
      <c r="L835" s="2"/>
      <c r="O835" s="58"/>
      <c r="P835" s="58"/>
    </row>
    <row r="836" spans="1:16">
      <c r="A836"/>
      <c r="B836" s="477"/>
      <c r="C836" s="571">
        <v>3.29</v>
      </c>
      <c r="D836" s="592">
        <v>1.8560000000000001</v>
      </c>
      <c r="E836" s="552">
        <f t="shared" si="23"/>
        <v>2.8162400000000005</v>
      </c>
      <c r="F836" s="555">
        <f>SUM($E$2:E836)/SUM($C$2:C836)</f>
        <v>3.0054326702144947E-3</v>
      </c>
      <c r="G836" s="552">
        <f t="shared" si="22"/>
        <v>7.8345017760617797</v>
      </c>
      <c r="H836" s="584" t="s">
        <v>292</v>
      </c>
      <c r="I836" s="2"/>
      <c r="J836" s="2"/>
      <c r="K836" s="2"/>
      <c r="L836" s="2"/>
      <c r="O836" s="58"/>
      <c r="P836" s="58"/>
    </row>
    <row r="837" spans="1:16">
      <c r="A837"/>
      <c r="B837" s="477"/>
      <c r="C837" s="571">
        <v>3.29</v>
      </c>
      <c r="D837" s="592">
        <v>1.9</v>
      </c>
      <c r="E837" s="552">
        <f t="shared" si="23"/>
        <v>2.9609999999999994</v>
      </c>
      <c r="F837" s="555">
        <f>SUM($E$2:E837)/SUM($C$2:C837)</f>
        <v>4.1360966472400078E-3</v>
      </c>
      <c r="G837" s="552">
        <f t="shared" si="22"/>
        <v>10.79550177606178</v>
      </c>
      <c r="H837" s="584" t="s">
        <v>293</v>
      </c>
      <c r="I837" s="2"/>
      <c r="J837" s="2"/>
      <c r="K837" s="2"/>
      <c r="L837" s="2"/>
      <c r="O837" s="58"/>
      <c r="P837" s="58"/>
    </row>
    <row r="838" spans="1:16">
      <c r="A838"/>
      <c r="B838" s="477"/>
      <c r="C838" s="571">
        <v>3.29</v>
      </c>
      <c r="D838" s="592">
        <v>1.9</v>
      </c>
      <c r="E838" s="552">
        <f t="shared" si="23"/>
        <v>2.9609999999999994</v>
      </c>
      <c r="F838" s="555">
        <f>SUM($E$2:E838)/SUM($C$2:C838)</f>
        <v>5.263913802943992E-3</v>
      </c>
      <c r="G838" s="552">
        <f t="shared" si="22"/>
        <v>13.756501776061778</v>
      </c>
      <c r="H838" s="584" t="s">
        <v>294</v>
      </c>
      <c r="I838" s="2"/>
      <c r="J838" s="2"/>
      <c r="K838" s="2"/>
      <c r="L838" s="2"/>
      <c r="O838" s="58"/>
      <c r="P838" s="58"/>
    </row>
    <row r="839" spans="1:16">
      <c r="A839"/>
      <c r="B839" s="477"/>
      <c r="C839" s="583">
        <v>3.29</v>
      </c>
      <c r="D839" s="591"/>
      <c r="E839" s="581">
        <f t="shared" si="23"/>
        <v>-3.29</v>
      </c>
      <c r="F839" s="582">
        <f>SUM($E$2:E839)/SUM($C$2:C839)</f>
        <v>3.9999624619500998E-3</v>
      </c>
      <c r="G839" s="581">
        <f t="shared" si="22"/>
        <v>10.466501776061779</v>
      </c>
      <c r="H839" s="373" t="s">
        <v>295</v>
      </c>
      <c r="I839" s="2"/>
      <c r="J839" s="2"/>
      <c r="K839" s="2"/>
      <c r="L839" s="2"/>
      <c r="O839" s="58"/>
      <c r="P839" s="58"/>
    </row>
    <row r="840" spans="1:16">
      <c r="A840"/>
      <c r="B840" s="477"/>
      <c r="C840" s="571">
        <v>3.29</v>
      </c>
      <c r="D840" s="592"/>
      <c r="E840" s="552">
        <f t="shared" si="23"/>
        <v>-3.29</v>
      </c>
      <c r="F840" s="555">
        <f>SUM($E$2:E840)/SUM($C$2:C840)</f>
        <v>2.7391855447306979E-3</v>
      </c>
      <c r="G840" s="552">
        <f t="shared" si="22"/>
        <v>7.1765017760617793</v>
      </c>
      <c r="H840" s="584" t="s">
        <v>37</v>
      </c>
      <c r="I840" s="2"/>
      <c r="J840" s="2"/>
      <c r="K840" s="2"/>
      <c r="L840" s="2"/>
      <c r="O840" s="58"/>
      <c r="P840" s="58"/>
    </row>
    <row r="841" spans="1:16">
      <c r="A841"/>
      <c r="B841" s="477"/>
      <c r="C841" s="571">
        <v>3.29</v>
      </c>
      <c r="D841" s="592"/>
      <c r="E841" s="552">
        <f t="shared" si="23"/>
        <v>-3.29</v>
      </c>
      <c r="F841" s="555">
        <f>SUM($E$2:E841)/SUM($C$2:C841)</f>
        <v>1.4815711073988024E-3</v>
      </c>
      <c r="G841" s="552">
        <f t="shared" si="22"/>
        <v>3.8865017760617793</v>
      </c>
      <c r="H841" s="584" t="s">
        <v>17</v>
      </c>
      <c r="I841" s="2"/>
      <c r="J841" s="2"/>
      <c r="K841" s="2"/>
      <c r="L841" s="2"/>
      <c r="O841" s="58"/>
      <c r="P841" s="58"/>
    </row>
    <row r="842" spans="1:16">
      <c r="A842"/>
      <c r="B842" s="477"/>
      <c r="C842" s="583">
        <v>3.29</v>
      </c>
      <c r="D842" s="591"/>
      <c r="E842" s="581">
        <f t="shared" si="23"/>
        <v>-3.29</v>
      </c>
      <c r="F842" s="582">
        <f>SUM($E$2:E842)/SUM($C$2:C842)</f>
        <v>2.271072659114632E-4</v>
      </c>
      <c r="G842" s="581">
        <f t="shared" si="22"/>
        <v>0.59650177606177923</v>
      </c>
      <c r="H842" s="373" t="s">
        <v>47</v>
      </c>
      <c r="I842" s="2">
        <f>SUM(E829:E842)</f>
        <v>9.4028200000000055</v>
      </c>
      <c r="L842" s="2">
        <f>I842/C842</f>
        <v>2.8580000000000014</v>
      </c>
      <c r="O842" s="58"/>
      <c r="P842" s="58"/>
    </row>
    <row r="843" spans="1:16">
      <c r="A843"/>
      <c r="B843" s="476">
        <v>46047</v>
      </c>
      <c r="C843" s="571">
        <v>2.92</v>
      </c>
      <c r="D843" s="590"/>
      <c r="E843" s="552">
        <f t="shared" si="23"/>
        <v>-2.92</v>
      </c>
      <c r="F843" s="555">
        <f>SUM($E$2:E843)/SUM($C$2:C843)</f>
        <v>-8.8364755382827121E-4</v>
      </c>
      <c r="G843" s="552">
        <f t="shared" si="22"/>
        <v>-2.3234982239382207</v>
      </c>
      <c r="H843" s="584" t="s">
        <v>97</v>
      </c>
      <c r="I843" s="2"/>
      <c r="J843" s="2"/>
      <c r="K843" s="2"/>
      <c r="L843" s="2"/>
      <c r="O843" s="58"/>
      <c r="P843" s="58"/>
    </row>
    <row r="844" spans="1:16">
      <c r="A844"/>
      <c r="B844" s="477"/>
      <c r="C844" s="571">
        <v>3.29</v>
      </c>
      <c r="D844" s="595">
        <v>1.9</v>
      </c>
      <c r="E844" s="552">
        <f t="shared" si="23"/>
        <v>2.9609999999999994</v>
      </c>
      <c r="F844" s="555">
        <f>SUM($E$2:E844)/SUM($C$2:C844)</f>
        <v>2.4214476078510732E-4</v>
      </c>
      <c r="G844" s="552">
        <f t="shared" si="22"/>
        <v>0.63750177606177871</v>
      </c>
      <c r="H844" s="584" t="s">
        <v>104</v>
      </c>
      <c r="I844" s="2"/>
      <c r="J844" s="2"/>
      <c r="K844" s="2"/>
      <c r="L844" s="2"/>
      <c r="O844" s="58"/>
      <c r="P844" s="58"/>
    </row>
    <row r="845" spans="1:16">
      <c r="A845"/>
      <c r="B845" s="477"/>
      <c r="C845" s="571">
        <v>2.92</v>
      </c>
      <c r="D845" s="595">
        <v>1.9</v>
      </c>
      <c r="E845" s="552">
        <f t="shared" si="23"/>
        <v>2.6280000000000001</v>
      </c>
      <c r="F845" s="555">
        <f>SUM($E$2:E845)/SUM($C$2:C845)</f>
        <v>1.2389739821530791E-3</v>
      </c>
      <c r="G845" s="552">
        <f t="shared" si="22"/>
        <v>3.2655017760617788</v>
      </c>
      <c r="H845" s="584" t="s">
        <v>30</v>
      </c>
      <c r="I845" s="2"/>
      <c r="J845" s="2"/>
      <c r="K845" s="2"/>
      <c r="L845" s="2"/>
      <c r="O845" s="58"/>
      <c r="P845" s="58"/>
    </row>
    <row r="846" spans="1:16">
      <c r="A846"/>
      <c r="B846" s="477"/>
      <c r="C846" s="571">
        <v>2.92</v>
      </c>
      <c r="D846" s="595">
        <v>1.9</v>
      </c>
      <c r="E846" s="552">
        <f t="shared" si="23"/>
        <v>2.6280000000000001</v>
      </c>
      <c r="F846" s="555">
        <f>SUM($E$2:E846)/SUM($C$2:C846)</f>
        <v>2.2335969013752713E-3</v>
      </c>
      <c r="G846" s="552">
        <f t="shared" si="22"/>
        <v>5.8935017760617789</v>
      </c>
      <c r="H846" s="584" t="s">
        <v>12</v>
      </c>
      <c r="I846" s="2"/>
      <c r="J846" s="2"/>
      <c r="K846" s="2"/>
      <c r="L846" s="2"/>
      <c r="O846" s="58"/>
      <c r="P846" s="58"/>
    </row>
    <row r="847" spans="1:16">
      <c r="A847"/>
      <c r="B847" s="477"/>
      <c r="C847" s="583">
        <v>2.92</v>
      </c>
      <c r="D847" s="596">
        <v>1.87</v>
      </c>
      <c r="E847" s="581">
        <f t="shared" si="23"/>
        <v>2.5404</v>
      </c>
      <c r="F847" s="582">
        <f>SUM($E$2:E847)/SUM($C$2:C847)</f>
        <v>3.192857734105273E-3</v>
      </c>
      <c r="G847" s="581">
        <f t="shared" si="22"/>
        <v>8.4339017760617789</v>
      </c>
      <c r="H847" s="373" t="s">
        <v>36</v>
      </c>
      <c r="I847" s="2"/>
      <c r="J847" s="2"/>
      <c r="K847" s="2"/>
      <c r="L847" s="2"/>
      <c r="O847" s="58"/>
      <c r="P847" s="58"/>
    </row>
    <row r="848" spans="1:16">
      <c r="A848"/>
      <c r="B848" s="477"/>
      <c r="C848" s="571">
        <v>2.92</v>
      </c>
      <c r="D848" s="595">
        <v>1.8480000000000001</v>
      </c>
      <c r="E848" s="552">
        <f t="shared" si="23"/>
        <v>2.4761600000000001</v>
      </c>
      <c r="F848" s="555">
        <f>SUM($E$2:E848)/SUM($C$2:C848)</f>
        <v>4.1257073510014425E-3</v>
      </c>
      <c r="G848" s="552">
        <f t="shared" si="22"/>
        <v>10.910061776061779</v>
      </c>
      <c r="H848" s="584" t="s">
        <v>296</v>
      </c>
      <c r="I848" s="2"/>
      <c r="J848" s="2"/>
      <c r="K848" s="2"/>
      <c r="L848" s="2"/>
      <c r="O848" s="58"/>
      <c r="P848" s="58"/>
    </row>
    <row r="849" spans="1:16">
      <c r="A849"/>
      <c r="B849" s="477"/>
      <c r="C849" s="571">
        <v>2.92</v>
      </c>
      <c r="D849" s="595">
        <v>1.9</v>
      </c>
      <c r="E849" s="552">
        <f t="shared" si="23"/>
        <v>2.6280000000000001</v>
      </c>
      <c r="F849" s="555">
        <f>SUM($E$2:E849)/SUM($C$2:C849)</f>
        <v>5.1138550071436924E-3</v>
      </c>
      <c r="G849" s="552">
        <f t="shared" si="22"/>
        <v>13.538061776061779</v>
      </c>
      <c r="H849" s="584" t="s">
        <v>297</v>
      </c>
      <c r="I849" s="2"/>
      <c r="J849" s="2"/>
      <c r="K849" s="2"/>
      <c r="L849" s="2"/>
      <c r="O849" s="58"/>
      <c r="P849" s="58"/>
    </row>
    <row r="850" spans="1:16">
      <c r="A850"/>
      <c r="B850" s="477"/>
      <c r="C850" s="583">
        <v>2.92</v>
      </c>
      <c r="D850" s="591">
        <v>1.8560000000000001</v>
      </c>
      <c r="E850" s="581">
        <f t="shared" si="23"/>
        <v>2.4995200000000004</v>
      </c>
      <c r="F850" s="582">
        <f>SUM($E$2:E850)/SUM($C$2:C850)</f>
        <v>6.0513467695733226E-3</v>
      </c>
      <c r="G850" s="581">
        <f t="shared" si="22"/>
        <v>16.037581776061778</v>
      </c>
      <c r="H850" s="373" t="s">
        <v>298</v>
      </c>
      <c r="I850" s="444">
        <f>SUM(E843:E850)</f>
        <v>15.441079999999999</v>
      </c>
      <c r="J850" s="444">
        <f>SUM(E794:E850)</f>
        <v>46.224360000000004</v>
      </c>
      <c r="L850" s="2">
        <f>I850/C850</f>
        <v>5.2880410958904109</v>
      </c>
      <c r="O850" s="58"/>
      <c r="P850" s="58"/>
    </row>
    <row r="851" spans="1:16">
      <c r="A851"/>
      <c r="B851" s="476">
        <v>46048</v>
      </c>
      <c r="C851" s="571">
        <v>3.4</v>
      </c>
      <c r="D851" s="595"/>
      <c r="E851" s="552">
        <f t="shared" si="23"/>
        <v>-3.4</v>
      </c>
      <c r="F851" s="555">
        <f>SUM($E$2:E851)/SUM($C$2:C851)</f>
        <v>4.7623393349016316E-3</v>
      </c>
      <c r="G851" s="552">
        <f t="shared" si="22"/>
        <v>12.637581776061777</v>
      </c>
      <c r="H851" s="584" t="s">
        <v>14</v>
      </c>
      <c r="I851" s="2"/>
      <c r="J851" s="2"/>
      <c r="K851" s="2"/>
      <c r="L851" s="2"/>
      <c r="O851" s="58"/>
      <c r="P851" s="58"/>
    </row>
    <row r="852" spans="1:16">
      <c r="A852"/>
      <c r="B852" s="477"/>
      <c r="C852" s="571">
        <v>3.4</v>
      </c>
      <c r="D852" s="595"/>
      <c r="E852" s="552">
        <f t="shared" si="23"/>
        <v>-3.4</v>
      </c>
      <c r="F852" s="555">
        <f>SUM($E$2:E852)/SUM($C$2:C852)</f>
        <v>3.476630765722034E-3</v>
      </c>
      <c r="G852" s="552">
        <f t="shared" si="22"/>
        <v>9.2375817760617771</v>
      </c>
      <c r="H852" s="584" t="s">
        <v>15</v>
      </c>
      <c r="I852" s="2"/>
      <c r="J852" s="2"/>
      <c r="K852" s="2"/>
      <c r="L852" s="2"/>
      <c r="O852" s="58"/>
      <c r="P852" s="58"/>
    </row>
    <row r="853" spans="1:16">
      <c r="A853"/>
      <c r="B853" s="477"/>
      <c r="C853" s="597">
        <v>3.4</v>
      </c>
      <c r="D853" s="592">
        <v>1.8160000000000001</v>
      </c>
      <c r="E853" s="592">
        <f t="shared" si="23"/>
        <v>2.7744000000000004</v>
      </c>
      <c r="F853" s="598">
        <f>SUM($E$2:E853)/SUM($C$2:C853)</f>
        <v>4.5150188036090569E-3</v>
      </c>
      <c r="G853" s="592">
        <f t="shared" si="22"/>
        <v>12.011981776061777</v>
      </c>
      <c r="H853" s="599" t="s">
        <v>46</v>
      </c>
      <c r="I853" s="2"/>
      <c r="J853" s="2"/>
      <c r="K853" s="2"/>
      <c r="L853" s="2"/>
      <c r="O853" s="58"/>
      <c r="P853" s="58"/>
    </row>
    <row r="854" spans="1:16">
      <c r="A854"/>
      <c r="B854" s="477"/>
      <c r="C854" s="597">
        <v>3.4</v>
      </c>
      <c r="D854" s="592">
        <v>1.9</v>
      </c>
      <c r="E854" s="592">
        <f t="shared" si="23"/>
        <v>3.06</v>
      </c>
      <c r="F854" s="598">
        <f>SUM($E$2:E854)/SUM($C$2:C854)</f>
        <v>5.6579693961978719E-3</v>
      </c>
      <c r="G854" s="592">
        <f t="shared" si="22"/>
        <v>15.071981776061778</v>
      </c>
      <c r="H854" s="599" t="s">
        <v>37</v>
      </c>
      <c r="I854" s="2"/>
      <c r="J854" s="2"/>
      <c r="K854" s="2"/>
      <c r="L854" s="2"/>
      <c r="O854" s="58"/>
      <c r="P854" s="58"/>
    </row>
    <row r="855" spans="1:16">
      <c r="A855"/>
      <c r="B855" s="477"/>
      <c r="C855" s="600">
        <v>3.4</v>
      </c>
      <c r="D855" s="591">
        <v>1.8160000000000001</v>
      </c>
      <c r="E855" s="591">
        <f t="shared" si="23"/>
        <v>2.7744000000000004</v>
      </c>
      <c r="F855" s="601">
        <f>SUM($E$2:E855)/SUM($C$2:C855)</f>
        <v>6.6909295251894978E-3</v>
      </c>
      <c r="G855" s="591">
        <f t="shared" si="22"/>
        <v>17.846381776061779</v>
      </c>
      <c r="H855" s="602" t="s">
        <v>104</v>
      </c>
      <c r="I855" s="2"/>
      <c r="J855" s="2"/>
      <c r="K855" s="2"/>
      <c r="L855" s="2"/>
      <c r="O855" s="58"/>
      <c r="P855" s="58"/>
    </row>
    <row r="856" spans="1:16">
      <c r="A856"/>
      <c r="B856" s="477"/>
      <c r="C856" s="597">
        <v>3.4</v>
      </c>
      <c r="D856" s="592"/>
      <c r="E856" s="592">
        <f t="shared" si="23"/>
        <v>-3.4</v>
      </c>
      <c r="F856" s="598">
        <f>SUM($E$2:E856)/SUM($C$2:C856)</f>
        <v>5.4093130047223352E-3</v>
      </c>
      <c r="G856" s="592">
        <f t="shared" si="22"/>
        <v>14.446381776061779</v>
      </c>
      <c r="H856" s="599" t="s">
        <v>299</v>
      </c>
      <c r="I856" s="2"/>
      <c r="J856" s="2"/>
      <c r="K856" s="2"/>
      <c r="L856" s="2"/>
      <c r="O856" s="58"/>
      <c r="P856" s="58"/>
    </row>
    <row r="857" spans="1:16">
      <c r="A857"/>
      <c r="B857" s="477"/>
      <c r="C857" s="597">
        <v>3.4</v>
      </c>
      <c r="D857" s="592">
        <v>1.835</v>
      </c>
      <c r="E857" s="592">
        <f t="shared" si="23"/>
        <v>2.839</v>
      </c>
      <c r="F857" s="598">
        <f>SUM($E$2:E857)/SUM($C$2:C857)</f>
        <v>6.4641206320232196E-3</v>
      </c>
      <c r="G857" s="592">
        <f t="shared" si="22"/>
        <v>17.285381776061779</v>
      </c>
      <c r="H857" s="599" t="s">
        <v>300</v>
      </c>
      <c r="I857" s="2"/>
      <c r="J857" s="2"/>
      <c r="K857" s="2"/>
      <c r="L857" s="2"/>
      <c r="O857" s="58"/>
      <c r="P857" s="58"/>
    </row>
    <row r="858" spans="1:16">
      <c r="A858"/>
      <c r="B858" s="477"/>
      <c r="C858" s="597">
        <v>3.4</v>
      </c>
      <c r="D858" s="592"/>
      <c r="E858" s="592">
        <f t="shared" si="23"/>
        <v>-3.4</v>
      </c>
      <c r="F858" s="598">
        <f>SUM($E$2:E858)/SUM($C$2:C858)</f>
        <v>5.1860470881105927E-3</v>
      </c>
      <c r="G858" s="592">
        <f t="shared" si="22"/>
        <v>13.885381776061779</v>
      </c>
      <c r="H858" s="599" t="s">
        <v>301</v>
      </c>
      <c r="I858" s="2"/>
      <c r="J858" s="2"/>
      <c r="K858" s="2"/>
      <c r="L858" s="2"/>
      <c r="O858" s="58"/>
      <c r="P858" s="58"/>
    </row>
    <row r="859" spans="1:16">
      <c r="A859"/>
      <c r="B859" s="477"/>
      <c r="C859" s="600">
        <v>3.4</v>
      </c>
      <c r="D859" s="591">
        <v>1.8480000000000001</v>
      </c>
      <c r="E859" s="591">
        <f t="shared" si="23"/>
        <v>2.8832</v>
      </c>
      <c r="F859" s="601">
        <f>SUM($E$2:E859)/SUM($C$2:C859)</f>
        <v>6.2549496525585889E-3</v>
      </c>
      <c r="G859" s="591">
        <f t="shared" si="22"/>
        <v>16.768581776061779</v>
      </c>
      <c r="H859" s="602" t="s">
        <v>296</v>
      </c>
      <c r="I859" s="2"/>
      <c r="J859" s="2"/>
      <c r="K859" s="2"/>
      <c r="L859" s="2"/>
      <c r="O859" s="58"/>
      <c r="P859" s="58"/>
    </row>
    <row r="860" spans="1:16">
      <c r="A860"/>
      <c r="B860" s="477"/>
      <c r="C860" s="600">
        <v>3.4</v>
      </c>
      <c r="D860" s="591"/>
      <c r="E860" s="591">
        <f t="shared" si="23"/>
        <v>-3.4</v>
      </c>
      <c r="F860" s="601">
        <f>SUM($E$2:E860)/SUM($C$2:C860)</f>
        <v>4.98037879335446E-3</v>
      </c>
      <c r="G860" s="591">
        <f t="shared" si="22"/>
        <v>13.368581776061779</v>
      </c>
      <c r="H860" s="602" t="s">
        <v>35</v>
      </c>
      <c r="I860" s="2">
        <f>SUM(E851:E860)</f>
        <v>-2.6689999999999983</v>
      </c>
      <c r="L860" s="2">
        <f>I860/C860</f>
        <v>-0.78499999999999948</v>
      </c>
      <c r="O860" s="58"/>
      <c r="P860" s="58"/>
    </row>
    <row r="861" spans="1:16">
      <c r="A861"/>
      <c r="B861" s="476">
        <v>46049</v>
      </c>
      <c r="C861" s="597">
        <v>3.4</v>
      </c>
      <c r="D861" s="592"/>
      <c r="E861" s="592">
        <f t="shared" si="23"/>
        <v>-3.4</v>
      </c>
      <c r="F861" s="598">
        <f>SUM($E$2:E861)/SUM($C$2:C861)</f>
        <v>3.7090327148481855E-3</v>
      </c>
      <c r="G861" s="592">
        <f t="shared" si="22"/>
        <v>9.9685817760617788</v>
      </c>
      <c r="H861" s="599" t="s">
        <v>11</v>
      </c>
      <c r="I861" s="2"/>
      <c r="J861" s="2"/>
      <c r="K861" s="2"/>
      <c r="L861" s="2"/>
      <c r="O861" s="58"/>
      <c r="P861" s="58"/>
    </row>
    <row r="862" spans="1:16">
      <c r="A862"/>
      <c r="B862" s="477"/>
      <c r="C862" s="597">
        <v>3.4</v>
      </c>
      <c r="D862" s="592">
        <v>1.9390000000000001</v>
      </c>
      <c r="E862" s="592">
        <f t="shared" si="23"/>
        <v>3.1926000000000001</v>
      </c>
      <c r="F862" s="598">
        <f>SUM($E$2:E862)/SUM($C$2:C862)</f>
        <v>4.8907236119959526E-3</v>
      </c>
      <c r="G862" s="592">
        <f t="shared" si="22"/>
        <v>13.161181776061779</v>
      </c>
      <c r="H862" s="599" t="s">
        <v>29</v>
      </c>
      <c r="I862" s="2"/>
      <c r="J862" s="2"/>
      <c r="K862" s="2"/>
      <c r="L862" s="2"/>
      <c r="O862" s="58"/>
      <c r="P862" s="58"/>
    </row>
    <row r="863" spans="1:16">
      <c r="A863"/>
      <c r="B863" s="477"/>
      <c r="C863" s="597">
        <v>3.4</v>
      </c>
      <c r="D863" s="592">
        <v>1.91</v>
      </c>
      <c r="E863" s="592">
        <f t="shared" si="23"/>
        <v>3.0939999999999999</v>
      </c>
      <c r="F863" s="598">
        <f>SUM($E$2:E863)/SUM($C$2:C863)</f>
        <v>6.0328385295929385E-3</v>
      </c>
      <c r="G863" s="592">
        <f t="shared" si="22"/>
        <v>16.255181776061779</v>
      </c>
      <c r="H863" s="599" t="s">
        <v>30</v>
      </c>
      <c r="I863" s="2"/>
      <c r="J863" s="2"/>
      <c r="K863" s="2"/>
      <c r="L863" s="2"/>
      <c r="O863" s="58"/>
      <c r="P863" s="58"/>
    </row>
    <row r="864" spans="1:16">
      <c r="A864"/>
      <c r="B864" s="477"/>
      <c r="C864" s="600">
        <v>3.4</v>
      </c>
      <c r="D864" s="591">
        <v>1.9</v>
      </c>
      <c r="E864" s="591">
        <f t="shared" si="23"/>
        <v>3.06</v>
      </c>
      <c r="F864" s="601">
        <f>SUM($E$2:E864)/SUM($C$2:C864)</f>
        <v>7.1594720892791197E-3</v>
      </c>
      <c r="G864" s="591">
        <f t="shared" si="22"/>
        <v>19.315181776061777</v>
      </c>
      <c r="H864" s="602" t="s">
        <v>59</v>
      </c>
      <c r="I864" s="2"/>
      <c r="J864" s="2"/>
      <c r="K864" s="2"/>
      <c r="L864" s="2"/>
      <c r="O864" s="58"/>
      <c r="P864" s="58"/>
    </row>
    <row r="865" spans="1:16">
      <c r="A865"/>
      <c r="B865" s="477"/>
      <c r="C865" s="597">
        <v>3.4</v>
      </c>
      <c r="D865" s="592">
        <v>1.825</v>
      </c>
      <c r="E865" s="592">
        <f t="shared" si="23"/>
        <v>2.8050000000000002</v>
      </c>
      <c r="F865" s="598">
        <f>SUM($E$2:E865)/SUM($C$2:C865)</f>
        <v>8.188868774108897E-3</v>
      </c>
      <c r="G865" s="592">
        <f t="shared" si="22"/>
        <v>22.120181776061777</v>
      </c>
      <c r="H865" s="599" t="s">
        <v>302</v>
      </c>
      <c r="I865" s="2"/>
      <c r="J865" s="2"/>
      <c r="K865" s="2"/>
      <c r="L865" s="2"/>
      <c r="O865" s="58"/>
      <c r="P865" s="58"/>
    </row>
    <row r="866" spans="1:16">
      <c r="A866"/>
      <c r="B866" s="477"/>
      <c r="C866" s="597">
        <v>3.4</v>
      </c>
      <c r="D866" s="592">
        <v>1.9</v>
      </c>
      <c r="E866" s="592">
        <f t="shared" si="23"/>
        <v>3.06</v>
      </c>
      <c r="F866" s="598">
        <f>SUM($E$2:E866)/SUM($C$2:C866)</f>
        <v>9.3099594313725033E-3</v>
      </c>
      <c r="G866" s="592">
        <f t="shared" si="22"/>
        <v>25.180181776061776</v>
      </c>
      <c r="H866" s="599" t="s">
        <v>303</v>
      </c>
      <c r="I866" s="2"/>
      <c r="J866" s="2"/>
      <c r="K866" s="2"/>
      <c r="L866" s="2"/>
      <c r="O866" s="58"/>
      <c r="P866" s="58"/>
    </row>
    <row r="867" spans="1:16">
      <c r="A867"/>
      <c r="B867" s="477"/>
      <c r="C867" s="597">
        <v>3.4</v>
      </c>
      <c r="D867" s="592">
        <v>1.98</v>
      </c>
      <c r="E867" s="592">
        <f t="shared" si="23"/>
        <v>3.3320000000000003</v>
      </c>
      <c r="F867" s="598">
        <f>SUM($E$2:E867)/SUM($C$2:C867)</f>
        <v>1.0528676271140349E-2</v>
      </c>
      <c r="G867" s="592">
        <f t="shared" si="22"/>
        <v>28.512181776061777</v>
      </c>
      <c r="H867" s="599" t="s">
        <v>304</v>
      </c>
      <c r="I867" s="2"/>
      <c r="J867" s="2"/>
      <c r="K867" s="2"/>
      <c r="L867" s="2"/>
      <c r="O867" s="58"/>
      <c r="P867" s="58"/>
    </row>
    <row r="868" spans="1:16">
      <c r="A868"/>
      <c r="B868" s="477"/>
      <c r="C868" s="597">
        <v>3.4</v>
      </c>
      <c r="D868" s="592">
        <v>1.85</v>
      </c>
      <c r="E868" s="592">
        <f t="shared" si="23"/>
        <v>2.89</v>
      </c>
      <c r="F868" s="598">
        <f>SUM($E$2:E868)/SUM($C$2:C868)</f>
        <v>1.1581324301042471E-2</v>
      </c>
      <c r="G868" s="592">
        <f t="shared" si="22"/>
        <v>31.402181776061777</v>
      </c>
      <c r="H868" s="599" t="s">
        <v>305</v>
      </c>
      <c r="I868" s="2"/>
      <c r="J868" s="2"/>
      <c r="K868" s="2"/>
      <c r="L868" s="2"/>
      <c r="O868" s="58"/>
      <c r="P868" s="58"/>
    </row>
    <row r="869" spans="1:16">
      <c r="A869"/>
      <c r="B869" s="477"/>
      <c r="C869" s="600">
        <v>3.4</v>
      </c>
      <c r="D869" s="591">
        <v>1.825</v>
      </c>
      <c r="E869" s="591">
        <f t="shared" si="23"/>
        <v>2.8050000000000002</v>
      </c>
      <c r="F869" s="601">
        <f>SUM($E$2:E869)/SUM($C$2:C869)</f>
        <v>1.260002643831578E-2</v>
      </c>
      <c r="G869" s="591">
        <f t="shared" si="22"/>
        <v>34.20718177606178</v>
      </c>
      <c r="H869" s="602" t="s">
        <v>306</v>
      </c>
      <c r="I869" s="2"/>
      <c r="J869" s="2"/>
      <c r="K869" s="2"/>
      <c r="L869" s="2"/>
      <c r="O869" s="58"/>
      <c r="P869" s="58"/>
    </row>
    <row r="870" spans="1:16">
      <c r="A870"/>
      <c r="B870" s="477"/>
      <c r="C870" s="600">
        <v>3.4</v>
      </c>
      <c r="D870" s="591"/>
      <c r="E870" s="591">
        <f t="shared" si="23"/>
        <v>-3.4</v>
      </c>
      <c r="F870" s="601">
        <f>SUM($E$2:E870)/SUM($C$2:C870)</f>
        <v>1.1333461519750431E-2</v>
      </c>
      <c r="G870" s="591">
        <f t="shared" si="22"/>
        <v>30.807181776061782</v>
      </c>
      <c r="H870" s="602" t="s">
        <v>59</v>
      </c>
      <c r="I870" s="2">
        <f>SUM(E861:E870)</f>
        <v>17.438600000000001</v>
      </c>
      <c r="L870" s="2">
        <f>I870/C870</f>
        <v>5.1290000000000004</v>
      </c>
      <c r="O870" s="58"/>
      <c r="P870" s="58"/>
    </row>
    <row r="871" spans="1:16">
      <c r="A871"/>
      <c r="B871" s="476">
        <v>46050</v>
      </c>
      <c r="C871" s="597">
        <v>2.71</v>
      </c>
      <c r="D871" s="592"/>
      <c r="E871" s="592">
        <f t="shared" si="23"/>
        <v>-2.71</v>
      </c>
      <c r="F871" s="598">
        <f>SUM($E$2:E871)/SUM($C$2:C871)</f>
        <v>1.032620169942286E-2</v>
      </c>
      <c r="G871" s="592">
        <f t="shared" si="22"/>
        <v>28.097181776061781</v>
      </c>
      <c r="H871" s="599" t="s">
        <v>46</v>
      </c>
      <c r="I871" s="2"/>
      <c r="J871" s="2"/>
      <c r="K871" s="2"/>
      <c r="L871" s="2"/>
      <c r="O871" s="58"/>
      <c r="P871" s="58"/>
    </row>
    <row r="872" spans="1:16">
      <c r="A872"/>
      <c r="B872" s="477"/>
      <c r="C872" s="597">
        <v>2.71</v>
      </c>
      <c r="D872" s="592">
        <v>1.8160000000000001</v>
      </c>
      <c r="E872" s="592">
        <f t="shared" si="23"/>
        <v>2.21136</v>
      </c>
      <c r="F872" s="598">
        <f>SUM($E$2:E872)/SUM($C$2:C872)</f>
        <v>1.1127831850430344E-2</v>
      </c>
      <c r="G872" s="592">
        <f t="shared" si="22"/>
        <v>30.30854177606178</v>
      </c>
      <c r="H872" s="599" t="s">
        <v>60</v>
      </c>
      <c r="I872" s="2"/>
      <c r="J872" s="2"/>
      <c r="K872" s="2"/>
      <c r="L872" s="2"/>
      <c r="O872" s="58"/>
      <c r="P872" s="58"/>
    </row>
    <row r="873" spans="1:16">
      <c r="A873"/>
      <c r="B873" s="477"/>
      <c r="C873" s="597">
        <v>2.71</v>
      </c>
      <c r="D873" s="592">
        <v>1.84</v>
      </c>
      <c r="E873" s="592">
        <f t="shared" si="23"/>
        <v>2.2763999999999998</v>
      </c>
      <c r="F873" s="598">
        <f>SUM($E$2:E873)/SUM($C$2:C873)</f>
        <v>1.1951724182271584E-2</v>
      </c>
      <c r="G873" s="592">
        <f t="shared" si="22"/>
        <v>32.584941776061783</v>
      </c>
      <c r="H873" s="599" t="s">
        <v>37</v>
      </c>
      <c r="I873" s="2"/>
      <c r="J873" s="2"/>
      <c r="K873" s="2"/>
      <c r="L873" s="2"/>
      <c r="O873" s="58"/>
      <c r="P873" s="58"/>
    </row>
    <row r="874" spans="1:16">
      <c r="A874"/>
      <c r="B874" s="477"/>
      <c r="C874" s="597">
        <v>2.71</v>
      </c>
      <c r="D874" s="592">
        <v>1.9</v>
      </c>
      <c r="E874" s="592">
        <f t="shared" si="23"/>
        <v>2.4390000000000001</v>
      </c>
      <c r="F874" s="598">
        <f>SUM($E$2:E874)/SUM($C$2:C874)</f>
        <v>1.283356055537252E-2</v>
      </c>
      <c r="G874" s="592">
        <f t="shared" si="22"/>
        <v>35.023941776061783</v>
      </c>
      <c r="H874" s="599" t="s">
        <v>25</v>
      </c>
      <c r="I874" s="2"/>
      <c r="J874" s="2"/>
      <c r="K874" s="2"/>
      <c r="L874" s="2"/>
      <c r="O874" s="58"/>
      <c r="P874" s="58"/>
    </row>
    <row r="875" spans="1:16">
      <c r="A875"/>
      <c r="B875" s="477"/>
      <c r="C875" s="600">
        <v>2.71</v>
      </c>
      <c r="D875" s="591"/>
      <c r="E875" s="591">
        <f t="shared" si="23"/>
        <v>-2.71</v>
      </c>
      <c r="F875" s="601">
        <f>SUM($E$2:E875)/SUM($C$2:C875)</f>
        <v>1.1828809494129001E-2</v>
      </c>
      <c r="G875" s="591">
        <f t="shared" si="22"/>
        <v>32.313941776061782</v>
      </c>
      <c r="H875" s="602" t="s">
        <v>47</v>
      </c>
      <c r="I875" s="2"/>
      <c r="J875" s="2"/>
      <c r="K875" s="2"/>
      <c r="L875" s="2"/>
      <c r="O875" s="58"/>
      <c r="P875" s="58"/>
    </row>
    <row r="876" spans="1:16">
      <c r="A876"/>
      <c r="B876" s="477"/>
      <c r="C876" s="597">
        <v>2.71</v>
      </c>
      <c r="D876" s="592">
        <v>1.825</v>
      </c>
      <c r="E876" s="592">
        <f t="shared" si="23"/>
        <v>2.2357499999999995</v>
      </c>
      <c r="F876" s="598">
        <f>SUM($E$2:E876)/SUM($C$2:C876)</f>
        <v>1.2634692056734693E-2</v>
      </c>
      <c r="G876" s="592">
        <f t="shared" ref="G876:G939" si="24">G875+E876</f>
        <v>34.549691776061778</v>
      </c>
      <c r="H876" s="599" t="s">
        <v>307</v>
      </c>
      <c r="I876" s="2"/>
      <c r="J876" s="2"/>
      <c r="K876" s="2"/>
      <c r="L876" s="2"/>
      <c r="O876" s="58"/>
      <c r="P876" s="58"/>
    </row>
    <row r="877" spans="1:16">
      <c r="A877"/>
      <c r="B877" s="477"/>
      <c r="C877" s="597">
        <v>2.71</v>
      </c>
      <c r="D877" s="592">
        <v>1.8160000000000001</v>
      </c>
      <c r="E877" s="592">
        <f t="shared" si="23"/>
        <v>2.21136</v>
      </c>
      <c r="F877" s="598">
        <f>SUM($E$2:E877)/SUM($C$2:C877)</f>
        <v>1.3430068381811317E-2</v>
      </c>
      <c r="G877" s="592">
        <f t="shared" si="24"/>
        <v>36.761051776061777</v>
      </c>
      <c r="H877" s="599" t="s">
        <v>308</v>
      </c>
      <c r="I877" s="2"/>
      <c r="J877" s="2"/>
      <c r="K877" s="2"/>
      <c r="L877" s="2"/>
      <c r="O877" s="58"/>
      <c r="P877" s="58"/>
    </row>
    <row r="878" spans="1:16">
      <c r="A878"/>
      <c r="B878" s="477"/>
      <c r="C878" s="597">
        <v>2.71</v>
      </c>
      <c r="D878" s="592">
        <v>1.835</v>
      </c>
      <c r="E878" s="592">
        <f t="shared" si="23"/>
        <v>2.2628500000000003</v>
      </c>
      <c r="F878" s="598">
        <f>SUM($E$2:E878)/SUM($C$2:C878)</f>
        <v>1.4242663781943903E-2</v>
      </c>
      <c r="G878" s="592">
        <f t="shared" si="24"/>
        <v>39.023901776061777</v>
      </c>
      <c r="H878" s="599" t="s">
        <v>309</v>
      </c>
      <c r="I878" s="2"/>
      <c r="J878" s="2"/>
      <c r="K878" s="2"/>
      <c r="L878" s="2"/>
      <c r="O878" s="58"/>
      <c r="P878" s="58"/>
    </row>
    <row r="879" spans="1:16">
      <c r="A879"/>
      <c r="B879" s="477"/>
      <c r="C879" s="597">
        <v>2.71</v>
      </c>
      <c r="D879" s="592"/>
      <c r="E879" s="592">
        <f t="shared" ref="E879:E942" si="25">(C879*D879)-C879</f>
        <v>-2.71</v>
      </c>
      <c r="F879" s="598">
        <f>SUM($E$2:E879)/SUM($C$2:C879)</f>
        <v>1.324049156143773E-2</v>
      </c>
      <c r="G879" s="592">
        <f t="shared" si="24"/>
        <v>36.313901776061776</v>
      </c>
      <c r="H879" s="599" t="s">
        <v>310</v>
      </c>
      <c r="I879" s="2"/>
      <c r="J879" s="2"/>
      <c r="K879" s="2"/>
      <c r="L879" s="2"/>
      <c r="O879" s="58"/>
      <c r="P879" s="58"/>
    </row>
    <row r="880" spans="1:16">
      <c r="A880"/>
      <c r="B880" s="477"/>
      <c r="C880" s="597">
        <v>2.71</v>
      </c>
      <c r="D880" s="592">
        <v>1.9</v>
      </c>
      <c r="E880" s="592">
        <f t="shared" si="25"/>
        <v>2.4390000000000001</v>
      </c>
      <c r="F880" s="598">
        <f>SUM($E$2:E880)/SUM($C$2:C880)</f>
        <v>1.4115832872333785E-2</v>
      </c>
      <c r="G880" s="592">
        <f t="shared" si="24"/>
        <v>38.752901776061776</v>
      </c>
      <c r="H880" s="599" t="s">
        <v>169</v>
      </c>
      <c r="I880" s="2"/>
      <c r="J880" s="2"/>
      <c r="K880" s="2"/>
      <c r="L880" s="2"/>
      <c r="O880" s="58"/>
      <c r="P880" s="58"/>
    </row>
    <row r="881" spans="1:16">
      <c r="A881"/>
      <c r="B881" s="477"/>
      <c r="C881" s="597">
        <v>2.71</v>
      </c>
      <c r="D881" s="592">
        <v>1.825</v>
      </c>
      <c r="E881" s="592">
        <f t="shared" si="25"/>
        <v>2.2357499999999995</v>
      </c>
      <c r="F881" s="598">
        <f>SUM($E$2:E881)/SUM($C$2:C881)</f>
        <v>1.4915486479939136E-2</v>
      </c>
      <c r="G881" s="592">
        <f t="shared" si="24"/>
        <v>40.988651776061772</v>
      </c>
      <c r="H881" s="599" t="s">
        <v>311</v>
      </c>
      <c r="I881" s="2"/>
      <c r="J881" s="2"/>
      <c r="K881" s="2"/>
      <c r="L881" s="2"/>
      <c r="O881" s="58"/>
      <c r="P881" s="58"/>
    </row>
    <row r="882" spans="1:16">
      <c r="A882"/>
      <c r="B882" s="477"/>
      <c r="C882" s="600">
        <v>2.71</v>
      </c>
      <c r="D882" s="591"/>
      <c r="E882" s="591">
        <f t="shared" si="25"/>
        <v>-2.71</v>
      </c>
      <c r="F882" s="601">
        <f>SUM($E$2:E882)/SUM($C$2:C882)</f>
        <v>1.3915613365007455E-2</v>
      </c>
      <c r="G882" s="591">
        <f t="shared" si="24"/>
        <v>38.278651776061771</v>
      </c>
      <c r="H882" s="602" t="s">
        <v>312</v>
      </c>
      <c r="I882" s="2"/>
      <c r="J882" s="2"/>
      <c r="K882" s="2"/>
      <c r="L882" s="2"/>
      <c r="O882" s="58"/>
      <c r="P882" s="58"/>
    </row>
    <row r="883" spans="1:16">
      <c r="A883"/>
      <c r="B883" s="477"/>
      <c r="C883" s="597">
        <v>2.71</v>
      </c>
      <c r="D883" s="592">
        <v>2.19</v>
      </c>
      <c r="E883" s="592">
        <f t="shared" si="25"/>
        <v>3.2248999999999999</v>
      </c>
      <c r="F883" s="598">
        <f>SUM($E$2:E883)/SUM($C$2:C883)</f>
        <v>1.5073126289663095E-2</v>
      </c>
      <c r="G883" s="592">
        <f t="shared" si="24"/>
        <v>41.503551776061769</v>
      </c>
      <c r="H883" s="599" t="s">
        <v>60</v>
      </c>
      <c r="I883" s="2"/>
      <c r="J883" s="2"/>
      <c r="K883" s="2"/>
      <c r="L883" s="2"/>
      <c r="O883" s="58"/>
      <c r="P883" s="58"/>
    </row>
    <row r="884" spans="1:16">
      <c r="A884"/>
      <c r="B884" s="477"/>
      <c r="C884" s="597">
        <v>2.71</v>
      </c>
      <c r="D884" s="592">
        <v>2.08</v>
      </c>
      <c r="E884" s="592">
        <f t="shared" si="25"/>
        <v>2.9268000000000001</v>
      </c>
      <c r="F884" s="598">
        <f>SUM($E$2:E884)/SUM($C$2:C884)</f>
        <v>1.6120206435717974E-2</v>
      </c>
      <c r="G884" s="592">
        <f t="shared" si="24"/>
        <v>44.430351776061769</v>
      </c>
      <c r="H884" s="599" t="s">
        <v>29</v>
      </c>
      <c r="I884" s="2"/>
      <c r="J884" s="2"/>
      <c r="K884" s="2"/>
      <c r="L884" s="2"/>
      <c r="O884" s="58"/>
      <c r="P884" s="58"/>
    </row>
    <row r="885" spans="1:16">
      <c r="A885"/>
      <c r="B885" s="477"/>
      <c r="C885" s="600">
        <v>2.71</v>
      </c>
      <c r="D885" s="591"/>
      <c r="E885" s="591">
        <f t="shared" si="25"/>
        <v>-2.71</v>
      </c>
      <c r="F885" s="601">
        <f>SUM($E$2:E885)/SUM($C$2:C885)</f>
        <v>1.5122096406561142E-2</v>
      </c>
      <c r="G885" s="591">
        <f t="shared" si="24"/>
        <v>41.720351776061769</v>
      </c>
      <c r="H885" s="602" t="s">
        <v>17</v>
      </c>
      <c r="I885" s="2">
        <f>SUM(E871:E885)</f>
        <v>10.913169999999997</v>
      </c>
      <c r="L885" s="2">
        <f>I885/C885</f>
        <v>4.0269999999999992</v>
      </c>
      <c r="O885" s="58"/>
      <c r="P885" s="58"/>
    </row>
    <row r="886" spans="1:16">
      <c r="A886"/>
      <c r="B886" s="476">
        <v>46051</v>
      </c>
      <c r="C886" s="597">
        <v>3.09</v>
      </c>
      <c r="D886" s="592">
        <v>1.8260000000000001</v>
      </c>
      <c r="E886" s="592">
        <f t="shared" si="25"/>
        <v>2.5523400000000001</v>
      </c>
      <c r="F886" s="598">
        <f>SUM($E$2:E886)/SUM($C$2:C886)</f>
        <v>1.6029273015493003E-2</v>
      </c>
      <c r="G886" s="592">
        <f t="shared" si="24"/>
        <v>44.27269177606177</v>
      </c>
      <c r="H886" s="599" t="s">
        <v>51</v>
      </c>
      <c r="I886" s="2"/>
      <c r="J886" s="2"/>
      <c r="K886" s="2"/>
      <c r="L886" s="2"/>
      <c r="O886" s="58"/>
      <c r="P886" s="58"/>
    </row>
    <row r="887" spans="1:16">
      <c r="A887"/>
      <c r="B887" s="477"/>
      <c r="C887" s="597">
        <v>3.09</v>
      </c>
      <c r="D887" s="592">
        <v>1.8260000000000001</v>
      </c>
      <c r="E887" s="592">
        <f t="shared" si="25"/>
        <v>2.5523400000000001</v>
      </c>
      <c r="F887" s="598">
        <f>SUM($E$2:E887)/SUM($C$2:C887)</f>
        <v>1.6934422069546453E-2</v>
      </c>
      <c r="G887" s="592">
        <f t="shared" si="24"/>
        <v>46.82503177606177</v>
      </c>
      <c r="H887" s="599" t="s">
        <v>35</v>
      </c>
      <c r="I887" s="2"/>
      <c r="J887" s="2"/>
      <c r="K887" s="2"/>
      <c r="L887" s="2"/>
      <c r="O887" s="58"/>
      <c r="P887" s="58"/>
    </row>
    <row r="888" spans="1:16">
      <c r="A888"/>
      <c r="B888" s="477"/>
      <c r="C888" s="600">
        <v>3.09</v>
      </c>
      <c r="D888" s="591">
        <v>1.9</v>
      </c>
      <c r="E888" s="591">
        <f t="shared" si="25"/>
        <v>2.7809999999999997</v>
      </c>
      <c r="F888" s="601">
        <f>SUM($E$2:E888)/SUM($C$2:C888)</f>
        <v>1.7920153666885156E-2</v>
      </c>
      <c r="G888" s="591">
        <f t="shared" si="24"/>
        <v>49.606031776061769</v>
      </c>
      <c r="H888" s="602" t="s">
        <v>36</v>
      </c>
      <c r="I888" s="2"/>
      <c r="J888" s="2"/>
      <c r="K888" s="2"/>
      <c r="L888" s="2"/>
      <c r="O888" s="58"/>
      <c r="P888" s="58"/>
    </row>
    <row r="889" spans="1:16">
      <c r="A889"/>
      <c r="B889" s="477"/>
      <c r="C889" s="597">
        <v>3.09</v>
      </c>
      <c r="D889" s="592">
        <v>1.8160000000000001</v>
      </c>
      <c r="E889" s="592">
        <f t="shared" si="25"/>
        <v>2.5214400000000001</v>
      </c>
      <c r="F889" s="598">
        <f>SUM($E$2:E889)/SUM($C$2:C889)</f>
        <v>1.8810025683646234E-2</v>
      </c>
      <c r="G889" s="592">
        <f t="shared" si="24"/>
        <v>52.127471776061768</v>
      </c>
      <c r="H889" s="599" t="s">
        <v>313</v>
      </c>
      <c r="I889" s="2"/>
      <c r="J889" s="2"/>
      <c r="K889" s="2"/>
      <c r="L889" s="2"/>
      <c r="O889" s="58"/>
      <c r="P889" s="58"/>
    </row>
    <row r="890" spans="1:16">
      <c r="A890"/>
      <c r="B890" s="477"/>
      <c r="C890" s="597">
        <v>3.09</v>
      </c>
      <c r="D890" s="592">
        <v>1.81</v>
      </c>
      <c r="E890" s="592">
        <f t="shared" si="25"/>
        <v>2.5029000000000003</v>
      </c>
      <c r="F890" s="598">
        <f>SUM($E$2:E890)/SUM($C$2:C890)</f>
        <v>1.9691232820682844E-2</v>
      </c>
      <c r="G890" s="592">
        <f t="shared" si="24"/>
        <v>54.630371776061764</v>
      </c>
      <c r="H890" s="599" t="s">
        <v>314</v>
      </c>
      <c r="I890" s="2"/>
      <c r="J890" s="2"/>
      <c r="K890" s="2"/>
      <c r="L890" s="2"/>
      <c r="O890" s="58"/>
      <c r="P890" s="58"/>
    </row>
    <row r="891" spans="1:16">
      <c r="A891"/>
      <c r="B891" s="477"/>
      <c r="C891" s="597">
        <v>3.09</v>
      </c>
      <c r="D891" s="592"/>
      <c r="E891" s="592">
        <f t="shared" si="25"/>
        <v>-3.09</v>
      </c>
      <c r="F891" s="598">
        <f>SUM($E$2:E891)/SUM($C$2:C891)</f>
        <v>1.8556790345088087E-2</v>
      </c>
      <c r="G891" s="592">
        <f t="shared" si="24"/>
        <v>51.540371776061761</v>
      </c>
      <c r="H891" s="599" t="s">
        <v>315</v>
      </c>
      <c r="I891" s="2"/>
      <c r="J891" s="2"/>
      <c r="K891" s="2"/>
      <c r="L891" s="2"/>
      <c r="O891" s="58"/>
      <c r="P891" s="58"/>
    </row>
    <row r="892" spans="1:16">
      <c r="A892"/>
      <c r="B892" s="477"/>
      <c r="C892" s="597">
        <v>3.09</v>
      </c>
      <c r="D892" s="592"/>
      <c r="E892" s="592">
        <f t="shared" si="25"/>
        <v>-3.09</v>
      </c>
      <c r="F892" s="598">
        <f>SUM($E$2:E892)/SUM($C$2:C892)</f>
        <v>1.7424869278900593E-2</v>
      </c>
      <c r="G892" s="592">
        <f t="shared" si="24"/>
        <v>48.450371776061758</v>
      </c>
      <c r="H892" s="599" t="s">
        <v>316</v>
      </c>
      <c r="I892" s="2"/>
      <c r="J892" s="2"/>
      <c r="K892" s="2"/>
      <c r="L892" s="2"/>
      <c r="O892" s="58"/>
      <c r="P892" s="58"/>
    </row>
    <row r="893" spans="1:16">
      <c r="A893"/>
      <c r="B893" s="477"/>
      <c r="C893" s="597">
        <v>3.09</v>
      </c>
      <c r="D893" s="592"/>
      <c r="E893" s="592">
        <f t="shared" si="25"/>
        <v>-3.09</v>
      </c>
      <c r="F893" s="598">
        <f>SUM($E$2:E893)/SUM($C$2:C893)</f>
        <v>1.6295461225333013E-2</v>
      </c>
      <c r="G893" s="592">
        <f t="shared" si="24"/>
        <v>45.360371776061754</v>
      </c>
      <c r="H893" s="599" t="s">
        <v>317</v>
      </c>
      <c r="I893" s="2"/>
      <c r="J893" s="2"/>
      <c r="K893" s="2"/>
      <c r="L893" s="2"/>
      <c r="O893" s="58"/>
      <c r="P893" s="58"/>
    </row>
    <row r="894" spans="1:16">
      <c r="A894"/>
      <c r="B894" s="477"/>
      <c r="C894" s="600">
        <v>3.09</v>
      </c>
      <c r="D894" s="591"/>
      <c r="E894" s="591">
        <f t="shared" si="25"/>
        <v>-3.09</v>
      </c>
      <c r="F894" s="601">
        <f>SUM($E$2:E894)/SUM($C$2:C894)</f>
        <v>1.516855782484058E-2</v>
      </c>
      <c r="G894" s="591">
        <f t="shared" si="24"/>
        <v>42.270371776061751</v>
      </c>
      <c r="H894" s="602" t="s">
        <v>318</v>
      </c>
      <c r="I894" s="2">
        <f>SUM(E886:E894)</f>
        <v>0.55001999999999995</v>
      </c>
      <c r="L894" s="2">
        <f>I894/C894</f>
        <v>0.17799999999999999</v>
      </c>
      <c r="O894" s="58"/>
      <c r="P894" s="58"/>
    </row>
    <row r="895" spans="1:16">
      <c r="A895"/>
      <c r="B895" s="476">
        <v>46052</v>
      </c>
      <c r="C895" s="597">
        <v>2.75</v>
      </c>
      <c r="D895" s="592"/>
      <c r="E895" s="592">
        <f t="shared" si="25"/>
        <v>-2.75</v>
      </c>
      <c r="F895" s="598">
        <f>SUM($E$2:E895)/SUM($C$2:C895)</f>
        <v>1.4167749950191618E-2</v>
      </c>
      <c r="G895" s="592">
        <f t="shared" si="24"/>
        <v>39.520371776061751</v>
      </c>
      <c r="H895" s="599" t="s">
        <v>29</v>
      </c>
      <c r="I895" s="2"/>
      <c r="J895" s="2"/>
      <c r="K895" s="2"/>
      <c r="L895" s="2"/>
      <c r="O895" s="58"/>
      <c r="P895" s="58"/>
    </row>
    <row r="896" spans="1:16">
      <c r="A896"/>
      <c r="B896" s="477"/>
      <c r="C896" s="597">
        <v>2.75</v>
      </c>
      <c r="D896" s="592">
        <v>1.784</v>
      </c>
      <c r="E896" s="592">
        <f t="shared" si="25"/>
        <v>2.1559999999999997</v>
      </c>
      <c r="F896" s="598">
        <f>SUM($E$2:E896)/SUM($C$2:C896)</f>
        <v>1.4925944601610014E-2</v>
      </c>
      <c r="G896" s="592">
        <f t="shared" si="24"/>
        <v>41.67637177606175</v>
      </c>
      <c r="H896" s="599" t="s">
        <v>13</v>
      </c>
      <c r="I896" s="2"/>
      <c r="J896" s="2"/>
      <c r="K896" s="2"/>
      <c r="L896" s="2"/>
      <c r="O896" s="58"/>
      <c r="P896" s="58"/>
    </row>
    <row r="897" spans="1:16">
      <c r="A897"/>
      <c r="B897" s="477"/>
      <c r="C897" s="597">
        <v>2.75</v>
      </c>
      <c r="D897" s="592">
        <v>1.8</v>
      </c>
      <c r="E897" s="592">
        <f t="shared" si="25"/>
        <v>2.2000000000000002</v>
      </c>
      <c r="F897" s="598">
        <f>SUM($E$2:E897)/SUM($C$2:C897)</f>
        <v>1.5698389878946922E-2</v>
      </c>
      <c r="G897" s="592">
        <f t="shared" si="24"/>
        <v>43.876371776061752</v>
      </c>
      <c r="H897" s="599" t="s">
        <v>59</v>
      </c>
      <c r="I897" s="2"/>
      <c r="J897" s="2"/>
      <c r="K897" s="2"/>
      <c r="L897" s="2"/>
      <c r="O897" s="58"/>
      <c r="P897" s="58"/>
    </row>
    <row r="898" spans="1:16">
      <c r="A898"/>
      <c r="B898" s="477"/>
      <c r="C898" s="600">
        <v>2.75</v>
      </c>
      <c r="D898" s="591">
        <v>1.8069999999999999</v>
      </c>
      <c r="E898" s="591">
        <f t="shared" si="25"/>
        <v>2.2192499999999997</v>
      </c>
      <c r="F898" s="601">
        <f>SUM($E$2:E898)/SUM($C$2:C898)</f>
        <v>1.6476197238477711E-2</v>
      </c>
      <c r="G898" s="591">
        <f t="shared" si="24"/>
        <v>46.095621776061755</v>
      </c>
      <c r="H898" s="602" t="s">
        <v>47</v>
      </c>
      <c r="I898" s="2"/>
      <c r="J898" s="2"/>
      <c r="K898" s="2"/>
      <c r="L898" s="2"/>
      <c r="O898" s="58"/>
      <c r="P898" s="58"/>
    </row>
    <row r="899" spans="1:16">
      <c r="A899"/>
      <c r="B899" s="477"/>
      <c r="C899" s="597">
        <v>2.75</v>
      </c>
      <c r="D899" s="592">
        <v>1.8</v>
      </c>
      <c r="E899" s="592">
        <f t="shared" si="25"/>
        <v>2.2000000000000002</v>
      </c>
      <c r="F899" s="598">
        <f>SUM($E$2:E899)/SUM($C$2:C899)</f>
        <v>1.7245603142362849E-2</v>
      </c>
      <c r="G899" s="592">
        <f t="shared" si="24"/>
        <v>48.295621776061758</v>
      </c>
      <c r="H899" s="599" t="s">
        <v>319</v>
      </c>
      <c r="I899" s="2"/>
      <c r="J899" s="2"/>
      <c r="K899" s="2"/>
      <c r="L899" s="2"/>
      <c r="O899" s="58"/>
      <c r="P899" s="58"/>
    </row>
    <row r="900" spans="1:16">
      <c r="A900"/>
      <c r="B900" s="477"/>
      <c r="C900" s="597">
        <v>2.75</v>
      </c>
      <c r="D900" s="592">
        <v>1.8160000000000001</v>
      </c>
      <c r="E900" s="592">
        <f t="shared" si="25"/>
        <v>2.2439999999999998</v>
      </c>
      <c r="F900" s="598">
        <f>SUM($E$2:E900)/SUM($C$2:C900)</f>
        <v>1.8029195734911567E-2</v>
      </c>
      <c r="G900" s="592">
        <f t="shared" si="24"/>
        <v>50.539621776061757</v>
      </c>
      <c r="H900" s="599" t="s">
        <v>108</v>
      </c>
      <c r="I900" s="2"/>
      <c r="J900" s="2"/>
      <c r="K900" s="2"/>
      <c r="L900" s="2"/>
      <c r="O900" s="58"/>
      <c r="P900" s="58"/>
    </row>
    <row r="901" spans="1:16">
      <c r="A901"/>
      <c r="B901" s="477"/>
      <c r="C901" s="597">
        <v>2.75</v>
      </c>
      <c r="D901" s="592">
        <v>1.96</v>
      </c>
      <c r="E901" s="592">
        <f t="shared" si="25"/>
        <v>2.6399999999999997</v>
      </c>
      <c r="F901" s="598">
        <f>SUM($E$2:E901)/SUM($C$2:C901)</f>
        <v>1.8952380567100541E-2</v>
      </c>
      <c r="G901" s="592">
        <f t="shared" si="24"/>
        <v>53.179621776061758</v>
      </c>
      <c r="H901" s="599" t="s">
        <v>320</v>
      </c>
      <c r="I901" s="2"/>
      <c r="J901" s="2"/>
      <c r="K901" s="2"/>
      <c r="L901" s="2"/>
      <c r="O901" s="58"/>
      <c r="P901" s="58"/>
    </row>
    <row r="902" spans="1:16">
      <c r="A902"/>
      <c r="B902" s="477"/>
      <c r="C902" s="600">
        <v>2.75</v>
      </c>
      <c r="D902" s="591">
        <v>1.825</v>
      </c>
      <c r="E902" s="591">
        <f t="shared" si="25"/>
        <v>2.2687499999999998</v>
      </c>
      <c r="F902" s="601">
        <f>SUM($E$2:E902)/SUM($C$2:C902)</f>
        <v>1.9741579506628103E-2</v>
      </c>
      <c r="G902" s="591">
        <f t="shared" si="24"/>
        <v>55.448371776061755</v>
      </c>
      <c r="H902" s="602" t="s">
        <v>321</v>
      </c>
      <c r="I902" s="2"/>
      <c r="J902" s="2"/>
      <c r="K902" s="2"/>
      <c r="L902" s="2"/>
      <c r="O902" s="58"/>
      <c r="P902" s="58"/>
    </row>
    <row r="903" spans="1:16">
      <c r="A903"/>
      <c r="B903" s="477"/>
      <c r="C903" s="597">
        <v>2.75</v>
      </c>
      <c r="D903" s="592"/>
      <c r="E903" s="592">
        <f t="shared" si="25"/>
        <v>-2.75</v>
      </c>
      <c r="F903" s="598">
        <f>SUM($E$2:E903)/SUM($C$2:C903)</f>
        <v>1.8744130016454596E-2</v>
      </c>
      <c r="G903" s="592">
        <f t="shared" si="24"/>
        <v>52.698371776061755</v>
      </c>
      <c r="H903" s="599" t="s">
        <v>26</v>
      </c>
      <c r="I903" s="2"/>
      <c r="J903" s="2"/>
      <c r="K903" s="2"/>
      <c r="L903" s="2"/>
      <c r="O903" s="58"/>
      <c r="P903" s="58"/>
    </row>
    <row r="904" spans="1:16">
      <c r="A904"/>
      <c r="B904" s="477"/>
      <c r="C904" s="597">
        <v>2.75</v>
      </c>
      <c r="D904" s="592">
        <v>1.95</v>
      </c>
      <c r="E904" s="592">
        <f t="shared" si="25"/>
        <v>2.6124999999999998</v>
      </c>
      <c r="F904" s="598">
        <f>SUM($E$2:E904)/SUM($C$2:C904)</f>
        <v>1.9654138026679396E-2</v>
      </c>
      <c r="G904" s="592">
        <f t="shared" si="24"/>
        <v>55.310871776061752</v>
      </c>
      <c r="H904" s="599" t="s">
        <v>36</v>
      </c>
      <c r="I904" s="2"/>
      <c r="J904" s="2"/>
      <c r="K904" s="2"/>
      <c r="L904" s="2"/>
      <c r="O904" s="58"/>
      <c r="P904" s="58"/>
    </row>
    <row r="905" spans="1:16">
      <c r="A905"/>
      <c r="B905" s="477"/>
      <c r="C905" s="597">
        <v>2.75</v>
      </c>
      <c r="D905" s="592">
        <v>2.875</v>
      </c>
      <c r="E905" s="592">
        <f t="shared" si="25"/>
        <v>5.15625</v>
      </c>
      <c r="F905" s="598">
        <f>SUM($E$2:E905)/SUM($C$2:C905)</f>
        <v>2.1465381750561383E-2</v>
      </c>
      <c r="G905" s="592">
        <f t="shared" si="24"/>
        <v>60.467121776061752</v>
      </c>
      <c r="H905" s="599" t="s">
        <v>59</v>
      </c>
      <c r="I905" s="2"/>
      <c r="J905" s="2"/>
      <c r="K905" s="2"/>
      <c r="L905" s="2"/>
      <c r="O905" s="58"/>
      <c r="P905" s="58"/>
    </row>
    <row r="906" spans="1:16">
      <c r="A906"/>
      <c r="B906" s="478"/>
      <c r="C906" s="600">
        <v>2.75</v>
      </c>
      <c r="D906" s="591"/>
      <c r="E906" s="591">
        <f t="shared" si="25"/>
        <v>-2.75</v>
      </c>
      <c r="F906" s="601">
        <f>SUM($E$2:E906)/SUM($C$2:C906)</f>
        <v>2.0469169445106555E-2</v>
      </c>
      <c r="G906" s="591">
        <f t="shared" si="24"/>
        <v>57.717121776061752</v>
      </c>
      <c r="H906" s="602" t="s">
        <v>27</v>
      </c>
      <c r="I906" s="2">
        <f>SUM(E895:E906)</f>
        <v>15.446750000000002</v>
      </c>
      <c r="L906" s="2">
        <f>I906/C906</f>
        <v>5.6170000000000009</v>
      </c>
      <c r="O906" s="58"/>
      <c r="P906" s="58"/>
    </row>
    <row r="907" spans="1:16">
      <c r="A907"/>
      <c r="B907" s="477">
        <v>46053</v>
      </c>
      <c r="C907" s="597">
        <v>4.21</v>
      </c>
      <c r="D907" s="592"/>
      <c r="E907" s="592">
        <f t="shared" si="25"/>
        <v>-4.21</v>
      </c>
      <c r="F907" s="598">
        <f>SUM($E$2:E907)/SUM($C$2:C907)</f>
        <v>1.8947817847552846E-2</v>
      </c>
      <c r="G907" s="592">
        <f t="shared" si="24"/>
        <v>53.507121776061751</v>
      </c>
      <c r="H907" s="599" t="s">
        <v>51</v>
      </c>
      <c r="I907" s="2"/>
      <c r="J907" s="2"/>
      <c r="K907" s="2"/>
      <c r="L907" s="2"/>
      <c r="O907" s="58"/>
      <c r="P907" s="58"/>
    </row>
    <row r="908" spans="1:16">
      <c r="A908"/>
      <c r="B908" s="477"/>
      <c r="C908" s="597">
        <v>4.21</v>
      </c>
      <c r="D908" s="592">
        <v>1.84</v>
      </c>
      <c r="E908" s="592">
        <f t="shared" si="25"/>
        <v>3.5364000000000004</v>
      </c>
      <c r="F908" s="598">
        <f>SUM($E$2:E908)/SUM($C$2:C908)</f>
        <v>2.0170049388133292E-2</v>
      </c>
      <c r="G908" s="592">
        <f t="shared" si="24"/>
        <v>57.043521776061752</v>
      </c>
      <c r="H908" s="599" t="s">
        <v>16</v>
      </c>
      <c r="I908" s="2"/>
      <c r="J908" s="2"/>
      <c r="K908" s="2"/>
      <c r="L908" s="2"/>
      <c r="O908" s="58"/>
      <c r="P908" s="58"/>
    </row>
    <row r="909" spans="1:16">
      <c r="A909"/>
      <c r="B909" s="477"/>
      <c r="C909" s="600">
        <v>4.21</v>
      </c>
      <c r="D909" s="591">
        <v>1.9</v>
      </c>
      <c r="E909" s="591">
        <f t="shared" si="25"/>
        <v>3.7889999999999997</v>
      </c>
      <c r="F909" s="601">
        <f>SUM($E$2:E909)/SUM($C$2:C909)</f>
        <v>2.1477831678421867E-2</v>
      </c>
      <c r="G909" s="591">
        <f t="shared" si="24"/>
        <v>60.832521776061753</v>
      </c>
      <c r="H909" s="602" t="s">
        <v>53</v>
      </c>
      <c r="I909" s="2"/>
      <c r="J909" s="2"/>
      <c r="K909" s="2"/>
      <c r="L909" s="2"/>
      <c r="O909" s="58"/>
      <c r="P909" s="58"/>
    </row>
    <row r="910" spans="1:16">
      <c r="A910"/>
      <c r="B910" s="477"/>
      <c r="C910" s="597">
        <v>4.21</v>
      </c>
      <c r="D910" s="592"/>
      <c r="E910" s="592">
        <f t="shared" si="25"/>
        <v>-4.21</v>
      </c>
      <c r="F910" s="598">
        <f>SUM($E$2:E910)/SUM($C$2:C910)</f>
        <v>1.996175698509154E-2</v>
      </c>
      <c r="G910" s="592">
        <f t="shared" si="24"/>
        <v>56.622521776061753</v>
      </c>
      <c r="H910" s="599" t="s">
        <v>322</v>
      </c>
      <c r="I910" s="2"/>
      <c r="J910" s="2"/>
      <c r="K910" s="2"/>
      <c r="L910" s="2"/>
      <c r="O910" s="58"/>
      <c r="P910" s="58"/>
    </row>
    <row r="911" spans="1:16">
      <c r="A911"/>
      <c r="B911" s="477"/>
      <c r="C911" s="600">
        <v>4.21</v>
      </c>
      <c r="D911" s="596"/>
      <c r="E911" s="591">
        <f t="shared" si="25"/>
        <v>-4.21</v>
      </c>
      <c r="F911" s="601">
        <f>SUM($E$2:E911)/SUM($C$2:C911)</f>
        <v>1.8450175930406452E-2</v>
      </c>
      <c r="G911" s="591">
        <f t="shared" si="24"/>
        <v>52.412521776061752</v>
      </c>
      <c r="H911" s="602" t="s">
        <v>323</v>
      </c>
      <c r="I911" s="2"/>
      <c r="J911" s="2"/>
      <c r="K911" s="2"/>
      <c r="L911" s="2"/>
      <c r="O911" s="58"/>
      <c r="P911" s="58"/>
    </row>
    <row r="912" spans="1:16">
      <c r="A912"/>
      <c r="B912" s="477"/>
      <c r="C912" s="600">
        <v>4.21</v>
      </c>
      <c r="D912" s="591">
        <v>1.984</v>
      </c>
      <c r="E912" s="591">
        <f t="shared" si="25"/>
        <v>4.1426399999999992</v>
      </c>
      <c r="F912" s="601">
        <f>SUM($E$2:E912)/SUM($C$2:C912)</f>
        <v>1.9879001105832895E-2</v>
      </c>
      <c r="G912" s="591">
        <f t="shared" si="24"/>
        <v>56.555161776061752</v>
      </c>
      <c r="H912" s="602" t="s">
        <v>60</v>
      </c>
      <c r="I912" s="444">
        <f>SUM(E907:E912)</f>
        <v>-1.1619600000000005</v>
      </c>
      <c r="J912" s="417"/>
      <c r="K912" s="444">
        <f>SUM(E640:E912)</f>
        <v>69.339851776061792</v>
      </c>
      <c r="L912" s="2">
        <f>I912/C912</f>
        <v>-0.27600000000000013</v>
      </c>
      <c r="O912" s="58"/>
      <c r="P912" s="58"/>
    </row>
    <row r="913" spans="1:16">
      <c r="A913"/>
      <c r="B913" s="476">
        <v>46054</v>
      </c>
      <c r="C913" s="597">
        <v>2.52</v>
      </c>
      <c r="D913" s="592">
        <v>1.9390000000000001</v>
      </c>
      <c r="E913" s="592">
        <f t="shared" si="25"/>
        <v>2.3662800000000002</v>
      </c>
      <c r="F913" s="598">
        <f>SUM($E$2:E913)/SUM($C$2:C913)</f>
        <v>2.0692413942124961E-2</v>
      </c>
      <c r="G913" s="592">
        <f t="shared" si="24"/>
        <v>58.921441776061755</v>
      </c>
      <c r="H913" s="599" t="s">
        <v>37</v>
      </c>
      <c r="I913" s="2"/>
      <c r="J913" s="2"/>
      <c r="K913" s="2"/>
      <c r="L913" s="2"/>
      <c r="O913" s="58"/>
      <c r="P913" s="58"/>
    </row>
    <row r="914" spans="1:16">
      <c r="A914"/>
      <c r="B914" s="477"/>
      <c r="C914" s="597">
        <v>2.52</v>
      </c>
      <c r="D914" s="592"/>
      <c r="E914" s="592">
        <f t="shared" si="25"/>
        <v>-2.52</v>
      </c>
      <c r="F914" s="598">
        <f>SUM($E$2:E914)/SUM($C$2:C914)</f>
        <v>1.9789910132266698E-2</v>
      </c>
      <c r="G914" s="592">
        <f t="shared" si="24"/>
        <v>56.401441776061752</v>
      </c>
      <c r="H914" s="599" t="s">
        <v>97</v>
      </c>
      <c r="I914" s="2"/>
      <c r="J914" s="2"/>
      <c r="K914" s="2"/>
      <c r="L914" s="2"/>
      <c r="O914" s="58"/>
      <c r="P914" s="58"/>
    </row>
    <row r="915" spans="1:16">
      <c r="A915"/>
      <c r="B915" s="477"/>
      <c r="C915" s="597">
        <v>2.52</v>
      </c>
      <c r="D915" s="592"/>
      <c r="E915" s="592">
        <f t="shared" si="25"/>
        <v>-2.52</v>
      </c>
      <c r="F915" s="598">
        <f>SUM($E$2:E915)/SUM($C$2:C915)</f>
        <v>1.88890009135965E-2</v>
      </c>
      <c r="G915" s="592">
        <f t="shared" si="24"/>
        <v>53.881441776061749</v>
      </c>
      <c r="H915" s="599" t="s">
        <v>16</v>
      </c>
      <c r="I915" s="2"/>
      <c r="J915" s="2"/>
      <c r="K915" s="2"/>
      <c r="L915" s="2"/>
      <c r="O915" s="58"/>
      <c r="P915" s="58"/>
    </row>
    <row r="916" spans="1:16">
      <c r="A916"/>
      <c r="B916" s="477"/>
      <c r="C916" s="597">
        <v>2.52</v>
      </c>
      <c r="D916" s="592">
        <v>1.798</v>
      </c>
      <c r="E916" s="592">
        <f t="shared" si="25"/>
        <v>2.0109600000000003</v>
      </c>
      <c r="F916" s="598">
        <f>SUM($E$2:E916)/SUM($C$2:C916)</f>
        <v>1.9576680540117131E-2</v>
      </c>
      <c r="G916" s="592">
        <f t="shared" si="24"/>
        <v>55.892401776061746</v>
      </c>
      <c r="H916" s="599" t="s">
        <v>25</v>
      </c>
      <c r="I916" s="2"/>
      <c r="J916" s="2"/>
      <c r="K916" s="2"/>
      <c r="L916" s="2"/>
      <c r="O916" s="58"/>
      <c r="P916" s="58"/>
    </row>
    <row r="917" spans="1:16">
      <c r="A917"/>
      <c r="B917" s="477"/>
      <c r="C917" s="597">
        <v>2.52</v>
      </c>
      <c r="D917" s="592">
        <v>1.9</v>
      </c>
      <c r="E917" s="592">
        <f t="shared" si="25"/>
        <v>2.2679999999999993</v>
      </c>
      <c r="F917" s="598">
        <f>SUM($E$2:E917)/SUM($C$2:C917)</f>
        <v>2.0353097833495384E-2</v>
      </c>
      <c r="G917" s="592">
        <f t="shared" si="24"/>
        <v>58.160401776061747</v>
      </c>
      <c r="H917" s="599" t="s">
        <v>12</v>
      </c>
      <c r="I917" s="2"/>
      <c r="J917" s="2"/>
      <c r="K917" s="2"/>
      <c r="L917" s="2"/>
      <c r="O917" s="58"/>
      <c r="P917" s="58"/>
    </row>
    <row r="918" spans="1:16">
      <c r="A918"/>
      <c r="B918" s="477"/>
      <c r="C918" s="597">
        <v>2.52</v>
      </c>
      <c r="D918" s="592">
        <v>1.9</v>
      </c>
      <c r="E918" s="592">
        <f t="shared" si="25"/>
        <v>2.2679999999999993</v>
      </c>
      <c r="F918" s="598">
        <f>SUM($E$2:E918)/SUM($C$2:C918)</f>
        <v>2.1128146938054881E-2</v>
      </c>
      <c r="G918" s="592">
        <f t="shared" si="24"/>
        <v>60.428401776061747</v>
      </c>
      <c r="H918" s="599" t="s">
        <v>29</v>
      </c>
      <c r="I918" s="2"/>
      <c r="J918" s="2"/>
      <c r="K918" s="2"/>
      <c r="L918" s="2"/>
      <c r="O918" s="58"/>
      <c r="P918" s="58"/>
    </row>
    <row r="919" spans="1:16">
      <c r="A919"/>
      <c r="B919" s="477"/>
      <c r="C919" s="600">
        <v>2.52</v>
      </c>
      <c r="D919" s="591">
        <v>1.91</v>
      </c>
      <c r="E919" s="591">
        <f t="shared" si="25"/>
        <v>2.2932000000000001</v>
      </c>
      <c r="F919" s="601">
        <f>SUM($E$2:E919)/SUM($C$2:C919)</f>
        <v>2.1910634622271764E-2</v>
      </c>
      <c r="G919" s="591">
        <f t="shared" si="24"/>
        <v>62.721601776061746</v>
      </c>
      <c r="H919" s="602" t="s">
        <v>59</v>
      </c>
      <c r="I919" s="2"/>
      <c r="J919" s="2"/>
      <c r="K919" s="2"/>
      <c r="L919" s="2"/>
      <c r="O919" s="58"/>
      <c r="P919" s="58"/>
    </row>
    <row r="920" spans="1:16">
      <c r="A920"/>
      <c r="B920" s="477"/>
      <c r="C920" s="597">
        <v>2.52</v>
      </c>
      <c r="D920" s="592"/>
      <c r="E920" s="592">
        <f t="shared" si="25"/>
        <v>-2.52</v>
      </c>
      <c r="F920" s="598">
        <f>SUM($E$2:E920)/SUM($C$2:C920)</f>
        <v>2.1011822073016367E-2</v>
      </c>
      <c r="G920" s="592">
        <f t="shared" si="24"/>
        <v>60.201601776061743</v>
      </c>
      <c r="H920" s="599" t="s">
        <v>324</v>
      </c>
      <c r="I920" s="2"/>
      <c r="J920" s="2"/>
      <c r="K920" s="2"/>
      <c r="L920" s="2"/>
      <c r="O920" s="58"/>
      <c r="P920" s="58"/>
    </row>
    <row r="921" spans="1:16">
      <c r="A921"/>
      <c r="B921" s="477"/>
      <c r="C921" s="597">
        <v>2.52</v>
      </c>
      <c r="D921" s="592">
        <v>1.8049999999999999</v>
      </c>
      <c r="E921" s="592">
        <f t="shared" si="25"/>
        <v>2.0285999999999995</v>
      </c>
      <c r="F921" s="598">
        <f>SUM($E$2:E921)/SUM($C$2:C921)</f>
        <v>2.1700766054456217E-2</v>
      </c>
      <c r="G921" s="592">
        <f t="shared" si="24"/>
        <v>62.23020177606174</v>
      </c>
      <c r="H921" s="599" t="s">
        <v>323</v>
      </c>
      <c r="I921" s="2"/>
      <c r="J921" s="2"/>
      <c r="K921" s="2"/>
      <c r="L921" s="2"/>
      <c r="O921" s="58"/>
      <c r="P921" s="58"/>
    </row>
    <row r="922" spans="1:16">
      <c r="A922"/>
      <c r="B922" s="477"/>
      <c r="C922" s="597">
        <v>2.52</v>
      </c>
      <c r="D922" s="592">
        <v>1.8160000000000001</v>
      </c>
      <c r="E922" s="592">
        <f t="shared" si="25"/>
        <v>2.0563199999999999</v>
      </c>
      <c r="F922" s="598">
        <f>SUM($E$2:E922)/SUM($C$2:C922)</f>
        <v>2.2398158219220941E-2</v>
      </c>
      <c r="G922" s="592">
        <f t="shared" si="24"/>
        <v>64.286521776061747</v>
      </c>
      <c r="H922" s="599" t="s">
        <v>325</v>
      </c>
      <c r="I922" s="2"/>
      <c r="J922" s="2"/>
      <c r="K922" s="2"/>
      <c r="L922" s="2"/>
      <c r="O922" s="58"/>
      <c r="P922" s="58"/>
    </row>
    <row r="923" spans="1:16">
      <c r="A923"/>
      <c r="B923" s="477"/>
      <c r="C923" s="597">
        <v>2.52</v>
      </c>
      <c r="D923" s="592">
        <v>1.825</v>
      </c>
      <c r="E923" s="592">
        <f t="shared" si="25"/>
        <v>2.0790000000000002</v>
      </c>
      <c r="F923" s="598">
        <f>SUM($E$2:E923)/SUM($C$2:C923)</f>
        <v>2.3102221881254624E-2</v>
      </c>
      <c r="G923" s="592">
        <f t="shared" si="24"/>
        <v>66.36552177606174</v>
      </c>
      <c r="H923" s="599" t="s">
        <v>326</v>
      </c>
      <c r="I923" s="2"/>
      <c r="J923" s="2"/>
      <c r="K923" s="2"/>
      <c r="L923" s="2"/>
      <c r="O923" s="58"/>
      <c r="P923" s="58"/>
    </row>
    <row r="924" spans="1:16">
      <c r="A924"/>
      <c r="B924" s="477"/>
      <c r="C924" s="597">
        <v>2.52</v>
      </c>
      <c r="D924" s="592">
        <v>1.825</v>
      </c>
      <c r="E924" s="592">
        <f t="shared" si="25"/>
        <v>2.0790000000000002</v>
      </c>
      <c r="F924" s="598">
        <f>SUM($E$2:E924)/SUM($C$2:C924)</f>
        <v>2.3805051379224937E-2</v>
      </c>
      <c r="G924" s="592">
        <f t="shared" si="24"/>
        <v>68.444521776061734</v>
      </c>
      <c r="H924" s="599" t="s">
        <v>327</v>
      </c>
      <c r="I924" s="2"/>
      <c r="J924" s="2"/>
      <c r="K924" s="2"/>
      <c r="L924" s="2"/>
      <c r="O924" s="58"/>
      <c r="P924" s="58"/>
    </row>
    <row r="925" spans="1:16">
      <c r="A925"/>
      <c r="B925" s="477"/>
      <c r="C925" s="600">
        <v>2.52</v>
      </c>
      <c r="D925" s="591"/>
      <c r="E925" s="591">
        <f t="shared" si="25"/>
        <v>-2.52</v>
      </c>
      <c r="F925" s="601">
        <f>SUM($E$2:E925)/SUM($C$2:C925)</f>
        <v>2.290851531452268E-2</v>
      </c>
      <c r="G925" s="591">
        <f t="shared" si="24"/>
        <v>65.924521776061738</v>
      </c>
      <c r="H925" s="602" t="s">
        <v>328</v>
      </c>
      <c r="I925" s="2"/>
      <c r="J925" s="2"/>
      <c r="K925" s="2"/>
      <c r="L925" s="2"/>
      <c r="O925" s="58"/>
      <c r="P925" s="58"/>
    </row>
    <row r="926" spans="1:16">
      <c r="A926"/>
      <c r="B926" s="477"/>
      <c r="C926" s="597">
        <v>2.52</v>
      </c>
      <c r="D926" s="592"/>
      <c r="E926" s="592">
        <f t="shared" si="25"/>
        <v>-2.52</v>
      </c>
      <c r="F926" s="598">
        <f>SUM($E$2:E926)/SUM($C$2:C926)</f>
        <v>2.2013548051752926E-2</v>
      </c>
      <c r="G926" s="592">
        <f t="shared" si="24"/>
        <v>63.404521776061735</v>
      </c>
      <c r="H926" s="599" t="s">
        <v>28</v>
      </c>
      <c r="I926" s="2"/>
      <c r="J926" s="2"/>
      <c r="K926" s="2"/>
      <c r="L926" s="2"/>
      <c r="O926" s="58"/>
      <c r="P926" s="58"/>
    </row>
    <row r="927" spans="1:16">
      <c r="A927"/>
      <c r="B927" s="477"/>
      <c r="C927" s="597">
        <v>2.52</v>
      </c>
      <c r="D927" s="592"/>
      <c r="E927" s="592">
        <f t="shared" si="25"/>
        <v>-2.52</v>
      </c>
      <c r="F927" s="598">
        <f>SUM($E$2:E927)/SUM($C$2:C927)</f>
        <v>2.1120145476767615E-2</v>
      </c>
      <c r="G927" s="592">
        <f t="shared" si="24"/>
        <v>60.884521776061732</v>
      </c>
      <c r="H927" s="599" t="s">
        <v>28</v>
      </c>
      <c r="I927" s="2"/>
      <c r="J927" s="2"/>
      <c r="K927" s="2"/>
      <c r="L927" s="2"/>
      <c r="O927" s="58"/>
      <c r="P927" s="58"/>
    </row>
    <row r="928" spans="1:16">
      <c r="A928"/>
      <c r="B928" s="477"/>
      <c r="C928" s="597">
        <v>2.52</v>
      </c>
      <c r="D928" s="592">
        <v>2.23</v>
      </c>
      <c r="E928" s="592">
        <f t="shared" si="25"/>
        <v>3.0996000000000001</v>
      </c>
      <c r="F928" s="598">
        <f>SUM($E$2:E928)/SUM($C$2:C928)</f>
        <v>2.2175975994115447E-2</v>
      </c>
      <c r="G928" s="592">
        <f t="shared" si="24"/>
        <v>63.984121776061734</v>
      </c>
      <c r="H928" s="599" t="s">
        <v>11</v>
      </c>
      <c r="I928" s="2"/>
      <c r="J928" s="2"/>
      <c r="K928" s="2"/>
      <c r="L928" s="2"/>
      <c r="O928" s="58"/>
      <c r="P928" s="58"/>
    </row>
    <row r="929" spans="1:16">
      <c r="A929"/>
      <c r="B929" s="477"/>
      <c r="C929" s="600">
        <v>2.52</v>
      </c>
      <c r="D929" s="591"/>
      <c r="E929" s="591">
        <f t="shared" si="25"/>
        <v>-2.52</v>
      </c>
      <c r="F929" s="601">
        <f>SUM($E$2:E929)/SUM($C$2:C929)</f>
        <v>2.1283990905240087E-2</v>
      </c>
      <c r="G929" s="591">
        <f t="shared" si="24"/>
        <v>61.464121776061731</v>
      </c>
      <c r="H929" s="602" t="s">
        <v>59</v>
      </c>
      <c r="I929" s="444">
        <f>SUM(E913:E929)</f>
        <v>4.9089600000000022</v>
      </c>
      <c r="J929" s="444">
        <f>SUM(E851:E929)</f>
        <v>45.42653999999996</v>
      </c>
      <c r="L929" s="2">
        <f>I929/C929</f>
        <v>1.9480000000000008</v>
      </c>
      <c r="O929" s="58"/>
      <c r="P929" s="58"/>
    </row>
    <row r="930" spans="1:16">
      <c r="A930"/>
      <c r="B930" s="476">
        <v>46055</v>
      </c>
      <c r="C930" s="600">
        <v>6.35</v>
      </c>
      <c r="D930" s="591">
        <v>1.8069999999999999</v>
      </c>
      <c r="E930" s="591">
        <f t="shared" si="25"/>
        <v>5.1244499999999995</v>
      </c>
      <c r="F930" s="601">
        <f>SUM($E$2:E930)/SUM($C$2:C930)</f>
        <v>2.3007909644270304E-2</v>
      </c>
      <c r="G930" s="591">
        <f t="shared" si="24"/>
        <v>66.588571776061727</v>
      </c>
      <c r="H930" s="602" t="s">
        <v>15</v>
      </c>
      <c r="I930" s="2"/>
      <c r="J930" s="2"/>
      <c r="K930" s="2"/>
      <c r="L930" s="2"/>
      <c r="O930" s="58"/>
      <c r="P930" s="58"/>
    </row>
    <row r="931" spans="1:16">
      <c r="A931"/>
      <c r="B931" s="477"/>
      <c r="C931" s="597">
        <v>6.35</v>
      </c>
      <c r="D931" s="592">
        <v>1.96</v>
      </c>
      <c r="E931" s="592">
        <f t="shared" si="25"/>
        <v>6.0960000000000001</v>
      </c>
      <c r="F931" s="598">
        <f>SUM($E$2:E931)/SUM($C$2:C931)</f>
        <v>2.5059238470497021E-2</v>
      </c>
      <c r="G931" s="592">
        <f t="shared" si="24"/>
        <v>72.68457177606173</v>
      </c>
      <c r="H931" s="599" t="s">
        <v>329</v>
      </c>
      <c r="I931" s="2"/>
      <c r="J931" s="2"/>
      <c r="K931" s="2"/>
      <c r="L931" s="2"/>
      <c r="O931" s="58"/>
      <c r="P931" s="58"/>
    </row>
    <row r="932" spans="1:16">
      <c r="A932"/>
      <c r="B932" s="477"/>
      <c r="C932" s="600">
        <v>6.35</v>
      </c>
      <c r="D932" s="591">
        <v>1.98</v>
      </c>
      <c r="E932" s="591">
        <f t="shared" si="25"/>
        <v>6.222999999999999</v>
      </c>
      <c r="F932" s="601">
        <f>SUM($E$2:E932)/SUM($C$2:C932)</f>
        <v>2.7145294846006095E-2</v>
      </c>
      <c r="G932" s="591">
        <f t="shared" si="24"/>
        <v>78.907571776061729</v>
      </c>
      <c r="H932" s="602" t="s">
        <v>330</v>
      </c>
      <c r="I932" s="2">
        <f>SUM(E930:E932)</f>
        <v>17.443449999999999</v>
      </c>
      <c r="L932" s="2">
        <f>I932/C932</f>
        <v>2.7469999999999999</v>
      </c>
      <c r="O932" s="58"/>
      <c r="P932" s="58"/>
    </row>
    <row r="933" spans="1:16">
      <c r="A933"/>
      <c r="B933" s="476">
        <v>46056</v>
      </c>
      <c r="C933" s="597">
        <v>2.6</v>
      </c>
      <c r="D933" s="592"/>
      <c r="E933" s="592">
        <f t="shared" si="25"/>
        <v>-2.6</v>
      </c>
      <c r="F933" s="598">
        <f>SUM($E$2:E933)/SUM($C$2:C933)</f>
        <v>2.6227400196621127E-2</v>
      </c>
      <c r="G933" s="592">
        <f t="shared" si="24"/>
        <v>76.307571776061735</v>
      </c>
      <c r="H933" s="599" t="s">
        <v>97</v>
      </c>
      <c r="I933" s="2"/>
      <c r="J933" s="2"/>
      <c r="K933" s="2"/>
      <c r="L933" s="2"/>
      <c r="O933" s="58"/>
      <c r="P933" s="58"/>
    </row>
    <row r="934" spans="1:16">
      <c r="A934"/>
      <c r="B934" s="477"/>
      <c r="C934" s="597">
        <v>2.6</v>
      </c>
      <c r="D934" s="592"/>
      <c r="E934" s="592">
        <f t="shared" si="25"/>
        <v>-2.6</v>
      </c>
      <c r="F934" s="598">
        <f>SUM($E$2:E934)/SUM($C$2:C934)</f>
        <v>2.5311144611052425E-2</v>
      </c>
      <c r="G934" s="592">
        <f t="shared" si="24"/>
        <v>73.707571776061741</v>
      </c>
      <c r="H934" s="599" t="s">
        <v>60</v>
      </c>
      <c r="I934" s="2"/>
      <c r="J934" s="2"/>
      <c r="K934" s="2"/>
      <c r="L934" s="2"/>
      <c r="O934" s="58"/>
      <c r="P934" s="58"/>
    </row>
    <row r="935" spans="1:16">
      <c r="A935"/>
      <c r="B935" s="477"/>
      <c r="C935" s="600">
        <v>2.6</v>
      </c>
      <c r="D935" s="591">
        <v>1.784</v>
      </c>
      <c r="E935" s="591">
        <f t="shared" si="25"/>
        <v>2.0383999999999998</v>
      </c>
      <c r="F935" s="601">
        <f>SUM($E$2:E935)/SUM($C$2:C935)</f>
        <v>2.598792715996422E-2</v>
      </c>
      <c r="G935" s="591">
        <f t="shared" si="24"/>
        <v>75.745971776061737</v>
      </c>
      <c r="H935" s="602" t="s">
        <v>16</v>
      </c>
      <c r="I935" s="2"/>
      <c r="J935" s="2"/>
      <c r="K935" s="2"/>
      <c r="L935" s="2"/>
      <c r="O935" s="58"/>
      <c r="P935" s="58"/>
    </row>
    <row r="936" spans="1:16">
      <c r="A936"/>
      <c r="B936" s="477"/>
      <c r="C936" s="597">
        <v>2.6</v>
      </c>
      <c r="D936" s="592"/>
      <c r="E936" s="592">
        <f t="shared" si="25"/>
        <v>-2.6</v>
      </c>
      <c r="F936" s="598">
        <f>SUM($E$2:E936)/SUM($C$2:C936)</f>
        <v>2.507351822465647E-2</v>
      </c>
      <c r="G936" s="592">
        <f t="shared" si="24"/>
        <v>73.145971776061742</v>
      </c>
      <c r="H936" s="599" t="s">
        <v>331</v>
      </c>
      <c r="I936" s="2"/>
      <c r="J936" s="2"/>
      <c r="K936" s="2"/>
      <c r="L936" s="2"/>
      <c r="O936" s="58"/>
      <c r="P936" s="58"/>
    </row>
    <row r="937" spans="1:16">
      <c r="A937"/>
      <c r="B937" s="477"/>
      <c r="C937" s="597">
        <v>2.6</v>
      </c>
      <c r="D937" s="592"/>
      <c r="E937" s="592">
        <f t="shared" si="25"/>
        <v>-2.6</v>
      </c>
      <c r="F937" s="598">
        <f>SUM($E$2:E937)/SUM($C$2:C937)</f>
        <v>2.416073776690025E-2</v>
      </c>
      <c r="G937" s="592">
        <f t="shared" si="24"/>
        <v>70.545971776061748</v>
      </c>
      <c r="H937" s="599" t="s">
        <v>332</v>
      </c>
      <c r="I937" s="2"/>
      <c r="J937" s="2"/>
      <c r="K937" s="2"/>
      <c r="L937" s="2"/>
      <c r="O937" s="58"/>
      <c r="P937" s="58"/>
    </row>
    <row r="938" spans="1:16">
      <c r="A938"/>
      <c r="B938" s="477"/>
      <c r="C938" s="597">
        <v>2.6</v>
      </c>
      <c r="D938" s="592">
        <v>1</v>
      </c>
      <c r="E938" s="592">
        <f t="shared" si="25"/>
        <v>0</v>
      </c>
      <c r="F938" s="598">
        <f>SUM($E$2:E938)/SUM($C$2:C938)</f>
        <v>2.4139242889915126E-2</v>
      </c>
      <c r="G938" s="592">
        <f t="shared" si="24"/>
        <v>70.545971776061748</v>
      </c>
      <c r="H938" s="599" t="s">
        <v>333</v>
      </c>
      <c r="I938" s="2"/>
      <c r="J938" s="2"/>
      <c r="K938" s="2"/>
      <c r="L938" s="2"/>
      <c r="O938" s="58"/>
      <c r="P938" s="58"/>
    </row>
    <row r="939" spans="1:16">
      <c r="A939"/>
      <c r="B939" s="477"/>
      <c r="C939" s="597">
        <v>2.6</v>
      </c>
      <c r="D939" s="592">
        <v>1.825</v>
      </c>
      <c r="E939" s="592">
        <f t="shared" si="25"/>
        <v>2.145</v>
      </c>
      <c r="F939" s="598">
        <f>SUM($E$2:E939)/SUM($C$2:C939)</f>
        <v>2.4851104516167653E-2</v>
      </c>
      <c r="G939" s="592">
        <f t="shared" si="24"/>
        <v>72.690971776061744</v>
      </c>
      <c r="H939" s="599" t="s">
        <v>334</v>
      </c>
      <c r="I939" s="2"/>
      <c r="J939" s="2"/>
      <c r="K939" s="2"/>
      <c r="L939" s="2"/>
      <c r="O939" s="58"/>
      <c r="P939" s="58"/>
    </row>
    <row r="940" spans="1:16">
      <c r="A940"/>
      <c r="B940" s="477"/>
      <c r="C940" s="600">
        <v>2.6</v>
      </c>
      <c r="D940" s="591">
        <v>1.98</v>
      </c>
      <c r="E940" s="591">
        <f t="shared" si="25"/>
        <v>2.5479999999999996</v>
      </c>
      <c r="F940" s="601">
        <f>SUM($E$2:E940)/SUM($C$2:C940)</f>
        <v>2.5699354356742702E-2</v>
      </c>
      <c r="G940" s="591">
        <f t="shared" ref="G940:G1003" si="26">G939+E940</f>
        <v>75.238971776061746</v>
      </c>
      <c r="H940" s="602" t="s">
        <v>335</v>
      </c>
      <c r="I940" s="2"/>
      <c r="J940" s="2"/>
      <c r="K940" s="2"/>
      <c r="L940" s="2"/>
      <c r="O940" s="58"/>
      <c r="P940" s="58"/>
    </row>
    <row r="941" spans="1:16">
      <c r="A941"/>
      <c r="B941" s="477"/>
      <c r="C941" s="597">
        <v>2.6</v>
      </c>
      <c r="D941" s="592"/>
      <c r="E941" s="592">
        <f t="shared" si="25"/>
        <v>-2.6</v>
      </c>
      <c r="F941" s="598">
        <f>SUM($E$2:E941)/SUM($C$2:C941)</f>
        <v>2.4789258214650358E-2</v>
      </c>
      <c r="G941" s="592">
        <f t="shared" si="26"/>
        <v>72.638971776061751</v>
      </c>
      <c r="H941" s="599" t="s">
        <v>59</v>
      </c>
      <c r="I941" s="2"/>
      <c r="J941" s="2"/>
      <c r="K941" s="2"/>
      <c r="L941" s="2"/>
      <c r="O941" s="58"/>
      <c r="P941" s="58"/>
    </row>
    <row r="942" spans="1:16">
      <c r="A942"/>
      <c r="B942" s="477"/>
      <c r="C942" s="597">
        <v>2.6</v>
      </c>
      <c r="D942" s="592">
        <v>2.34</v>
      </c>
      <c r="E942" s="592">
        <f t="shared" si="25"/>
        <v>3.4839999999999995</v>
      </c>
      <c r="F942" s="598">
        <f>SUM($E$2:E942)/SUM($C$2:C942)</f>
        <v>2.59552013311448E-2</v>
      </c>
      <c r="G942" s="592">
        <f t="shared" si="26"/>
        <v>76.122971776061746</v>
      </c>
      <c r="H942" s="599" t="s">
        <v>47</v>
      </c>
      <c r="I942" s="2"/>
      <c r="J942" s="2"/>
      <c r="K942" s="2"/>
      <c r="L942" s="2"/>
      <c r="O942" s="58"/>
      <c r="P942" s="58"/>
    </row>
    <row r="943" spans="1:16">
      <c r="A943"/>
      <c r="B943" s="477"/>
      <c r="C943" s="597">
        <v>2.6</v>
      </c>
      <c r="D943" s="592">
        <v>2.2639999999999998</v>
      </c>
      <c r="E943" s="592">
        <f t="shared" ref="E943:E1006" si="27">(C943*D943)-C943</f>
        <v>3.2864</v>
      </c>
      <c r="F943" s="598">
        <f>SUM($E$2:E943)/SUM($C$2:C943)</f>
        <v>2.705176421278482E-2</v>
      </c>
      <c r="G943" s="592">
        <f t="shared" si="26"/>
        <v>79.409371776061747</v>
      </c>
      <c r="H943" s="599" t="s">
        <v>34</v>
      </c>
      <c r="I943" s="2"/>
      <c r="J943" s="2"/>
      <c r="K943" s="2"/>
      <c r="L943" s="2"/>
      <c r="O943" s="58"/>
      <c r="P943" s="58"/>
    </row>
    <row r="944" spans="1:16">
      <c r="A944"/>
      <c r="B944" s="477"/>
      <c r="C944" s="600">
        <v>2.6</v>
      </c>
      <c r="D944" s="591"/>
      <c r="E944" s="591">
        <f t="shared" si="27"/>
        <v>-2.6</v>
      </c>
      <c r="F944" s="601">
        <f>SUM($E$2:E944)/SUM($C$2:C944)</f>
        <v>2.6142887407357696E-2</v>
      </c>
      <c r="G944" s="591">
        <f t="shared" si="26"/>
        <v>76.809371776061752</v>
      </c>
      <c r="H944" s="602" t="s">
        <v>27</v>
      </c>
      <c r="I944" s="2">
        <f>SUM(E933:E944)</f>
        <v>-2.0982000000000025</v>
      </c>
      <c r="L944" s="2">
        <f>I944/C944</f>
        <v>-0.80700000000000094</v>
      </c>
      <c r="O944" s="58"/>
      <c r="P944" s="58"/>
    </row>
    <row r="945" spans="1:16">
      <c r="A945"/>
      <c r="B945" s="476">
        <v>46057</v>
      </c>
      <c r="C945" s="597">
        <v>3.7</v>
      </c>
      <c r="D945" s="592"/>
      <c r="E945" s="592">
        <f t="shared" si="27"/>
        <v>-3.7</v>
      </c>
      <c r="F945" s="598">
        <f>SUM($E$2:E945)/SUM($C$2:C945)</f>
        <v>2.4852255716326748E-2</v>
      </c>
      <c r="G945" s="592">
        <f t="shared" si="26"/>
        <v>73.109371776061749</v>
      </c>
      <c r="H945" s="599" t="s">
        <v>29</v>
      </c>
      <c r="I945" s="2"/>
      <c r="J945" s="2"/>
      <c r="K945" s="2"/>
      <c r="L945" s="2"/>
      <c r="O945" s="58"/>
      <c r="P945" s="58"/>
    </row>
    <row r="946" spans="1:16">
      <c r="A946"/>
      <c r="B946" s="477"/>
      <c r="C946" s="597">
        <v>3.7</v>
      </c>
      <c r="D946" s="592">
        <v>1.91</v>
      </c>
      <c r="E946" s="592">
        <f t="shared" si="27"/>
        <v>3.367</v>
      </c>
      <c r="F946" s="598">
        <f>SUM($E$2:E946)/SUM($C$2:C946)</f>
        <v>2.5964152212578463E-2</v>
      </c>
      <c r="G946" s="592">
        <f t="shared" si="26"/>
        <v>76.476371776061754</v>
      </c>
      <c r="H946" s="599" t="s">
        <v>53</v>
      </c>
      <c r="I946" s="2"/>
      <c r="J946" s="2"/>
      <c r="K946" s="2"/>
      <c r="L946" s="2"/>
      <c r="O946" s="58"/>
      <c r="P946" s="58"/>
    </row>
    <row r="947" spans="1:16">
      <c r="A947"/>
      <c r="B947" s="477"/>
      <c r="C947" s="600">
        <v>3.7</v>
      </c>
      <c r="D947" s="591"/>
      <c r="E947" s="591">
        <f t="shared" si="27"/>
        <v>-3.7</v>
      </c>
      <c r="F947" s="601">
        <f>SUM($E$2:E947)/SUM($C$2:C947)</f>
        <v>2.4676983200660998E-2</v>
      </c>
      <c r="G947" s="591">
        <f t="shared" si="26"/>
        <v>72.776371776061751</v>
      </c>
      <c r="H947" s="602" t="s">
        <v>38</v>
      </c>
      <c r="I947" s="2"/>
      <c r="J947" s="2"/>
      <c r="K947" s="2"/>
      <c r="L947" s="2"/>
      <c r="O947" s="58"/>
      <c r="P947" s="58"/>
    </row>
    <row r="948" spans="1:16">
      <c r="A948"/>
      <c r="B948" s="477"/>
      <c r="C948" s="600">
        <v>3.7</v>
      </c>
      <c r="D948" s="591"/>
      <c r="E948" s="591">
        <f t="shared" si="27"/>
        <v>-3.7</v>
      </c>
      <c r="F948" s="601">
        <f>SUM($E$2:E948)/SUM($C$2:C948)</f>
        <v>2.3393039892193129E-2</v>
      </c>
      <c r="G948" s="591">
        <f t="shared" si="26"/>
        <v>69.076371776061748</v>
      </c>
      <c r="H948" s="602" t="s">
        <v>124</v>
      </c>
      <c r="I948" s="2"/>
      <c r="J948" s="2"/>
      <c r="K948" s="2"/>
      <c r="L948" s="2"/>
      <c r="O948" s="58"/>
      <c r="P948" s="58"/>
    </row>
    <row r="949" spans="1:16">
      <c r="A949"/>
      <c r="B949" s="477"/>
      <c r="C949" s="597">
        <v>3.7</v>
      </c>
      <c r="D949" s="592"/>
      <c r="E949" s="592">
        <f t="shared" si="27"/>
        <v>-3.7</v>
      </c>
      <c r="F949" s="598">
        <f>SUM($E$2:E949)/SUM($C$2:C949)</f>
        <v>2.2112310176712606E-2</v>
      </c>
      <c r="G949" s="592">
        <f t="shared" si="26"/>
        <v>65.376371776061745</v>
      </c>
      <c r="H949" s="599" t="s">
        <v>59</v>
      </c>
      <c r="I949" s="2"/>
      <c r="J949" s="2"/>
      <c r="K949" s="2"/>
      <c r="L949" s="2"/>
      <c r="O949" s="58"/>
      <c r="P949" s="58"/>
    </row>
    <row r="950" spans="1:16">
      <c r="A950"/>
      <c r="B950" s="477"/>
      <c r="C950" s="597">
        <v>3.7</v>
      </c>
      <c r="D950" s="592"/>
      <c r="E950" s="592">
        <f t="shared" si="27"/>
        <v>-3.7</v>
      </c>
      <c r="F950" s="598">
        <f>SUM($E$2:E950)/SUM($C$2:C950)</f>
        <v>2.0834782004304164E-2</v>
      </c>
      <c r="G950" s="592">
        <f t="shared" si="26"/>
        <v>61.676371776061742</v>
      </c>
      <c r="H950" s="599" t="s">
        <v>25</v>
      </c>
      <c r="I950" s="2"/>
      <c r="J950" s="2"/>
      <c r="K950" s="2"/>
      <c r="L950" s="2"/>
      <c r="O950" s="58"/>
      <c r="P950" s="58"/>
    </row>
    <row r="951" spans="1:16">
      <c r="A951"/>
      <c r="B951" s="477"/>
      <c r="C951" s="597">
        <v>3.7</v>
      </c>
      <c r="D951" s="592">
        <v>2.7549999999999999</v>
      </c>
      <c r="E951" s="592">
        <f t="shared" si="27"/>
        <v>6.4935</v>
      </c>
      <c r="F951" s="598">
        <f>SUM($E$2:E951)/SUM($C$2:C951)</f>
        <v>2.2999592361591051E-2</v>
      </c>
      <c r="G951" s="592">
        <f t="shared" si="26"/>
        <v>68.16987177606174</v>
      </c>
      <c r="H951" s="599" t="s">
        <v>37</v>
      </c>
      <c r="I951" s="2"/>
      <c r="J951" s="2"/>
      <c r="K951" s="2"/>
      <c r="L951" s="2"/>
      <c r="O951" s="58"/>
      <c r="P951" s="58"/>
    </row>
    <row r="952" spans="1:16">
      <c r="A952"/>
      <c r="B952" s="477"/>
      <c r="C952" s="597">
        <v>3.7</v>
      </c>
      <c r="D952" s="592">
        <v>2.52</v>
      </c>
      <c r="E952" s="592">
        <f t="shared" si="27"/>
        <v>5.6239999999999997</v>
      </c>
      <c r="F952" s="598">
        <f>SUM($E$2:E952)/SUM($C$2:C952)</f>
        <v>2.4866012877506651E-2</v>
      </c>
      <c r="G952" s="592">
        <f t="shared" si="26"/>
        <v>73.793871776061735</v>
      </c>
      <c r="H952" s="599" t="s">
        <v>34</v>
      </c>
      <c r="I952" s="2"/>
      <c r="J952" s="2"/>
      <c r="K952" s="2"/>
      <c r="L952" s="2"/>
      <c r="O952" s="58"/>
      <c r="P952" s="58"/>
    </row>
    <row r="953" spans="1:16">
      <c r="A953"/>
      <c r="B953" s="477"/>
      <c r="C953" s="597">
        <v>3.7</v>
      </c>
      <c r="D953" s="592">
        <v>1.98</v>
      </c>
      <c r="E953" s="592">
        <f t="shared" si="27"/>
        <v>3.6260000000000003</v>
      </c>
      <c r="F953" s="598">
        <f>SUM($E$2:E953)/SUM($C$2:C953)</f>
        <v>2.6055365817693372E-2</v>
      </c>
      <c r="G953" s="592">
        <f t="shared" si="26"/>
        <v>77.41987177606174</v>
      </c>
      <c r="H953" s="599" t="s">
        <v>26</v>
      </c>
      <c r="I953" s="2"/>
      <c r="J953" s="2"/>
      <c r="K953" s="2"/>
      <c r="L953" s="2"/>
      <c r="O953" s="58"/>
      <c r="P953" s="58"/>
    </row>
    <row r="954" spans="1:16">
      <c r="A954"/>
      <c r="B954" s="477"/>
      <c r="C954" s="600">
        <v>3.7</v>
      </c>
      <c r="D954" s="591"/>
      <c r="E954" s="591">
        <f t="shared" si="27"/>
        <v>-3.7</v>
      </c>
      <c r="F954" s="601">
        <f>SUM($E$2:E954)/SUM($C$2:C954)</f>
        <v>2.4779289081921507E-2</v>
      </c>
      <c r="G954" s="591">
        <f t="shared" si="26"/>
        <v>73.719871776061737</v>
      </c>
      <c r="H954" s="602" t="s">
        <v>18</v>
      </c>
      <c r="I954" s="2">
        <f>SUM(E945:E954)</f>
        <v>-3.0894999999999984</v>
      </c>
      <c r="L954" s="2">
        <f>I954/C954</f>
        <v>-0.83499999999999952</v>
      </c>
      <c r="O954" s="58"/>
      <c r="P954" s="58"/>
    </row>
    <row r="955" spans="1:16">
      <c r="A955"/>
      <c r="B955" s="476">
        <v>46058</v>
      </c>
      <c r="C955" s="597">
        <v>3.22</v>
      </c>
      <c r="D955" s="592">
        <v>1.91</v>
      </c>
      <c r="E955" s="592">
        <f t="shared" si="27"/>
        <v>2.9301999999999997</v>
      </c>
      <c r="F955" s="598">
        <f>SUM($E$2:E955)/SUM($C$2:C955)</f>
        <v>2.5736355136542363E-2</v>
      </c>
      <c r="G955" s="592">
        <f t="shared" si="26"/>
        <v>76.650071776061736</v>
      </c>
      <c r="H955" s="599" t="s">
        <v>97</v>
      </c>
      <c r="I955" s="2"/>
      <c r="J955" s="2"/>
      <c r="K955" s="2"/>
      <c r="L955" s="2"/>
      <c r="O955" s="58"/>
      <c r="P955" s="58"/>
    </row>
    <row r="956" spans="1:16">
      <c r="A956"/>
      <c r="B956" s="477"/>
      <c r="C956" s="597">
        <v>3.22</v>
      </c>
      <c r="D956" s="592"/>
      <c r="E956" s="592">
        <f t="shared" si="27"/>
        <v>-3.22</v>
      </c>
      <c r="F956" s="598">
        <f>SUM($E$2:E956)/SUM($C$2:C956)</f>
        <v>2.4628566753668091E-2</v>
      </c>
      <c r="G956" s="592">
        <f t="shared" si="26"/>
        <v>73.430071776061737</v>
      </c>
      <c r="H956" s="599" t="s">
        <v>64</v>
      </c>
      <c r="I956" s="2"/>
      <c r="J956" s="2"/>
      <c r="K956" s="2"/>
      <c r="L956" s="2"/>
      <c r="O956" s="58"/>
      <c r="P956" s="58"/>
    </row>
    <row r="957" spans="1:16">
      <c r="A957"/>
      <c r="B957" s="477"/>
      <c r="C957" s="597">
        <v>3.22</v>
      </c>
      <c r="D957" s="592">
        <v>1.9</v>
      </c>
      <c r="E957" s="592">
        <f t="shared" si="27"/>
        <v>2.8980000000000001</v>
      </c>
      <c r="F957" s="598">
        <f>SUM($E$2:E957)/SUM($C$2:C957)</f>
        <v>2.5572942110503299E-2</v>
      </c>
      <c r="G957" s="592">
        <f t="shared" si="26"/>
        <v>76.328071776061734</v>
      </c>
      <c r="H957" s="599" t="s">
        <v>14</v>
      </c>
      <c r="I957" s="2"/>
      <c r="J957" s="2"/>
      <c r="K957" s="2"/>
      <c r="L957" s="2"/>
      <c r="O957" s="58"/>
      <c r="P957" s="58"/>
    </row>
    <row r="958" spans="1:16">
      <c r="A958"/>
      <c r="B958" s="477"/>
      <c r="C958" s="597">
        <v>3.22</v>
      </c>
      <c r="D958" s="592"/>
      <c r="E958" s="592">
        <f t="shared" si="27"/>
        <v>-3.22</v>
      </c>
      <c r="F958" s="598">
        <f>SUM($E$2:E958)/SUM($C$2:C958)</f>
        <v>2.4467717482968675E-2</v>
      </c>
      <c r="G958" s="592">
        <f t="shared" si="26"/>
        <v>73.108071776061735</v>
      </c>
      <c r="H958" s="599" t="s">
        <v>25</v>
      </c>
      <c r="I958" s="2"/>
      <c r="J958" s="2"/>
      <c r="K958" s="2"/>
      <c r="L958" s="2"/>
      <c r="O958" s="58"/>
      <c r="P958" s="58"/>
    </row>
    <row r="959" spans="1:16">
      <c r="A959"/>
      <c r="B959" s="477"/>
      <c r="C959" s="600">
        <v>3.22</v>
      </c>
      <c r="D959" s="591"/>
      <c r="E959" s="591">
        <f t="shared" si="27"/>
        <v>-3.22</v>
      </c>
      <c r="F959" s="601">
        <f>SUM($E$2:E959)/SUM($C$2:C959)</f>
        <v>2.3364872416073178E-2</v>
      </c>
      <c r="G959" s="591">
        <f t="shared" si="26"/>
        <v>69.888071776061736</v>
      </c>
      <c r="H959" s="602" t="s">
        <v>10</v>
      </c>
      <c r="I959" s="2"/>
      <c r="J959" s="2"/>
      <c r="K959" s="2"/>
      <c r="L959" s="2"/>
      <c r="O959" s="58"/>
      <c r="P959" s="58"/>
    </row>
    <row r="960" spans="1:16">
      <c r="A960"/>
      <c r="B960" s="477"/>
      <c r="C960" s="597">
        <v>3.22</v>
      </c>
      <c r="D960" s="592"/>
      <c r="E960" s="592">
        <f t="shared" si="27"/>
        <v>-3.22</v>
      </c>
      <c r="F960" s="598">
        <f>SUM($E$2:E960)/SUM($C$2:C960)</f>
        <v>2.2264399233250777E-2</v>
      </c>
      <c r="G960" s="592">
        <f t="shared" si="26"/>
        <v>66.668071776061737</v>
      </c>
      <c r="H960" s="599" t="s">
        <v>336</v>
      </c>
      <c r="I960" s="2"/>
      <c r="J960" s="2"/>
      <c r="K960" s="2"/>
      <c r="L960" s="2"/>
      <c r="O960" s="58"/>
      <c r="P960" s="58"/>
    </row>
    <row r="961" spans="1:16">
      <c r="A961"/>
      <c r="B961" s="477"/>
      <c r="C961" s="597">
        <v>3.22</v>
      </c>
      <c r="D961" s="592">
        <v>1.825</v>
      </c>
      <c r="E961" s="592">
        <f t="shared" si="27"/>
        <v>2.6564999999999999</v>
      </c>
      <c r="F961" s="598">
        <f>SUM($E$2:E961)/SUM($C$2:C961)</f>
        <v>2.3126691945576944E-2</v>
      </c>
      <c r="G961" s="592">
        <f t="shared" si="26"/>
        <v>69.324571776061731</v>
      </c>
      <c r="H961" s="599" t="s">
        <v>337</v>
      </c>
      <c r="I961" s="2"/>
      <c r="J961" s="2"/>
      <c r="K961" s="2"/>
      <c r="L961" s="2"/>
      <c r="O961" s="58"/>
      <c r="P961" s="58"/>
    </row>
    <row r="962" spans="1:16">
      <c r="A962"/>
      <c r="B962" s="477"/>
      <c r="C962" s="597">
        <v>3.22</v>
      </c>
      <c r="D962" s="592"/>
      <c r="E962" s="592">
        <f t="shared" si="27"/>
        <v>-3.22</v>
      </c>
      <c r="F962" s="598">
        <f>SUM($E$2:E962)/SUM($C$2:C962)</f>
        <v>2.2028836043501931E-2</v>
      </c>
      <c r="G962" s="592">
        <f t="shared" si="26"/>
        <v>66.104571776061732</v>
      </c>
      <c r="H962" s="599" t="s">
        <v>338</v>
      </c>
      <c r="I962" s="2"/>
      <c r="J962" s="2"/>
      <c r="K962" s="2"/>
      <c r="L962" s="2"/>
      <c r="O962" s="58"/>
      <c r="P962" s="58"/>
    </row>
    <row r="963" spans="1:16">
      <c r="A963"/>
      <c r="B963" s="477"/>
      <c r="C963" s="597">
        <v>3.22</v>
      </c>
      <c r="D963" s="592"/>
      <c r="E963" s="592">
        <f t="shared" si="27"/>
        <v>-3.22</v>
      </c>
      <c r="F963" s="598">
        <f>SUM($E$2:E963)/SUM($C$2:C963)</f>
        <v>2.0933333702634283E-2</v>
      </c>
      <c r="G963" s="592">
        <f t="shared" si="26"/>
        <v>62.884571776061733</v>
      </c>
      <c r="H963" s="599" t="s">
        <v>193</v>
      </c>
      <c r="I963" s="2"/>
      <c r="J963" s="2"/>
      <c r="K963" s="2"/>
      <c r="L963" s="2"/>
      <c r="O963" s="58"/>
      <c r="P963" s="58"/>
    </row>
    <row r="964" spans="1:16">
      <c r="A964"/>
      <c r="B964" s="477"/>
      <c r="C964" s="600">
        <v>3.22</v>
      </c>
      <c r="D964" s="591">
        <v>1.83</v>
      </c>
      <c r="E964" s="591">
        <f t="shared" si="27"/>
        <v>2.6726000000000005</v>
      </c>
      <c r="F964" s="601">
        <f>SUM($E$2:E964)/SUM($C$2:C964)</f>
        <v>2.1799635474172997E-2</v>
      </c>
      <c r="G964" s="591">
        <f t="shared" si="26"/>
        <v>65.557171776061736</v>
      </c>
      <c r="H964" s="602" t="s">
        <v>339</v>
      </c>
      <c r="I964" s="2"/>
      <c r="J964" s="2"/>
      <c r="K964" s="2"/>
      <c r="L964" s="2"/>
      <c r="O964" s="58"/>
      <c r="P964" s="58"/>
    </row>
    <row r="965" spans="1:16">
      <c r="A965"/>
      <c r="B965" s="477"/>
      <c r="C965" s="597">
        <v>3.22</v>
      </c>
      <c r="D965" s="592"/>
      <c r="E965" s="592">
        <f t="shared" si="27"/>
        <v>-3.22</v>
      </c>
      <c r="F965" s="598">
        <f>SUM($E$2:E965)/SUM($C$2:C965)</f>
        <v>2.0706721777278541E-2</v>
      </c>
      <c r="G965" s="592">
        <f t="shared" si="26"/>
        <v>62.337171776061737</v>
      </c>
      <c r="H965" s="599" t="s">
        <v>28</v>
      </c>
      <c r="I965" s="2"/>
      <c r="J965" s="2"/>
      <c r="K965" s="2"/>
      <c r="L965" s="2"/>
      <c r="O965" s="58"/>
      <c r="P965" s="58"/>
    </row>
    <row r="966" spans="1:16">
      <c r="A966"/>
      <c r="B966" s="477"/>
      <c r="C966" s="600">
        <v>3.22</v>
      </c>
      <c r="D966" s="591">
        <v>1.98</v>
      </c>
      <c r="E966" s="591">
        <f t="shared" si="27"/>
        <v>3.1556000000000002</v>
      </c>
      <c r="F966" s="601">
        <f>SUM($E$2:E966)/SUM($C$2:C966)</f>
        <v>2.1731682574928329E-2</v>
      </c>
      <c r="G966" s="591">
        <f t="shared" si="26"/>
        <v>65.492771776061744</v>
      </c>
      <c r="H966" s="602" t="s">
        <v>27</v>
      </c>
      <c r="I966" s="2">
        <f>SUM(E955:E966)</f>
        <v>-8.2271000000000019</v>
      </c>
      <c r="L966" s="2">
        <f>I966/C966</f>
        <v>-2.5550000000000006</v>
      </c>
      <c r="O966" s="58"/>
      <c r="P966" s="58"/>
    </row>
    <row r="967" spans="1:16">
      <c r="A967"/>
      <c r="B967" s="476">
        <v>46059</v>
      </c>
      <c r="C967" s="597">
        <v>4.25</v>
      </c>
      <c r="D967" s="592">
        <v>1.91</v>
      </c>
      <c r="E967" s="592">
        <f t="shared" si="27"/>
        <v>3.8674999999999997</v>
      </c>
      <c r="F967" s="598">
        <f>SUM($E$2:E967)/SUM($C$2:C967)</f>
        <v>2.2982578165993969E-2</v>
      </c>
      <c r="G967" s="592">
        <f t="shared" si="26"/>
        <v>69.360271776061751</v>
      </c>
      <c r="H967" s="599" t="s">
        <v>37</v>
      </c>
      <c r="I967" s="2"/>
      <c r="J967" s="2"/>
      <c r="K967" s="2"/>
      <c r="L967" s="2"/>
      <c r="O967" s="58"/>
      <c r="P967" s="58"/>
    </row>
    <row r="968" spans="1:16">
      <c r="A968"/>
      <c r="B968" s="477"/>
      <c r="C968" s="597">
        <v>4.25</v>
      </c>
      <c r="D968" s="592">
        <v>1.8260000000000001</v>
      </c>
      <c r="E968" s="592">
        <f t="shared" si="27"/>
        <v>3.5105000000000004</v>
      </c>
      <c r="F968" s="598">
        <f>SUM($E$2:E968)/SUM($C$2:C968)</f>
        <v>2.4111829718768279E-2</v>
      </c>
      <c r="G968" s="592">
        <f t="shared" si="26"/>
        <v>72.870771776061758</v>
      </c>
      <c r="H968" s="599" t="s">
        <v>104</v>
      </c>
      <c r="I968" s="2"/>
      <c r="J968" s="2"/>
      <c r="K968" s="2"/>
      <c r="L968" s="2"/>
      <c r="O968" s="58"/>
      <c r="P968" s="58"/>
    </row>
    <row r="969" spans="1:16">
      <c r="A969"/>
      <c r="B969" s="477"/>
      <c r="C969" s="600">
        <v>4.25</v>
      </c>
      <c r="D969" s="591"/>
      <c r="E969" s="591">
        <f t="shared" si="27"/>
        <v>-4.25</v>
      </c>
      <c r="F969" s="601">
        <f>SUM($E$2:E969)/SUM($C$2:C969)</f>
        <v>2.2673684275656796E-2</v>
      </c>
      <c r="G969" s="591">
        <f t="shared" si="26"/>
        <v>68.620771776061758</v>
      </c>
      <c r="H969" s="602" t="s">
        <v>52</v>
      </c>
      <c r="I969" s="2"/>
      <c r="J969" s="2"/>
      <c r="K969" s="2"/>
      <c r="L969" s="2"/>
      <c r="O969" s="58"/>
      <c r="P969" s="58"/>
    </row>
    <row r="970" spans="1:16">
      <c r="A970"/>
      <c r="B970" s="477"/>
      <c r="C970" s="597">
        <v>4.25</v>
      </c>
      <c r="D970" s="592">
        <v>1.85</v>
      </c>
      <c r="E970" s="592">
        <f t="shared" si="27"/>
        <v>3.6125000000000007</v>
      </c>
      <c r="F970" s="598">
        <f>SUM($E$2:E970)/SUM($C$2:C970)</f>
        <v>2.3833857450774241E-2</v>
      </c>
      <c r="G970" s="592">
        <f t="shared" si="26"/>
        <v>72.233271776061756</v>
      </c>
      <c r="H970" s="599" t="s">
        <v>195</v>
      </c>
      <c r="I970" s="2"/>
      <c r="J970" s="2"/>
      <c r="K970" s="2"/>
      <c r="L970" s="2"/>
      <c r="O970" s="58"/>
      <c r="P970" s="58"/>
    </row>
    <row r="971" spans="1:16">
      <c r="A971"/>
      <c r="B971" s="477"/>
      <c r="C971" s="597">
        <v>4.25</v>
      </c>
      <c r="D971" s="592">
        <v>1.835</v>
      </c>
      <c r="E971" s="592">
        <f t="shared" si="27"/>
        <v>3.5487500000000001</v>
      </c>
      <c r="F971" s="598">
        <f>SUM($E$2:E971)/SUM($C$2:C971)</f>
        <v>2.4969776034551302E-2</v>
      </c>
      <c r="G971" s="592">
        <f t="shared" si="26"/>
        <v>75.782021776061754</v>
      </c>
      <c r="H971" s="599" t="s">
        <v>340</v>
      </c>
      <c r="I971" s="2"/>
      <c r="J971" s="2"/>
      <c r="K971" s="2"/>
      <c r="L971" s="2"/>
      <c r="O971" s="58"/>
      <c r="P971" s="58"/>
    </row>
    <row r="972" spans="1:16">
      <c r="A972"/>
      <c r="B972" s="477"/>
      <c r="C972" s="600">
        <v>4.25</v>
      </c>
      <c r="D972" s="591">
        <v>1.9</v>
      </c>
      <c r="E972" s="591">
        <f t="shared" si="27"/>
        <v>3.8249999999999993</v>
      </c>
      <c r="F972" s="601">
        <f>SUM($E$2:E972)/SUM($C$2:C972)</f>
        <v>2.6193413324579317E-2</v>
      </c>
      <c r="G972" s="591">
        <f t="shared" si="26"/>
        <v>79.607021776061757</v>
      </c>
      <c r="H972" s="602" t="s">
        <v>341</v>
      </c>
      <c r="I972" s="2"/>
      <c r="J972" s="2"/>
      <c r="K972" s="2"/>
      <c r="L972" s="2"/>
      <c r="O972" s="58"/>
      <c r="P972" s="58"/>
    </row>
    <row r="973" spans="1:16">
      <c r="A973"/>
      <c r="B973" s="477"/>
      <c r="C973" s="597">
        <v>4.25</v>
      </c>
      <c r="D973" s="592">
        <v>2.02</v>
      </c>
      <c r="E973" s="592">
        <f t="shared" si="27"/>
        <v>4.3350000000000009</v>
      </c>
      <c r="F973" s="598">
        <f>SUM($E$2:E973)/SUM($C$2:C973)</f>
        <v>2.7581206123334191E-2</v>
      </c>
      <c r="G973" s="592">
        <f t="shared" si="26"/>
        <v>83.94202177606175</v>
      </c>
      <c r="H973" s="599" t="s">
        <v>97</v>
      </c>
      <c r="I973" s="2"/>
      <c r="J973" s="2"/>
      <c r="K973" s="2"/>
      <c r="L973" s="2"/>
      <c r="O973" s="58"/>
      <c r="P973" s="58"/>
    </row>
    <row r="974" spans="1:16">
      <c r="A974"/>
      <c r="B974" s="477"/>
      <c r="C974" s="597">
        <v>4.25</v>
      </c>
      <c r="D974" s="592">
        <v>2.0449999999999999</v>
      </c>
      <c r="E974" s="592">
        <f t="shared" si="27"/>
        <v>4.4412500000000001</v>
      </c>
      <c r="F974" s="598">
        <f>SUM($E$2:E974)/SUM($C$2:C974)</f>
        <v>2.8999990739266141E-2</v>
      </c>
      <c r="G974" s="592">
        <f t="shared" si="26"/>
        <v>88.383271776061747</v>
      </c>
      <c r="H974" s="599" t="s">
        <v>34</v>
      </c>
      <c r="I974" s="2"/>
      <c r="J974" s="2"/>
      <c r="K974" s="2"/>
      <c r="L974" s="2"/>
      <c r="O974" s="58"/>
      <c r="P974" s="58"/>
    </row>
    <row r="975" spans="1:16">
      <c r="A975"/>
      <c r="B975" s="478"/>
      <c r="C975" s="600">
        <v>4.25</v>
      </c>
      <c r="D975" s="591"/>
      <c r="E975" s="591">
        <f t="shared" si="27"/>
        <v>-4.25</v>
      </c>
      <c r="F975" s="601">
        <f>SUM($E$2:E975)/SUM($C$2:C975)</f>
        <v>2.7567054432759856E-2</v>
      </c>
      <c r="G975" s="591">
        <f t="shared" si="26"/>
        <v>84.133271776061747</v>
      </c>
      <c r="H975" s="602" t="s">
        <v>26</v>
      </c>
      <c r="I975" s="2">
        <f>SUM(E967:E975)</f>
        <v>18.640499999999999</v>
      </c>
      <c r="L975" s="2">
        <f>I975/C975</f>
        <v>4.3860000000000001</v>
      </c>
      <c r="O975" s="58"/>
      <c r="P975" s="58"/>
    </row>
    <row r="976" spans="1:16">
      <c r="A976"/>
      <c r="B976" s="477">
        <v>46060</v>
      </c>
      <c r="C976" s="597">
        <v>2.61</v>
      </c>
      <c r="D976" s="592"/>
      <c r="E976" s="592">
        <f t="shared" si="27"/>
        <v>-2.61</v>
      </c>
      <c r="F976" s="598">
        <f>SUM($E$2:E976)/SUM($C$2:C976)</f>
        <v>2.6689039264595045E-2</v>
      </c>
      <c r="G976" s="592">
        <f t="shared" si="26"/>
        <v>81.523271776061748</v>
      </c>
      <c r="H976" s="599" t="s">
        <v>30</v>
      </c>
      <c r="I976" s="2"/>
      <c r="J976" s="2"/>
      <c r="K976" s="2"/>
      <c r="L976" s="2"/>
      <c r="O976" s="58"/>
      <c r="P976" s="58"/>
    </row>
    <row r="977" spans="1:16">
      <c r="A977"/>
      <c r="B977" s="477"/>
      <c r="C977" s="597">
        <v>2.61</v>
      </c>
      <c r="D977" s="592"/>
      <c r="E977" s="592">
        <f t="shared" si="27"/>
        <v>-2.61</v>
      </c>
      <c r="F977" s="598">
        <f>SUM($E$2:E977)/SUM($C$2:C977)</f>
        <v>2.5812523273505056E-2</v>
      </c>
      <c r="G977" s="592">
        <f t="shared" si="26"/>
        <v>78.913271776061748</v>
      </c>
      <c r="H977" s="599" t="s">
        <v>12</v>
      </c>
      <c r="I977" s="2"/>
      <c r="J977" s="2"/>
      <c r="K977" s="2"/>
      <c r="L977" s="2"/>
      <c r="O977" s="58"/>
      <c r="P977" s="58"/>
    </row>
    <row r="978" spans="1:16">
      <c r="A978"/>
      <c r="B978" s="477"/>
      <c r="C978" s="597">
        <v>2.61</v>
      </c>
      <c r="D978" s="592">
        <v>1.85</v>
      </c>
      <c r="E978" s="592">
        <f t="shared" si="27"/>
        <v>2.2185000000000001</v>
      </c>
      <c r="F978" s="598">
        <f>SUM($E$2:E978)/SUM($C$2:C978)</f>
        <v>2.6515557254463213E-2</v>
      </c>
      <c r="G978" s="592">
        <f t="shared" si="26"/>
        <v>81.131771776061754</v>
      </c>
      <c r="H978" s="599" t="s">
        <v>64</v>
      </c>
      <c r="I978" s="2"/>
      <c r="J978" s="2"/>
      <c r="K978" s="2"/>
      <c r="L978" s="2"/>
      <c r="O978" s="58"/>
      <c r="P978" s="58"/>
    </row>
    <row r="979" spans="1:16">
      <c r="A979"/>
      <c r="B979" s="477"/>
      <c r="C979" s="597">
        <v>2.61</v>
      </c>
      <c r="D979" s="592">
        <v>1.9</v>
      </c>
      <c r="E979" s="592">
        <f t="shared" si="27"/>
        <v>2.3489999999999998</v>
      </c>
      <c r="F979" s="598">
        <f>SUM($E$2:E979)/SUM($C$2:C979)</f>
        <v>2.7260006653646807E-2</v>
      </c>
      <c r="G979" s="592">
        <f t="shared" si="26"/>
        <v>83.480771776061758</v>
      </c>
      <c r="H979" s="599" t="s">
        <v>36</v>
      </c>
      <c r="I979" s="2"/>
      <c r="J979" s="2"/>
      <c r="K979" s="2"/>
      <c r="L979" s="2"/>
      <c r="O979" s="58"/>
      <c r="P979" s="58"/>
    </row>
    <row r="980" spans="1:16">
      <c r="A980" s="603"/>
      <c r="B980" s="477"/>
      <c r="C980" s="600">
        <v>2.61</v>
      </c>
      <c r="D980" s="591">
        <v>1</v>
      </c>
      <c r="E980" s="591">
        <f t="shared" si="27"/>
        <v>0</v>
      </c>
      <c r="F980" s="601">
        <f>SUM($E$2:E980)/SUM($C$2:C980)</f>
        <v>2.7236793401651367E-2</v>
      </c>
      <c r="G980" s="591">
        <f t="shared" si="26"/>
        <v>83.480771776061758</v>
      </c>
      <c r="H980" s="602" t="s">
        <v>52</v>
      </c>
      <c r="I980" s="2"/>
      <c r="J980" s="2"/>
      <c r="K980" s="2"/>
      <c r="L980" s="2"/>
      <c r="O980" s="58"/>
      <c r="P980" s="58"/>
    </row>
    <row r="981" spans="1:16">
      <c r="A981"/>
      <c r="B981" s="477"/>
      <c r="C981" s="597">
        <v>2.61</v>
      </c>
      <c r="D981" s="592">
        <v>1.98</v>
      </c>
      <c r="E981" s="592">
        <f t="shared" si="27"/>
        <v>2.5577999999999999</v>
      </c>
      <c r="F981" s="598">
        <f>SUM($E$2:E981)/SUM($C$2:C981)</f>
        <v>2.8047428381072374E-2</v>
      </c>
      <c r="G981" s="592">
        <f t="shared" si="26"/>
        <v>86.038571776061758</v>
      </c>
      <c r="H981" s="599" t="s">
        <v>342</v>
      </c>
      <c r="I981" s="2"/>
      <c r="J981" s="2"/>
      <c r="K981" s="2"/>
      <c r="L981" s="2"/>
      <c r="O981" s="58"/>
      <c r="P981" s="58"/>
    </row>
    <row r="982" spans="1:16">
      <c r="A982"/>
      <c r="B982" s="477"/>
      <c r="C982" s="597">
        <v>2.61</v>
      </c>
      <c r="D982" s="592">
        <v>1.98</v>
      </c>
      <c r="E982" s="592">
        <f t="shared" si="27"/>
        <v>2.5577999999999999</v>
      </c>
      <c r="F982" s="598">
        <f>SUM($E$2:E982)/SUM($C$2:C982)</f>
        <v>2.8856685115744608E-2</v>
      </c>
      <c r="G982" s="592">
        <f t="shared" si="26"/>
        <v>88.596371776061758</v>
      </c>
      <c r="H982" s="599" t="s">
        <v>343</v>
      </c>
      <c r="I982" s="2"/>
      <c r="J982" s="2"/>
      <c r="K982" s="2"/>
      <c r="L982" s="2"/>
      <c r="O982" s="58"/>
      <c r="P982" s="58"/>
    </row>
    <row r="983" spans="1:16">
      <c r="A983"/>
      <c r="B983" s="477"/>
      <c r="C983" s="597">
        <v>2.61</v>
      </c>
      <c r="D983" s="592"/>
      <c r="E983" s="592">
        <f t="shared" si="27"/>
        <v>-2.61</v>
      </c>
      <c r="F983" s="598">
        <f>SUM($E$2:E983)/SUM($C$2:C983)</f>
        <v>2.7982794940189147E-2</v>
      </c>
      <c r="G983" s="592">
        <f t="shared" si="26"/>
        <v>85.986371776061759</v>
      </c>
      <c r="H983" s="599" t="s">
        <v>344</v>
      </c>
      <c r="I983" s="2"/>
      <c r="J983" s="2"/>
      <c r="K983" s="2"/>
      <c r="L983" s="2"/>
      <c r="O983" s="58"/>
      <c r="P983" s="58"/>
    </row>
    <row r="984" spans="1:16">
      <c r="A984"/>
      <c r="B984" s="477"/>
      <c r="C984" s="597">
        <v>2.61</v>
      </c>
      <c r="D984" s="592">
        <v>1.825</v>
      </c>
      <c r="E984" s="592">
        <f t="shared" si="27"/>
        <v>2.1532499999999994</v>
      </c>
      <c r="F984" s="598">
        <f>SUM($E$2:E984)/SUM($C$2:C984)</f>
        <v>2.8659190807189022E-2</v>
      </c>
      <c r="G984" s="592">
        <f t="shared" si="26"/>
        <v>88.139621776061759</v>
      </c>
      <c r="H984" s="599" t="s">
        <v>345</v>
      </c>
      <c r="I984" s="2"/>
      <c r="J984" s="2"/>
      <c r="K984" s="2"/>
      <c r="L984" s="2"/>
      <c r="O984" s="58"/>
      <c r="P984" s="58"/>
    </row>
    <row r="985" spans="1:16">
      <c r="A985"/>
      <c r="B985" s="477"/>
      <c r="C985" s="597">
        <v>2.61</v>
      </c>
      <c r="D985" s="592"/>
      <c r="E985" s="592">
        <f t="shared" si="27"/>
        <v>-2.61</v>
      </c>
      <c r="F985" s="598">
        <f>SUM($E$2:E985)/SUM($C$2:C985)</f>
        <v>2.7786950106743365E-2</v>
      </c>
      <c r="G985" s="592">
        <f t="shared" si="26"/>
        <v>85.529621776061759</v>
      </c>
      <c r="H985" s="599" t="s">
        <v>93</v>
      </c>
      <c r="I985" s="2"/>
      <c r="J985" s="2"/>
      <c r="K985" s="2"/>
      <c r="L985" s="2"/>
      <c r="O985" s="58"/>
      <c r="P985" s="58"/>
    </row>
    <row r="986" spans="1:16">
      <c r="A986"/>
      <c r="B986" s="477"/>
      <c r="C986" s="597">
        <v>2.61</v>
      </c>
      <c r="D986" s="592"/>
      <c r="E986" s="592">
        <f t="shared" si="27"/>
        <v>-2.61</v>
      </c>
      <c r="F986" s="598">
        <f>SUM($E$2:E986)/SUM($C$2:C986)</f>
        <v>2.6916187367661937E-2</v>
      </c>
      <c r="G986" s="592">
        <f t="shared" si="26"/>
        <v>82.91962177606176</v>
      </c>
      <c r="H986" s="599" t="s">
        <v>346</v>
      </c>
      <c r="I986" s="2"/>
      <c r="J986" s="2"/>
      <c r="K986" s="2"/>
      <c r="L986" s="2"/>
      <c r="O986" s="58"/>
      <c r="P986" s="58"/>
    </row>
    <row r="987" spans="1:16">
      <c r="A987"/>
      <c r="B987" s="477"/>
      <c r="C987" s="597">
        <v>2.61</v>
      </c>
      <c r="D987" s="592">
        <v>1.825</v>
      </c>
      <c r="E987" s="592">
        <f t="shared" si="27"/>
        <v>2.1532499999999994</v>
      </c>
      <c r="F987" s="598">
        <f>SUM($E$2:E987)/SUM($C$2:C987)</f>
        <v>2.7591768406938545E-2</v>
      </c>
      <c r="G987" s="592">
        <f t="shared" si="26"/>
        <v>85.07287177606176</v>
      </c>
      <c r="H987" s="599" t="s">
        <v>347</v>
      </c>
      <c r="I987" s="2"/>
      <c r="J987" s="2"/>
      <c r="K987" s="2"/>
      <c r="L987" s="2"/>
      <c r="O987" s="58"/>
      <c r="P987" s="58"/>
    </row>
    <row r="988" spans="1:16">
      <c r="A988" s="603"/>
      <c r="B988" s="477"/>
      <c r="C988" s="597">
        <v>2.61</v>
      </c>
      <c r="D988" s="592"/>
      <c r="E988" s="592">
        <f t="shared" si="27"/>
        <v>-2.61</v>
      </c>
      <c r="F988" s="598">
        <f>SUM($E$2:E988)/SUM($C$2:C988)</f>
        <v>2.6722643711376146E-2</v>
      </c>
      <c r="G988" s="592">
        <f t="shared" si="26"/>
        <v>82.46287177606176</v>
      </c>
      <c r="H988" s="599" t="s">
        <v>348</v>
      </c>
      <c r="I988" s="2"/>
      <c r="J988" s="2"/>
      <c r="K988" s="2"/>
      <c r="L988" s="2"/>
      <c r="O988" s="58"/>
      <c r="P988" s="58"/>
    </row>
    <row r="989" spans="1:16">
      <c r="A989"/>
      <c r="B989" s="477"/>
      <c r="C989" s="600">
        <v>2.61</v>
      </c>
      <c r="D989" s="591"/>
      <c r="E989" s="591">
        <f t="shared" si="27"/>
        <v>-2.61</v>
      </c>
      <c r="F989" s="601">
        <f>SUM($E$2:E989)/SUM($C$2:C989)</f>
        <v>2.5854987963717359E-2</v>
      </c>
      <c r="G989" s="591">
        <f t="shared" si="26"/>
        <v>79.852871776061761</v>
      </c>
      <c r="H989" s="602" t="s">
        <v>349</v>
      </c>
      <c r="I989" s="2"/>
      <c r="J989" s="2"/>
      <c r="K989" s="2"/>
      <c r="L989" s="2"/>
      <c r="O989" s="58"/>
      <c r="P989" s="58"/>
    </row>
    <row r="990" spans="1:16">
      <c r="A990"/>
      <c r="B990" s="477"/>
      <c r="C990" s="600">
        <v>2.61</v>
      </c>
      <c r="D990" s="591"/>
      <c r="E990" s="591">
        <f t="shared" si="27"/>
        <v>-2.61</v>
      </c>
      <c r="F990" s="601">
        <f>SUM($E$2:E990)/SUM($C$2:C990)</f>
        <v>2.4988797443001337E-2</v>
      </c>
      <c r="G990" s="591">
        <f t="shared" si="26"/>
        <v>77.242871776061762</v>
      </c>
      <c r="H990" s="602" t="s">
        <v>14</v>
      </c>
      <c r="I990" s="2">
        <f>SUM(E976:E990)</f>
        <v>-6.8903999999999996</v>
      </c>
      <c r="L990" s="2">
        <f>I990/C990</f>
        <v>-2.64</v>
      </c>
      <c r="O990" s="58"/>
      <c r="P990" s="58"/>
    </row>
    <row r="991" spans="1:16">
      <c r="A991"/>
      <c r="B991" s="476">
        <v>46061</v>
      </c>
      <c r="C991" s="597">
        <v>6.48</v>
      </c>
      <c r="D991" s="592">
        <v>1.8160000000000001</v>
      </c>
      <c r="E991" s="592">
        <f t="shared" si="27"/>
        <v>5.2876799999999999</v>
      </c>
      <c r="F991" s="598">
        <f>SUM($E$2:E991)/SUM($C$2:C991)</f>
        <v>2.6643557801916788E-2</v>
      </c>
      <c r="G991" s="592">
        <f t="shared" si="26"/>
        <v>82.530551776061756</v>
      </c>
      <c r="H991" s="599" t="s">
        <v>11</v>
      </c>
      <c r="I991" s="2"/>
      <c r="J991" s="2"/>
      <c r="K991" s="2"/>
      <c r="L991" s="2"/>
      <c r="O991" s="58"/>
      <c r="P991" s="58"/>
    </row>
    <row r="992" spans="1:16">
      <c r="A992"/>
      <c r="B992" s="477"/>
      <c r="C992" s="600">
        <v>6.48</v>
      </c>
      <c r="D992" s="591"/>
      <c r="E992" s="591">
        <f t="shared" si="27"/>
        <v>-6.48</v>
      </c>
      <c r="F992" s="601">
        <f>SUM($E$2:E992)/SUM($C$2:C992)</f>
        <v>2.450034850359253E-2</v>
      </c>
      <c r="G992" s="591">
        <f t="shared" si="26"/>
        <v>76.050551776061752</v>
      </c>
      <c r="H992" s="602" t="s">
        <v>25</v>
      </c>
      <c r="I992" s="2"/>
      <c r="J992" s="2"/>
      <c r="K992" s="2"/>
      <c r="L992" s="2"/>
      <c r="O992" s="58"/>
      <c r="P992" s="58"/>
    </row>
    <row r="993" spans="1:16">
      <c r="A993"/>
      <c r="B993" s="477"/>
      <c r="C993" s="600">
        <v>6.48</v>
      </c>
      <c r="D993" s="591">
        <v>1.835</v>
      </c>
      <c r="E993" s="591">
        <f t="shared" si="27"/>
        <v>5.4108000000000001</v>
      </c>
      <c r="F993" s="601">
        <f>SUM($E$2:E993)/SUM($C$2:C993)</f>
        <v>2.6188813445916594E-2</v>
      </c>
      <c r="G993" s="591">
        <f t="shared" si="26"/>
        <v>81.461351776061747</v>
      </c>
      <c r="H993" s="602" t="s">
        <v>350</v>
      </c>
      <c r="I993" s="444">
        <f>SUM(E991:E993)</f>
        <v>4.2184799999999996</v>
      </c>
      <c r="J993" s="444">
        <f>SUM(E930:E993)</f>
        <v>19.997230000000002</v>
      </c>
      <c r="L993" s="2">
        <f>I993/C993</f>
        <v>0.65099999999999991</v>
      </c>
      <c r="O993" s="58"/>
      <c r="P993" s="58"/>
    </row>
    <row r="994" spans="1:16">
      <c r="A994"/>
      <c r="B994" s="476">
        <v>46062</v>
      </c>
      <c r="C994" s="597">
        <v>2.6</v>
      </c>
      <c r="D994" s="592">
        <v>1.9</v>
      </c>
      <c r="E994" s="592">
        <f t="shared" si="27"/>
        <v>2.3399999999999994</v>
      </c>
      <c r="F994" s="598">
        <f>SUM($E$2:E994)/SUM($C$2:C994)</f>
        <v>2.6918594016350501E-2</v>
      </c>
      <c r="G994" s="592">
        <f t="shared" si="26"/>
        <v>83.80135177606175</v>
      </c>
      <c r="H994" s="599" t="s">
        <v>15</v>
      </c>
      <c r="I994" s="2"/>
      <c r="J994" s="2"/>
      <c r="K994" s="2"/>
      <c r="L994" s="2"/>
      <c r="O994" s="58"/>
      <c r="P994" s="58"/>
    </row>
    <row r="995" spans="1:16">
      <c r="A995"/>
      <c r="B995" s="477"/>
      <c r="C995" s="597">
        <v>2.6</v>
      </c>
      <c r="D995" s="592">
        <v>1.8160000000000001</v>
      </c>
      <c r="E995" s="592">
        <f t="shared" si="27"/>
        <v>2.1216000000000004</v>
      </c>
      <c r="F995" s="598">
        <f>SUM($E$2:E995)/SUM($C$2:C995)</f>
        <v>2.7577060915243697E-2</v>
      </c>
      <c r="G995" s="592">
        <f t="shared" si="26"/>
        <v>85.922951776061751</v>
      </c>
      <c r="H995" s="599" t="s">
        <v>16</v>
      </c>
      <c r="I995" s="2"/>
      <c r="J995" s="2"/>
      <c r="K995" s="2"/>
      <c r="L995" s="2"/>
      <c r="O995" s="58"/>
      <c r="P995" s="58"/>
    </row>
    <row r="996" spans="1:16">
      <c r="A996"/>
      <c r="B996" s="477"/>
      <c r="C996" s="597">
        <v>2.6</v>
      </c>
      <c r="D996" s="592"/>
      <c r="E996" s="592">
        <f t="shared" si="27"/>
        <v>-2.6</v>
      </c>
      <c r="F996" s="598">
        <f>SUM($E$2:E996)/SUM($C$2:C996)</f>
        <v>2.6720290852203871E-2</v>
      </c>
      <c r="G996" s="592">
        <f t="shared" si="26"/>
        <v>83.322951776061757</v>
      </c>
      <c r="H996" s="599" t="s">
        <v>104</v>
      </c>
      <c r="I996" s="2"/>
      <c r="J996" s="2"/>
      <c r="K996" s="2"/>
      <c r="L996" s="2"/>
      <c r="O996" s="58"/>
      <c r="P996" s="58"/>
    </row>
    <row r="997" spans="1:16">
      <c r="A997"/>
      <c r="B997" s="477"/>
      <c r="C997" s="597">
        <v>2.6</v>
      </c>
      <c r="D997" s="592">
        <v>1</v>
      </c>
      <c r="E997" s="592">
        <f t="shared" si="27"/>
        <v>0</v>
      </c>
      <c r="F997" s="598">
        <f>SUM($E$2:E997)/SUM($C$2:C997)</f>
        <v>2.669803064975982E-2</v>
      </c>
      <c r="G997" s="592">
        <f t="shared" si="26"/>
        <v>83.322951776061757</v>
      </c>
      <c r="H997" s="599" t="s">
        <v>13</v>
      </c>
      <c r="I997" s="2"/>
      <c r="J997" s="2"/>
      <c r="K997" s="2"/>
      <c r="L997" s="2"/>
      <c r="O997" s="58"/>
      <c r="P997" s="58"/>
    </row>
    <row r="998" spans="1:16">
      <c r="A998"/>
      <c r="B998" s="477"/>
      <c r="C998" s="600">
        <v>2.6</v>
      </c>
      <c r="D998" s="591">
        <v>1.85</v>
      </c>
      <c r="E998" s="591">
        <f t="shared" si="27"/>
        <v>2.2100000000000004</v>
      </c>
      <c r="F998" s="601">
        <f>SUM($E$2:E998)/SUM($C$2:C998)</f>
        <v>2.7383338063883093E-2</v>
      </c>
      <c r="G998" s="591">
        <f t="shared" si="26"/>
        <v>85.532951776061751</v>
      </c>
      <c r="H998" s="602" t="s">
        <v>59</v>
      </c>
      <c r="I998" s="2"/>
      <c r="J998" s="2"/>
      <c r="K998" s="2"/>
      <c r="L998" s="2"/>
      <c r="O998" s="58"/>
      <c r="P998" s="58"/>
    </row>
    <row r="999" spans="1:16">
      <c r="A999"/>
      <c r="B999" s="477"/>
      <c r="C999" s="597">
        <v>2.6</v>
      </c>
      <c r="D999" s="592">
        <v>1.8480000000000001</v>
      </c>
      <c r="E999" s="592">
        <f t="shared" si="27"/>
        <v>2.2048000000000001</v>
      </c>
      <c r="F999" s="598">
        <f>SUM($E$2:E999)/SUM($C$2:C999)</f>
        <v>2.8065842149123648E-2</v>
      </c>
      <c r="G999" s="592">
        <f t="shared" si="26"/>
        <v>87.737751776061756</v>
      </c>
      <c r="H999" s="599" t="s">
        <v>351</v>
      </c>
      <c r="I999" s="2"/>
      <c r="J999" s="2"/>
      <c r="K999" s="2"/>
      <c r="L999" s="2"/>
      <c r="O999" s="58"/>
      <c r="P999" s="58"/>
    </row>
    <row r="1000" spans="1:16">
      <c r="A1000"/>
      <c r="B1000" s="477"/>
      <c r="C1000" s="597">
        <v>2.6</v>
      </c>
      <c r="D1000" s="592"/>
      <c r="E1000" s="592">
        <f t="shared" si="27"/>
        <v>-2.6</v>
      </c>
      <c r="F1000" s="598">
        <f>SUM($E$2:E1000)/SUM($C$2:C1000)</f>
        <v>2.7211513828589599E-2</v>
      </c>
      <c r="G1000" s="592">
        <f t="shared" si="26"/>
        <v>85.137751776061762</v>
      </c>
      <c r="H1000" s="599" t="s">
        <v>352</v>
      </c>
      <c r="I1000" s="2"/>
      <c r="J1000" s="2"/>
      <c r="K1000" s="2"/>
      <c r="L1000" s="2"/>
      <c r="O1000" s="58"/>
      <c r="P1000" s="58"/>
    </row>
    <row r="1001" spans="1:16">
      <c r="A1001"/>
      <c r="B1001" s="477"/>
      <c r="C1001" s="597">
        <v>2.6</v>
      </c>
      <c r="D1001" s="592"/>
      <c r="E1001" s="592">
        <f t="shared" si="27"/>
        <v>-2.6</v>
      </c>
      <c r="F1001" s="598">
        <f>SUM($E$2:E1001)/SUM($C$2:C1001)</f>
        <v>2.6358604232073628E-2</v>
      </c>
      <c r="G1001" s="592">
        <f t="shared" si="26"/>
        <v>82.537751776061768</v>
      </c>
      <c r="H1001" s="599" t="s">
        <v>353</v>
      </c>
      <c r="I1001" s="2"/>
      <c r="J1001" s="2"/>
      <c r="K1001" s="2"/>
      <c r="L1001" s="2"/>
      <c r="O1001" s="58"/>
      <c r="P1001" s="58"/>
    </row>
    <row r="1002" spans="1:16">
      <c r="A1002"/>
      <c r="B1002" s="477"/>
      <c r="C1002" s="597">
        <v>2.6</v>
      </c>
      <c r="D1002" s="592">
        <v>1.8480000000000001</v>
      </c>
      <c r="E1002" s="592">
        <f t="shared" si="27"/>
        <v>2.2048000000000001</v>
      </c>
      <c r="F1002" s="598">
        <f>SUM($E$2:E1002)/SUM($C$2:C1002)</f>
        <v>2.7040259793123494E-2</v>
      </c>
      <c r="G1002" s="592">
        <f t="shared" si="26"/>
        <v>84.742551776061774</v>
      </c>
      <c r="H1002" s="599" t="s">
        <v>354</v>
      </c>
      <c r="I1002" s="2"/>
      <c r="J1002" s="2"/>
      <c r="K1002" s="2"/>
      <c r="L1002" s="2"/>
      <c r="O1002" s="58"/>
      <c r="P1002" s="58"/>
    </row>
    <row r="1003" spans="1:16">
      <c r="A1003"/>
      <c r="B1003" s="477"/>
      <c r="C1003" s="597">
        <v>2.6</v>
      </c>
      <c r="D1003" s="592">
        <v>1.84</v>
      </c>
      <c r="E1003" s="592">
        <f t="shared" si="27"/>
        <v>2.1840000000000006</v>
      </c>
      <c r="F1003" s="598">
        <f>SUM($E$2:E1003)/SUM($C$2:C1003)</f>
        <v>2.7714153741403402E-2</v>
      </c>
      <c r="G1003" s="592">
        <f t="shared" si="26"/>
        <v>86.926551776061771</v>
      </c>
      <c r="H1003" s="599" t="s">
        <v>355</v>
      </c>
      <c r="I1003" s="2"/>
      <c r="J1003" s="2"/>
      <c r="K1003" s="2"/>
      <c r="L1003" s="2"/>
      <c r="O1003" s="58"/>
      <c r="P1003" s="58"/>
    </row>
    <row r="1004" spans="1:16">
      <c r="A1004"/>
      <c r="B1004" s="477"/>
      <c r="C1004" s="597">
        <v>2.6</v>
      </c>
      <c r="D1004" s="592">
        <v>1.92</v>
      </c>
      <c r="E1004" s="592">
        <f t="shared" si="27"/>
        <v>2.3919999999999999</v>
      </c>
      <c r="F1004" s="598">
        <f>SUM($E$2:E1004)/SUM($C$2:C1004)</f>
        <v>2.8453191567136674E-2</v>
      </c>
      <c r="G1004" s="592">
        <f t="shared" ref="G1004:G1040" si="28">G1003+E1004</f>
        <v>89.318551776061767</v>
      </c>
      <c r="H1004" s="599" t="s">
        <v>356</v>
      </c>
      <c r="I1004" s="2"/>
      <c r="J1004" s="2"/>
      <c r="K1004" s="2"/>
      <c r="L1004" s="2"/>
      <c r="O1004" s="58"/>
      <c r="P1004" s="58"/>
    </row>
    <row r="1005" spans="1:16">
      <c r="A1005"/>
      <c r="B1005" s="477"/>
      <c r="C1005" s="600">
        <v>2.6</v>
      </c>
      <c r="D1005" s="591">
        <v>1.98</v>
      </c>
      <c r="E1005" s="591">
        <f t="shared" si="27"/>
        <v>2.5479999999999996</v>
      </c>
      <c r="F1005" s="601">
        <f>SUM($E$2:E1005)/SUM($C$2:C1005)</f>
        <v>2.9240660199781464E-2</v>
      </c>
      <c r="G1005" s="591">
        <f t="shared" si="28"/>
        <v>91.866551776061769</v>
      </c>
      <c r="H1005" s="602" t="s">
        <v>357</v>
      </c>
      <c r="I1005" s="2"/>
      <c r="J1005" s="2"/>
      <c r="K1005" s="2"/>
      <c r="L1005" s="2"/>
      <c r="O1005" s="58"/>
      <c r="P1005" s="58"/>
    </row>
    <row r="1006" spans="1:16">
      <c r="A1006"/>
      <c r="B1006" s="477"/>
      <c r="C1006" s="600">
        <v>2.6</v>
      </c>
      <c r="D1006" s="591">
        <v>2.4700000000000002</v>
      </c>
      <c r="E1006" s="591">
        <f t="shared" si="27"/>
        <v>3.8220000000000005</v>
      </c>
      <c r="F1006" s="601">
        <f>SUM($E$2:E1006)/SUM($C$2:C1006)</f>
        <v>3.0431999012848931E-2</v>
      </c>
      <c r="G1006" s="604">
        <f t="shared" si="28"/>
        <v>95.688551776061772</v>
      </c>
      <c r="H1006" s="602" t="s">
        <v>28</v>
      </c>
      <c r="I1006" s="2">
        <f>SUM(E994:E1006)</f>
        <v>14.227200000000002</v>
      </c>
      <c r="L1006" s="2">
        <f>I1006/C1006</f>
        <v>5.4720000000000004</v>
      </c>
      <c r="O1006" s="58"/>
      <c r="P1006" s="58"/>
    </row>
    <row r="1007" spans="1:16">
      <c r="A1007"/>
      <c r="B1007" s="476">
        <v>46063</v>
      </c>
      <c r="C1007" s="597">
        <v>6.63</v>
      </c>
      <c r="D1007" s="592"/>
      <c r="E1007" s="592">
        <f t="shared" ref="E1007:E1040" si="29">(C1007*D1007)-C1007</f>
        <v>-6.63</v>
      </c>
      <c r="F1007" s="598">
        <f>SUM($E$2:E1007)/SUM($C$2:C1007)</f>
        <v>2.8263852647299539E-2</v>
      </c>
      <c r="G1007" s="592">
        <f t="shared" si="28"/>
        <v>89.058551776061776</v>
      </c>
      <c r="H1007" s="599" t="s">
        <v>29</v>
      </c>
      <c r="I1007" s="2"/>
      <c r="J1007" s="2"/>
      <c r="K1007" s="2"/>
      <c r="L1007" s="2"/>
      <c r="O1007" s="58"/>
      <c r="P1007" s="58"/>
    </row>
    <row r="1008" spans="1:16">
      <c r="A1008"/>
      <c r="B1008" s="477"/>
      <c r="C1008" s="600">
        <v>6.63</v>
      </c>
      <c r="D1008" s="591"/>
      <c r="E1008" s="591">
        <f t="shared" si="29"/>
        <v>-6.63</v>
      </c>
      <c r="F1008" s="601">
        <f>SUM($E$2:E1008)/SUM($C$2:C1008)</f>
        <v>2.6104811178129423E-2</v>
      </c>
      <c r="G1008" s="591">
        <f t="shared" si="28"/>
        <v>82.428551776061781</v>
      </c>
      <c r="H1008" s="602" t="s">
        <v>36</v>
      </c>
      <c r="I1008" s="2"/>
      <c r="J1008" s="2"/>
      <c r="K1008" s="2"/>
      <c r="L1008" s="2"/>
      <c r="O1008" s="58"/>
      <c r="P1008" s="58"/>
    </row>
    <row r="1009" spans="1:16">
      <c r="A1009"/>
      <c r="B1009" s="477"/>
      <c r="C1009" s="597">
        <v>6.63</v>
      </c>
      <c r="D1009" s="592"/>
      <c r="E1009" s="592">
        <f t="shared" si="29"/>
        <v>-6.63</v>
      </c>
      <c r="F1009" s="598">
        <f>SUM($E$2:E1009)/SUM($C$2:C1009)</f>
        <v>2.3954817372966408E-2</v>
      </c>
      <c r="G1009" s="592">
        <f t="shared" si="28"/>
        <v>75.798551776061785</v>
      </c>
      <c r="H1009" s="599" t="s">
        <v>170</v>
      </c>
      <c r="I1009" s="2"/>
      <c r="J1009" s="2"/>
      <c r="K1009" s="2"/>
      <c r="L1009" s="2"/>
      <c r="O1009" s="58"/>
      <c r="P1009" s="58"/>
    </row>
    <row r="1010" spans="1:16">
      <c r="A1010"/>
      <c r="B1010" s="477"/>
      <c r="C1010" s="600">
        <v>6.63</v>
      </c>
      <c r="D1010" s="591"/>
      <c r="E1010" s="591">
        <f t="shared" si="29"/>
        <v>-6.63</v>
      </c>
      <c r="F1010" s="601">
        <f>SUM($E$2:E1010)/SUM($C$2:C1010)</f>
        <v>2.1813814478110517E-2</v>
      </c>
      <c r="G1010" s="591">
        <f t="shared" si="28"/>
        <v>69.16855177606179</v>
      </c>
      <c r="H1010" s="602" t="s">
        <v>358</v>
      </c>
      <c r="I1010" s="2"/>
      <c r="J1010" s="2"/>
      <c r="K1010" s="2"/>
      <c r="L1010" s="2"/>
      <c r="O1010" s="58"/>
      <c r="P1010" s="58"/>
    </row>
    <row r="1011" spans="1:16">
      <c r="A1011"/>
      <c r="B1011" s="477"/>
      <c r="C1011" s="600">
        <v>6.63</v>
      </c>
      <c r="D1011" s="591"/>
      <c r="E1011" s="591">
        <f t="shared" si="29"/>
        <v>-6.63</v>
      </c>
      <c r="F1011" s="601">
        <f>SUM($E$2:E1011)/SUM($C$2:C1011)</f>
        <v>1.9681746213540102E-2</v>
      </c>
      <c r="G1011" s="605">
        <f t="shared" si="28"/>
        <v>62.538551776061787</v>
      </c>
      <c r="H1011" s="602" t="s">
        <v>10</v>
      </c>
      <c r="I1011" s="2">
        <f>SUM(E1007:E1011)</f>
        <v>-33.15</v>
      </c>
      <c r="L1011" s="2">
        <f>I1011/C1011</f>
        <v>-5</v>
      </c>
      <c r="O1011" s="58"/>
      <c r="P1011" s="58"/>
    </row>
    <row r="1012" spans="1:16">
      <c r="A1012"/>
      <c r="B1012" s="476">
        <v>46064</v>
      </c>
      <c r="C1012" s="597">
        <v>1.82</v>
      </c>
      <c r="D1012" s="592">
        <v>1.84</v>
      </c>
      <c r="E1012" s="592">
        <f t="shared" si="29"/>
        <v>1.5288000000000002</v>
      </c>
      <c r="F1012" s="598">
        <f>SUM($E$2:E1012)/SUM($C$2:C1012)</f>
        <v>2.015133842753979E-2</v>
      </c>
      <c r="G1012" s="592">
        <f t="shared" si="28"/>
        <v>64.067351776061784</v>
      </c>
      <c r="H1012" s="599" t="s">
        <v>15</v>
      </c>
      <c r="I1012" s="2"/>
      <c r="J1012" s="2"/>
      <c r="K1012" s="2"/>
      <c r="L1012" s="2"/>
      <c r="O1012" s="58"/>
      <c r="P1012" s="58"/>
    </row>
    <row r="1013" spans="1:16">
      <c r="A1013"/>
      <c r="B1013" s="477"/>
      <c r="C1013" s="597">
        <v>1.82</v>
      </c>
      <c r="D1013" s="592"/>
      <c r="E1013" s="592">
        <f t="shared" si="29"/>
        <v>-1.82</v>
      </c>
      <c r="F1013" s="598">
        <f>SUM($E$2:E1013)/SUM($C$2:C1013)</f>
        <v>1.9567685626196204E-2</v>
      </c>
      <c r="G1013" s="592">
        <f t="shared" si="28"/>
        <v>62.247351776061784</v>
      </c>
      <c r="H1013" s="599" t="s">
        <v>46</v>
      </c>
      <c r="I1013" s="2"/>
      <c r="J1013" s="2"/>
      <c r="K1013" s="2"/>
      <c r="L1013" s="2"/>
      <c r="O1013" s="58"/>
      <c r="P1013" s="58"/>
    </row>
    <row r="1014" spans="1:16">
      <c r="A1014"/>
      <c r="B1014" s="477"/>
      <c r="C1014" s="597">
        <v>1.82</v>
      </c>
      <c r="D1014" s="592">
        <v>1.9</v>
      </c>
      <c r="E1014" s="592">
        <f t="shared" si="29"/>
        <v>1.6379999999999997</v>
      </c>
      <c r="F1014" s="598">
        <f>SUM($E$2:E1014)/SUM($C$2:C1014)</f>
        <v>2.0071113833412878E-2</v>
      </c>
      <c r="G1014" s="592">
        <f t="shared" si="28"/>
        <v>63.885351776061782</v>
      </c>
      <c r="H1014" s="599" t="s">
        <v>64</v>
      </c>
      <c r="I1014" s="2"/>
      <c r="J1014" s="2"/>
      <c r="K1014" s="2"/>
      <c r="L1014" s="2"/>
      <c r="O1014" s="58"/>
      <c r="P1014" s="58"/>
    </row>
    <row r="1015" spans="1:16">
      <c r="A1015"/>
      <c r="B1015" s="477"/>
      <c r="C1015" s="597">
        <v>1.82</v>
      </c>
      <c r="D1015" s="592"/>
      <c r="E1015" s="592">
        <f t="shared" si="29"/>
        <v>-1.82</v>
      </c>
      <c r="F1015" s="598">
        <f>SUM($E$2:E1015)/SUM($C$2:C1015)</f>
        <v>1.9488173957950345E-2</v>
      </c>
      <c r="G1015" s="592">
        <f t="shared" si="28"/>
        <v>62.065351776061782</v>
      </c>
      <c r="H1015" s="599" t="s">
        <v>37</v>
      </c>
      <c r="I1015" s="2"/>
      <c r="J1015" s="2"/>
      <c r="K1015" s="2"/>
      <c r="L1015" s="2"/>
      <c r="O1015" s="58"/>
      <c r="P1015" s="58"/>
    </row>
    <row r="1016" spans="1:16">
      <c r="A1016"/>
      <c r="B1016" s="477"/>
      <c r="C1016" s="597">
        <v>1.82</v>
      </c>
      <c r="D1016" s="592">
        <v>1.91</v>
      </c>
      <c r="E1016" s="592">
        <f t="shared" si="29"/>
        <v>1.6561999999999999</v>
      </c>
      <c r="F1016" s="598">
        <f>SUM($E$2:E1016)/SUM($C$2:C1016)</f>
        <v>1.9996783952771307E-2</v>
      </c>
      <c r="G1016" s="592">
        <f t="shared" si="28"/>
        <v>63.72155177606178</v>
      </c>
      <c r="H1016" s="599" t="s">
        <v>51</v>
      </c>
      <c r="I1016" s="2"/>
      <c r="J1016" s="2"/>
      <c r="K1016" s="2"/>
      <c r="L1016" s="2"/>
      <c r="O1016" s="58"/>
      <c r="P1016" s="58"/>
    </row>
    <row r="1017" spans="1:16">
      <c r="A1017"/>
      <c r="B1017" s="477"/>
      <c r="C1017" s="597">
        <v>1.82</v>
      </c>
      <c r="D1017" s="592"/>
      <c r="E1017" s="592">
        <f t="shared" si="29"/>
        <v>-1.82</v>
      </c>
      <c r="F1017" s="598">
        <f>SUM($E$2:E1017)/SUM($C$2:C1017)</f>
        <v>1.9414552010582554E-2</v>
      </c>
      <c r="G1017" s="592">
        <f t="shared" si="28"/>
        <v>61.90155177606178</v>
      </c>
      <c r="H1017" s="599" t="s">
        <v>104</v>
      </c>
      <c r="I1017" s="2"/>
      <c r="J1017" s="2"/>
      <c r="K1017" s="2"/>
      <c r="L1017" s="2"/>
      <c r="O1017" s="58"/>
      <c r="P1017" s="58"/>
    </row>
    <row r="1018" spans="1:16">
      <c r="A1018"/>
      <c r="B1018" s="477"/>
      <c r="C1018" s="597">
        <v>1.82</v>
      </c>
      <c r="D1018" s="592">
        <v>1.9</v>
      </c>
      <c r="E1018" s="592">
        <f t="shared" si="29"/>
        <v>1.6379999999999997</v>
      </c>
      <c r="F1018" s="598">
        <f>SUM($E$2:E1018)/SUM($C$2:C1018)</f>
        <v>1.9916918772646959E-2</v>
      </c>
      <c r="G1018" s="592">
        <f t="shared" si="28"/>
        <v>63.539551776061778</v>
      </c>
      <c r="H1018" s="599" t="s">
        <v>13</v>
      </c>
      <c r="I1018" s="2"/>
      <c r="J1018" s="2"/>
      <c r="K1018" s="2"/>
      <c r="L1018" s="2"/>
      <c r="O1018" s="58"/>
      <c r="P1018" s="58"/>
    </row>
    <row r="1019" spans="1:16">
      <c r="A1019"/>
      <c r="B1019" s="477"/>
      <c r="C1019" s="597">
        <v>1.82</v>
      </c>
      <c r="D1019" s="606"/>
      <c r="E1019" s="592">
        <f t="shared" si="29"/>
        <v>-1.82</v>
      </c>
      <c r="F1019" s="598">
        <f>SUM($E$2:E1019)/SUM($C$2:C1019)</f>
        <v>1.933539630521499E-2</v>
      </c>
      <c r="G1019" s="592">
        <f t="shared" si="28"/>
        <v>61.719551776061778</v>
      </c>
      <c r="H1019" s="599" t="s">
        <v>47</v>
      </c>
      <c r="I1019" s="2"/>
      <c r="J1019" s="2"/>
      <c r="K1019" s="2"/>
      <c r="L1019" s="2"/>
      <c r="O1019" s="58"/>
      <c r="P1019" s="58"/>
    </row>
    <row r="1020" spans="1:16">
      <c r="A1020"/>
      <c r="B1020" s="477"/>
      <c r="C1020" s="597">
        <v>1.82</v>
      </c>
      <c r="D1020" s="592">
        <v>1.9</v>
      </c>
      <c r="E1020" s="592">
        <f t="shared" si="29"/>
        <v>1.6379999999999997</v>
      </c>
      <c r="F1020" s="598">
        <f>SUM($E$2:E1020)/SUM($C$2:C1020)</f>
        <v>1.9837235634531616E-2</v>
      </c>
      <c r="G1020" s="592">
        <f t="shared" si="28"/>
        <v>63.357551776061776</v>
      </c>
      <c r="H1020" s="599" t="s">
        <v>59</v>
      </c>
      <c r="I1020" s="2"/>
      <c r="J1020" s="2"/>
      <c r="K1020" s="2"/>
      <c r="L1020" s="2"/>
      <c r="O1020" s="58"/>
      <c r="P1020" s="58"/>
    </row>
    <row r="1021" spans="1:16">
      <c r="A1021"/>
      <c r="B1021" s="477"/>
      <c r="C1021" s="600">
        <v>1.82</v>
      </c>
      <c r="D1021" s="591">
        <v>2</v>
      </c>
      <c r="E1021" s="591">
        <f t="shared" si="29"/>
        <v>1.82</v>
      </c>
      <c r="F1021" s="601">
        <f>SUM($E$2:E1021)/SUM($C$2:C1021)</f>
        <v>2.0395455058551202E-2</v>
      </c>
      <c r="G1021" s="591">
        <f t="shared" si="28"/>
        <v>65.177551776061776</v>
      </c>
      <c r="H1021" s="602" t="s">
        <v>27</v>
      </c>
      <c r="I1021" s="2"/>
      <c r="J1021" s="2"/>
      <c r="K1021" s="2"/>
      <c r="L1021" s="2"/>
      <c r="O1021" s="58"/>
      <c r="P1021" s="58"/>
    </row>
    <row r="1022" spans="1:16">
      <c r="A1022"/>
      <c r="B1022" s="477"/>
      <c r="C1022" s="597">
        <v>1.82</v>
      </c>
      <c r="D1022" s="592"/>
      <c r="E1022" s="592">
        <f t="shared" si="29"/>
        <v>-1.82</v>
      </c>
      <c r="F1022" s="598">
        <f>SUM($E$2:E1022)/SUM($C$2:C1022)</f>
        <v>1.9814653207045948E-2</v>
      </c>
      <c r="G1022" s="592">
        <f t="shared" si="28"/>
        <v>63.357551776061776</v>
      </c>
      <c r="H1022" s="599" t="s">
        <v>359</v>
      </c>
      <c r="I1022" s="2"/>
      <c r="J1022" s="2"/>
      <c r="K1022" s="2"/>
      <c r="L1022" s="2"/>
      <c r="O1022" s="58"/>
      <c r="P1022" s="58"/>
    </row>
    <row r="1023" spans="1:16">
      <c r="A1023"/>
      <c r="B1023" s="477"/>
      <c r="C1023" s="597">
        <v>1.82</v>
      </c>
      <c r="D1023" s="592"/>
      <c r="E1023" s="592">
        <f t="shared" si="29"/>
        <v>-1.82</v>
      </c>
      <c r="F1023" s="598">
        <f>SUM($E$2:E1023)/SUM($C$2:C1023)</f>
        <v>1.923451215600188E-2</v>
      </c>
      <c r="G1023" s="592">
        <f t="shared" si="28"/>
        <v>61.537551776061775</v>
      </c>
      <c r="H1023" s="599" t="s">
        <v>360</v>
      </c>
      <c r="I1023" s="2"/>
      <c r="J1023" s="2"/>
      <c r="K1023" s="2"/>
      <c r="L1023" s="2"/>
      <c r="O1023" s="58"/>
      <c r="P1023" s="58"/>
    </row>
    <row r="1024" spans="1:16">
      <c r="A1024"/>
      <c r="B1024" s="477"/>
      <c r="C1024" s="597">
        <v>1.82</v>
      </c>
      <c r="D1024" s="592">
        <v>1.98</v>
      </c>
      <c r="E1024" s="592">
        <f t="shared" si="29"/>
        <v>1.7836000000000001</v>
      </c>
      <c r="F1024" s="598">
        <f>SUM($E$2:E1024)/SUM($C$2:C1024)</f>
        <v>1.9780751222548611E-2</v>
      </c>
      <c r="G1024" s="592">
        <f t="shared" si="28"/>
        <v>63.321151776061775</v>
      </c>
      <c r="H1024" s="599" t="s">
        <v>361</v>
      </c>
      <c r="I1024" s="2"/>
      <c r="J1024" s="2"/>
      <c r="K1024" s="2"/>
      <c r="L1024" s="2"/>
      <c r="O1024" s="58"/>
      <c r="P1024" s="58"/>
    </row>
    <row r="1025" spans="1:16">
      <c r="A1025"/>
      <c r="B1025" s="477"/>
      <c r="C1025" s="597">
        <v>1.82</v>
      </c>
      <c r="D1025" s="592"/>
      <c r="E1025" s="592">
        <f t="shared" si="29"/>
        <v>-1.82</v>
      </c>
      <c r="F1025" s="598">
        <f>SUM($E$2:E1025)/SUM($C$2:C1025)</f>
        <v>1.9201288733913052E-2</v>
      </c>
      <c r="G1025" s="592">
        <f t="shared" si="28"/>
        <v>61.501151776061775</v>
      </c>
      <c r="H1025" s="599" t="s">
        <v>291</v>
      </c>
      <c r="I1025" s="2"/>
      <c r="J1025" s="2"/>
      <c r="K1025" s="2"/>
      <c r="L1025" s="2"/>
      <c r="O1025" s="58"/>
      <c r="P1025" s="58"/>
    </row>
    <row r="1026" spans="1:16">
      <c r="A1026"/>
      <c r="B1026" s="477"/>
      <c r="C1026" s="597">
        <v>1.82</v>
      </c>
      <c r="D1026" s="592"/>
      <c r="E1026" s="592">
        <f t="shared" si="29"/>
        <v>-1.82</v>
      </c>
      <c r="F1026" s="598">
        <f>SUM($E$2:E1026)/SUM($C$2:C1026)</f>
        <v>1.8622484398684937E-2</v>
      </c>
      <c r="G1026" s="592">
        <f t="shared" si="28"/>
        <v>59.681151776061775</v>
      </c>
      <c r="H1026" s="599" t="s">
        <v>170</v>
      </c>
      <c r="I1026" s="2"/>
      <c r="J1026" s="2"/>
      <c r="K1026" s="2"/>
      <c r="L1026" s="2"/>
      <c r="O1026" s="58"/>
      <c r="P1026" s="58"/>
    </row>
    <row r="1027" spans="1:16">
      <c r="A1027"/>
      <c r="B1027" s="477"/>
      <c r="C1027" s="597">
        <v>1.82</v>
      </c>
      <c r="D1027" s="592"/>
      <c r="E1027" s="592">
        <f t="shared" si="29"/>
        <v>-1.82</v>
      </c>
      <c r="F1027" s="598">
        <f>SUM($E$2:E1027)/SUM($C$2:C1027)</f>
        <v>1.8044337096204871E-2</v>
      </c>
      <c r="G1027" s="592">
        <f t="shared" si="28"/>
        <v>57.861151776061774</v>
      </c>
      <c r="H1027" s="599" t="s">
        <v>362</v>
      </c>
      <c r="I1027" s="2"/>
      <c r="J1027" s="2"/>
      <c r="K1027" s="2"/>
      <c r="L1027" s="2"/>
      <c r="O1027" s="58"/>
      <c r="P1027" s="58"/>
    </row>
    <row r="1028" spans="1:16">
      <c r="A1028"/>
      <c r="B1028" s="477"/>
      <c r="C1028" s="597">
        <v>1.82</v>
      </c>
      <c r="D1028" s="592"/>
      <c r="E1028" s="592">
        <f t="shared" si="29"/>
        <v>-1.82</v>
      </c>
      <c r="F1028" s="598">
        <f>SUM($E$2:E1028)/SUM($C$2:C1028)</f>
        <v>1.7466845708356271E-2</v>
      </c>
      <c r="G1028" s="592">
        <f t="shared" si="28"/>
        <v>56.041151776061774</v>
      </c>
      <c r="H1028" s="599" t="s">
        <v>363</v>
      </c>
      <c r="I1028" s="2"/>
      <c r="J1028" s="2"/>
      <c r="K1028" s="2"/>
      <c r="L1028" s="2"/>
      <c r="O1028" s="58"/>
      <c r="P1028" s="58"/>
    </row>
    <row r="1029" spans="1:16">
      <c r="A1029"/>
      <c r="B1029" s="477"/>
      <c r="C1029" s="597">
        <v>1.82</v>
      </c>
      <c r="D1029" s="592">
        <v>1.845</v>
      </c>
      <c r="E1029" s="592">
        <f t="shared" si="29"/>
        <v>1.5378999999999998</v>
      </c>
      <c r="F1029" s="598">
        <f>SUM($E$2:E1029)/SUM($C$2:C1029)</f>
        <v>1.7936002422260414E-2</v>
      </c>
      <c r="G1029" s="592">
        <f t="shared" si="28"/>
        <v>57.579051776061775</v>
      </c>
      <c r="H1029" s="599" t="s">
        <v>364</v>
      </c>
      <c r="I1029" s="2"/>
      <c r="J1029" s="2"/>
      <c r="K1029" s="2"/>
      <c r="L1029" s="2"/>
      <c r="O1029" s="58"/>
      <c r="P1029" s="58"/>
    </row>
    <row r="1030" spans="1:16">
      <c r="A1030"/>
      <c r="B1030" s="477"/>
      <c r="C1030" s="597">
        <v>1.82</v>
      </c>
      <c r="D1030" s="592"/>
      <c r="E1030" s="592">
        <f t="shared" si="29"/>
        <v>-1.82</v>
      </c>
      <c r="F1030" s="598">
        <f>SUM($E$2:E1030)/SUM($C$2:C1030)</f>
        <v>1.7359226846258489E-2</v>
      </c>
      <c r="G1030" s="592">
        <f t="shared" si="28"/>
        <v>55.759051776061774</v>
      </c>
      <c r="H1030" s="599" t="s">
        <v>365</v>
      </c>
      <c r="I1030" s="2"/>
      <c r="J1030" s="2"/>
      <c r="K1030" s="2"/>
      <c r="L1030" s="2"/>
      <c r="O1030" s="58"/>
      <c r="P1030" s="58"/>
    </row>
    <row r="1031" spans="1:16">
      <c r="A1031"/>
      <c r="B1031" s="477"/>
      <c r="C1031" s="600">
        <v>1.82</v>
      </c>
      <c r="D1031" s="591">
        <v>1.99</v>
      </c>
      <c r="E1031" s="591">
        <f t="shared" si="29"/>
        <v>1.8017999999999998</v>
      </c>
      <c r="F1031" s="601">
        <f>SUM($E$2:E1031)/SUM($C$2:C1031)</f>
        <v>1.7910025475688804E-2</v>
      </c>
      <c r="G1031" s="591">
        <f t="shared" si="28"/>
        <v>57.560851776061774</v>
      </c>
      <c r="H1031" s="602" t="s">
        <v>366</v>
      </c>
      <c r="I1031" s="2"/>
      <c r="J1031" s="2"/>
      <c r="K1031" s="2"/>
      <c r="L1031" s="2"/>
      <c r="O1031" s="58"/>
      <c r="P1031" s="58"/>
    </row>
    <row r="1032" spans="1:16">
      <c r="A1032"/>
      <c r="B1032" s="477"/>
      <c r="C1032" s="597">
        <v>1.82</v>
      </c>
      <c r="D1032" s="592">
        <v>1.94</v>
      </c>
      <c r="E1032" s="592">
        <f t="shared" si="29"/>
        <v>1.7108000000000001</v>
      </c>
      <c r="F1032" s="598">
        <f>SUM($E$2:E1032)/SUM($C$2:C1032)</f>
        <v>1.8431902060839278E-2</v>
      </c>
      <c r="G1032" s="592">
        <f t="shared" si="28"/>
        <v>59.271651776061773</v>
      </c>
      <c r="H1032" s="599" t="s">
        <v>14</v>
      </c>
      <c r="I1032" s="2"/>
      <c r="J1032" s="2"/>
      <c r="K1032" s="2"/>
      <c r="L1032" s="2"/>
      <c r="O1032" s="58"/>
      <c r="P1032" s="58"/>
    </row>
    <row r="1033" spans="1:16">
      <c r="A1033"/>
      <c r="B1033" s="477"/>
      <c r="C1033" s="597">
        <v>1.82</v>
      </c>
      <c r="D1033" s="592">
        <v>1.93</v>
      </c>
      <c r="E1033" s="592">
        <f t="shared" si="29"/>
        <v>1.6925999999999999</v>
      </c>
      <c r="F1033" s="598">
        <f>SUM($E$2:E1033)/SUM($C$2:C1033)</f>
        <v>1.894753173274576E-2</v>
      </c>
      <c r="G1033" s="592">
        <f t="shared" si="28"/>
        <v>60.964251776061772</v>
      </c>
      <c r="H1033" s="599" t="s">
        <v>51</v>
      </c>
      <c r="I1033" s="2"/>
      <c r="J1033" s="2"/>
      <c r="K1033" s="2"/>
      <c r="L1033" s="2"/>
      <c r="O1033" s="58"/>
      <c r="P1033" s="58"/>
    </row>
    <row r="1034" spans="1:16">
      <c r="A1034"/>
      <c r="B1034" s="477"/>
      <c r="C1034" s="597">
        <v>1.82</v>
      </c>
      <c r="D1034" s="592"/>
      <c r="E1034" s="592">
        <f t="shared" si="29"/>
        <v>-1.82</v>
      </c>
      <c r="F1034" s="598">
        <f>SUM($E$2:E1034)/SUM($C$2:C1034)</f>
        <v>1.8371488584981898E-2</v>
      </c>
      <c r="G1034" s="592">
        <f t="shared" si="28"/>
        <v>59.144251776061772</v>
      </c>
      <c r="H1034" s="599" t="s">
        <v>25</v>
      </c>
      <c r="I1034" s="2"/>
      <c r="J1034" s="2"/>
      <c r="K1034" s="2"/>
      <c r="L1034" s="2"/>
      <c r="O1034" s="58"/>
      <c r="P1034" s="58"/>
    </row>
    <row r="1035" spans="1:16">
      <c r="A1035"/>
      <c r="B1035" s="477"/>
      <c r="C1035" s="600">
        <v>1.82</v>
      </c>
      <c r="D1035" s="591"/>
      <c r="E1035" s="591">
        <f t="shared" si="29"/>
        <v>-1.82</v>
      </c>
      <c r="F1035" s="601">
        <f>SUM($E$2:E1035)/SUM($C$2:C1035)</f>
        <v>1.7796096379905896E-2</v>
      </c>
      <c r="G1035" s="591">
        <f t="shared" si="28"/>
        <v>57.324251776061772</v>
      </c>
      <c r="H1035" s="602" t="s">
        <v>27</v>
      </c>
      <c r="I1035" s="2">
        <f>SUM(E1012:E1035)</f>
        <v>-5.2143000000000024</v>
      </c>
      <c r="L1035" s="2">
        <f>I1035/C1035</f>
        <v>-2.8650000000000011</v>
      </c>
      <c r="O1035" s="58"/>
      <c r="P1035" s="58"/>
    </row>
    <row r="1036" spans="1:16">
      <c r="A1036">
        <v>116</v>
      </c>
      <c r="B1036" s="476">
        <v>46065</v>
      </c>
      <c r="C1036" s="600">
        <v>8.42</v>
      </c>
      <c r="D1036" s="591">
        <v>1.8260000000000001</v>
      </c>
      <c r="E1036" s="591">
        <f t="shared" si="29"/>
        <v>6.9549200000000013</v>
      </c>
      <c r="F1036" s="601">
        <f>SUM($E$2:E1036)/SUM($C$2:C1036)</f>
        <v>1.9903198788719757E-2</v>
      </c>
      <c r="G1036" s="591">
        <f t="shared" si="28"/>
        <v>64.279171776061773</v>
      </c>
      <c r="H1036" s="602" t="s">
        <v>47</v>
      </c>
      <c r="I1036" s="2"/>
      <c r="J1036" s="2"/>
      <c r="K1036" s="2"/>
      <c r="L1036" s="2"/>
      <c r="O1036" s="58"/>
      <c r="P1036" s="58"/>
    </row>
    <row r="1037" spans="1:16">
      <c r="A1037">
        <v>227</v>
      </c>
      <c r="B1037" s="477"/>
      <c r="C1037" s="597">
        <v>8.42</v>
      </c>
      <c r="D1037" s="592">
        <v>1.8400900900900901</v>
      </c>
      <c r="E1037" s="592">
        <f t="shared" si="29"/>
        <v>7.0735585585585579</v>
      </c>
      <c r="F1037" s="598">
        <f>SUM($E$2:E1037)/SUM($C$2:C1037)</f>
        <v>2.2035982079925624E-2</v>
      </c>
      <c r="G1037" s="592">
        <f t="shared" si="28"/>
        <v>71.352730334620333</v>
      </c>
      <c r="H1037" s="607" t="s">
        <v>367</v>
      </c>
      <c r="I1037" s="2"/>
      <c r="J1037" s="2"/>
      <c r="K1037" s="2"/>
      <c r="L1037" s="2"/>
      <c r="O1037" s="58"/>
      <c r="P1037" s="58"/>
    </row>
    <row r="1038" spans="1:16">
      <c r="A1038">
        <v>228</v>
      </c>
      <c r="B1038" s="477"/>
      <c r="C1038" s="597">
        <v>8.42</v>
      </c>
      <c r="D1038" s="592">
        <v>1.86</v>
      </c>
      <c r="E1038" s="592">
        <f t="shared" si="29"/>
        <v>7.241200000000001</v>
      </c>
      <c r="F1038" s="598">
        <f>SUM($E$2:E1038)/SUM($C$2:C1038)</f>
        <v>2.420934082503548E-2</v>
      </c>
      <c r="G1038" s="592">
        <f t="shared" si="28"/>
        <v>78.593930334620339</v>
      </c>
      <c r="H1038" s="599" t="s">
        <v>368</v>
      </c>
      <c r="I1038" s="2"/>
      <c r="J1038" s="2"/>
      <c r="K1038" s="2"/>
      <c r="L1038" s="2"/>
      <c r="O1038" s="58"/>
      <c r="P1038" s="58"/>
    </row>
    <row r="1039" spans="1:16">
      <c r="A1039">
        <v>229</v>
      </c>
      <c r="B1039" s="477"/>
      <c r="C1039" s="600">
        <v>8.42</v>
      </c>
      <c r="D1039" s="591">
        <v>1.98</v>
      </c>
      <c r="E1039" s="591">
        <f t="shared" si="29"/>
        <v>8.251599999999998</v>
      </c>
      <c r="F1039" s="601">
        <f>SUM($E$2:E1039)/SUM($C$2:C1039)</f>
        <v>2.6681884060592621E-2</v>
      </c>
      <c r="G1039" s="591">
        <f t="shared" si="28"/>
        <v>86.845530334620335</v>
      </c>
      <c r="H1039" s="602" t="s">
        <v>115</v>
      </c>
      <c r="I1039" s="2"/>
      <c r="J1039" s="2"/>
      <c r="K1039" s="2"/>
      <c r="L1039" s="2"/>
      <c r="O1039" s="58"/>
      <c r="P1039" s="58"/>
    </row>
    <row r="1040" spans="1:16">
      <c r="A1040"/>
      <c r="B1040" s="478"/>
      <c r="C1040" s="600">
        <v>8.42</v>
      </c>
      <c r="D1040" s="591">
        <v>3.38</v>
      </c>
      <c r="E1040" s="591">
        <f t="shared" si="29"/>
        <v>20.0396</v>
      </c>
      <c r="F1040" s="601">
        <f>SUM($E$2:E1040)/SUM($C$2:C1040)</f>
        <v>3.2753995328189144E-2</v>
      </c>
      <c r="G1040" s="591">
        <f t="shared" si="28"/>
        <v>106.88513033462033</v>
      </c>
      <c r="H1040" s="602" t="s">
        <v>47</v>
      </c>
      <c r="I1040" s="2">
        <f>SUM(E1036:E1040)</f>
        <v>49.560878558558557</v>
      </c>
      <c r="J1040" s="2">
        <f>SUM(E994:E1041)</f>
        <v>25.423778558558546</v>
      </c>
      <c r="K1040" s="2">
        <f>SUM(E913:E1041)</f>
        <v>50.329968558558555</v>
      </c>
      <c r="L1040" s="2">
        <f>I1040/C1040</f>
        <v>5.8860900900900903</v>
      </c>
      <c r="O1040" s="58"/>
      <c r="P1040" s="58"/>
    </row>
    <row r="1041" spans="1:16">
      <c r="A1041"/>
      <c r="B1041" s="363"/>
      <c r="C1041" s="362"/>
      <c r="D1041" s="581"/>
      <c r="E1041" s="581"/>
      <c r="F1041" s="582"/>
      <c r="G1041" s="581"/>
      <c r="H1041" s="608"/>
      <c r="O1041" s="58"/>
      <c r="P1041" s="58"/>
    </row>
    <row r="1042" spans="1:16">
      <c r="A1042"/>
      <c r="C1042" s="130">
        <f>SUM(C2:C1041)</f>
        <v>3263.2700000000168</v>
      </c>
      <c r="D1042"/>
      <c r="E1042" s="13">
        <f>SUM(E2:E1041)</f>
        <v>106.88513033462033</v>
      </c>
      <c r="F1042" s="14"/>
      <c r="G1042" s="609">
        <f>E1042-MAX(G2:G1041)</f>
        <v>0</v>
      </c>
      <c r="I1042" s="11">
        <f>E1042-SUM(I2:I1041)</f>
        <v>0</v>
      </c>
      <c r="J1042" s="11">
        <f>E1042-SUM(J2:J1041)</f>
        <v>1.1368683772161603E-13</v>
      </c>
      <c r="K1042" s="12">
        <f>E1042-SUM(K2:K1041)</f>
        <v>0</v>
      </c>
      <c r="O1042" s="58"/>
      <c r="P1042" s="58"/>
    </row>
    <row r="1043" spans="1:16">
      <c r="A1043"/>
      <c r="D1043"/>
      <c r="E1043" s="2"/>
      <c r="F1043" s="2"/>
      <c r="G1043"/>
      <c r="N1043" s="19"/>
      <c r="O1043" s="58"/>
      <c r="P1043" s="58"/>
    </row>
    <row r="1044" spans="1:16">
      <c r="A1044"/>
      <c r="B1044" t="s">
        <v>369</v>
      </c>
      <c r="D1044" s="508" t="s">
        <v>370</v>
      </c>
      <c r="E1044" s="509"/>
      <c r="F1044" s="510"/>
      <c r="G1044" s="2"/>
      <c r="I1044" s="480">
        <v>700</v>
      </c>
      <c r="J1044" s="481"/>
      <c r="K1044" s="16" t="s">
        <v>371</v>
      </c>
      <c r="N1044" s="19"/>
      <c r="O1044" s="58"/>
      <c r="P1044" s="58"/>
    </row>
    <row r="1045" spans="1:16">
      <c r="A1045"/>
      <c r="B1045">
        <f>COUNT(C2:C1041)</f>
        <v>1039</v>
      </c>
      <c r="C1045" s="1"/>
      <c r="D1045" s="610">
        <v>1</v>
      </c>
      <c r="E1045" s="611">
        <v>1.93</v>
      </c>
      <c r="F1045" s="612">
        <f>D1045*E1045-D1045</f>
        <v>0.92999999999999994</v>
      </c>
      <c r="G1045" s="15"/>
      <c r="H1045" s="17" t="s">
        <v>372</v>
      </c>
      <c r="I1045" s="75">
        <f>(J1045/(3*3))</f>
        <v>8.9657236703846692</v>
      </c>
      <c r="J1045" s="149">
        <f>I1048/10</f>
        <v>80.69151303346203</v>
      </c>
      <c r="K1045" s="3" t="s">
        <v>373</v>
      </c>
      <c r="N1045" s="19"/>
      <c r="O1045" s="58"/>
      <c r="P1045" s="58"/>
    </row>
    <row r="1046" spans="1:16">
      <c r="A1046"/>
      <c r="B1046" t="s">
        <v>374</v>
      </c>
      <c r="C1046" s="99"/>
      <c r="D1046" s="613">
        <f>F1046/(E1045-1)</f>
        <v>1.0752688172043012</v>
      </c>
      <c r="E1046" s="614"/>
      <c r="F1046" s="615">
        <v>1</v>
      </c>
      <c r="G1046" s="15"/>
      <c r="H1046" s="17" t="s">
        <v>375</v>
      </c>
      <c r="I1046" s="127">
        <f>SUM(I2:I1041)+0.03</f>
        <v>106.91513033462033</v>
      </c>
      <c r="J1046" s="148"/>
      <c r="K1046" s="3" t="s">
        <v>376</v>
      </c>
      <c r="L1046" s="138"/>
      <c r="N1046" s="19"/>
      <c r="O1046" s="18"/>
      <c r="P1046" s="58"/>
    </row>
    <row r="1047" spans="1:16">
      <c r="A1047"/>
      <c r="B1047" s="18">
        <f>COUNT(D2:D1041)/B1045</f>
        <v>0.5303176130895092</v>
      </c>
      <c r="C1047" s="18"/>
      <c r="D1047"/>
      <c r="E1047" s="15">
        <f>1/B1047</f>
        <v>1.8856624319419235</v>
      </c>
      <c r="F1047" s="15"/>
      <c r="G1047" s="15"/>
      <c r="H1047" s="17" t="s">
        <v>377</v>
      </c>
      <c r="I1047" s="484">
        <f>(I1046-J1046)</f>
        <v>106.91513033462033</v>
      </c>
      <c r="J1047" s="485"/>
      <c r="K1047" s="128"/>
      <c r="N1047" s="19"/>
      <c r="O1047" s="58"/>
      <c r="P1047" s="58"/>
    </row>
    <row r="1048" spans="1:16">
      <c r="A1048"/>
      <c r="B1048" t="s">
        <v>4</v>
      </c>
      <c r="D1048"/>
      <c r="E1048"/>
      <c r="F1048"/>
      <c r="G1048"/>
      <c r="H1048" s="17" t="s">
        <v>378</v>
      </c>
      <c r="I1048" s="486">
        <f>I1044+I1047</f>
        <v>806.91513033462036</v>
      </c>
      <c r="J1048" s="487"/>
      <c r="K1048" s="128"/>
      <c r="L1048" s="138">
        <f>I1048-666.51</f>
        <v>140.40513033462037</v>
      </c>
      <c r="M1048" s="138"/>
      <c r="N1048" s="19"/>
      <c r="O1048" s="58"/>
      <c r="P1048" s="58"/>
    </row>
    <row r="1049" spans="1:16">
      <c r="A1049"/>
      <c r="B1049" s="18">
        <f>E1042/C1042</f>
        <v>3.2753995328189144E-2</v>
      </c>
      <c r="D1049"/>
      <c r="E1049" s="616"/>
      <c r="F1049"/>
      <c r="G1049"/>
      <c r="H1049" s="17" t="s">
        <v>379</v>
      </c>
      <c r="I1049" s="219">
        <f>(I1048-I1044)/I1044</f>
        <v>0.15273590047802907</v>
      </c>
      <c r="J1049" s="230">
        <f>C1042/I1044</f>
        <v>4.6618142857143097</v>
      </c>
      <c r="K1049" t="s">
        <v>380</v>
      </c>
      <c r="L1049" s="18"/>
      <c r="M1049" s="138"/>
      <c r="N1049" s="19"/>
      <c r="O1049" s="58"/>
      <c r="P1049" s="58"/>
    </row>
    <row r="1050" spans="1:16">
      <c r="A1050"/>
      <c r="B1050" s="18"/>
      <c r="D1050"/>
      <c r="E1050"/>
      <c r="F1050"/>
      <c r="G1050"/>
      <c r="H1050" s="17" t="s">
        <v>381</v>
      </c>
      <c r="I1050" s="127">
        <f>-$I$1048*15/100</f>
        <v>-121.03726955019305</v>
      </c>
      <c r="J1050" s="148">
        <f>$I$1048*20/100</f>
        <v>161.38302606692406</v>
      </c>
      <c r="K1050" t="s">
        <v>382</v>
      </c>
      <c r="L1050" s="18"/>
      <c r="M1050" s="138"/>
      <c r="N1050" s="19"/>
      <c r="O1050" s="58"/>
      <c r="P1050" s="58"/>
    </row>
    <row r="1051" spans="1:16">
      <c r="A1051"/>
      <c r="B1051" s="18"/>
      <c r="D1051"/>
      <c r="E1051"/>
      <c r="F1051"/>
      <c r="G1051"/>
      <c r="H1051" s="17"/>
      <c r="I1051" s="18"/>
      <c r="J1051" s="2"/>
      <c r="L1051" s="3"/>
      <c r="N1051" s="19"/>
      <c r="O1051" s="58"/>
      <c r="P1051" s="58"/>
    </row>
    <row r="1052" spans="1:16">
      <c r="A1052"/>
      <c r="D1052"/>
      <c r="E1052"/>
      <c r="F1052"/>
      <c r="G1052"/>
      <c r="L1052" s="3"/>
      <c r="N1052" s="19"/>
      <c r="O1052" s="58"/>
      <c r="P1052" s="58"/>
    </row>
    <row r="1053" spans="1:16">
      <c r="A1053"/>
      <c r="D1053"/>
      <c r="E1053"/>
      <c r="F1053"/>
      <c r="G1053"/>
      <c r="N1053" s="19"/>
      <c r="O1053" s="58"/>
      <c r="P1053" s="58"/>
    </row>
    <row r="1054" spans="1:16">
      <c r="A1054"/>
      <c r="D1054"/>
      <c r="E1054"/>
      <c r="F1054"/>
      <c r="G1054"/>
      <c r="I1054" s="20"/>
      <c r="L1054" s="3"/>
      <c r="N1054" s="19"/>
      <c r="O1054" s="58"/>
      <c r="P1054" s="58"/>
    </row>
    <row r="1055" spans="1:16">
      <c r="A1055"/>
      <c r="D1055"/>
      <c r="E1055"/>
      <c r="F1055"/>
      <c r="G1055"/>
      <c r="L1055" s="2"/>
      <c r="N1055" s="19"/>
      <c r="O1055" s="58"/>
      <c r="P1055" s="58"/>
    </row>
    <row r="1056" spans="1:16">
      <c r="A1056"/>
      <c r="D1056"/>
      <c r="E1056"/>
      <c r="F1056"/>
      <c r="G1056"/>
      <c r="L1056" s="18"/>
      <c r="N1056" s="19"/>
      <c r="O1056" s="58"/>
      <c r="P1056" s="58"/>
    </row>
    <row r="1057" spans="1:16">
      <c r="A1057"/>
      <c r="D1057"/>
      <c r="E1057"/>
      <c r="F1057"/>
      <c r="G1057"/>
      <c r="O1057" s="58"/>
      <c r="P1057" s="58"/>
    </row>
    <row r="1058" spans="1:16">
      <c r="A1058"/>
      <c r="D1058"/>
      <c r="E1058"/>
      <c r="F1058"/>
      <c r="G1058"/>
      <c r="P1058" s="58"/>
    </row>
    <row r="1059" spans="1:16">
      <c r="A1059"/>
      <c r="D1059"/>
      <c r="E1059"/>
      <c r="F1059"/>
      <c r="G1059"/>
      <c r="P1059" s="58"/>
    </row>
    <row r="1060" spans="1:16">
      <c r="A1060"/>
      <c r="D1060"/>
      <c r="E1060"/>
      <c r="F1060"/>
      <c r="G1060"/>
      <c r="P1060" s="58"/>
    </row>
    <row r="1061" spans="1:16">
      <c r="A1061"/>
      <c r="D1061"/>
      <c r="E1061"/>
      <c r="F1061"/>
      <c r="G1061"/>
      <c r="P1061" s="58"/>
    </row>
    <row r="1062" spans="1:16">
      <c r="A1062"/>
      <c r="D1062"/>
      <c r="E1062"/>
      <c r="F1062"/>
      <c r="G1062"/>
    </row>
    <row r="1063" spans="1:16">
      <c r="A1063"/>
      <c r="D1063"/>
      <c r="E1063"/>
      <c r="F1063"/>
      <c r="G1063"/>
    </row>
    <row r="1064" spans="1:16">
      <c r="A1064"/>
      <c r="D1064"/>
      <c r="E1064"/>
      <c r="F1064"/>
      <c r="G1064"/>
    </row>
    <row r="1065" spans="1:16">
      <c r="A1065"/>
      <c r="D1065"/>
      <c r="E1065"/>
      <c r="F1065"/>
      <c r="G1065"/>
    </row>
    <row r="1066" spans="1:16">
      <c r="A1066"/>
      <c r="D1066"/>
      <c r="E1066"/>
      <c r="F1066"/>
      <c r="G1066"/>
    </row>
    <row r="1067" spans="1:16">
      <c r="A1067"/>
      <c r="D1067"/>
      <c r="E1067"/>
      <c r="F1067"/>
      <c r="G1067"/>
    </row>
    <row r="1068" spans="1:16">
      <c r="A1068"/>
      <c r="B1068" s="462" t="s">
        <v>383</v>
      </c>
      <c r="C1068" s="463" t="s">
        <v>1</v>
      </c>
      <c r="D1068" s="617"/>
      <c r="E1068" s="618" t="s">
        <v>3</v>
      </c>
      <c r="F1068" s="619" t="s">
        <v>4</v>
      </c>
      <c r="G1068"/>
      <c r="H1068" s="482" t="s">
        <v>384</v>
      </c>
      <c r="I1068" s="482"/>
    </row>
    <row r="1069" spans="1:16">
      <c r="A1069"/>
      <c r="B1069" s="145" t="s">
        <v>385</v>
      </c>
      <c r="C1069" s="146">
        <f>SUM(C2:C87)</f>
        <v>287.22000000000031</v>
      </c>
      <c r="D1069" s="146"/>
      <c r="E1069" s="146">
        <f>SUM(E2:E87)</f>
        <v>24.18810999999998</v>
      </c>
      <c r="F1069" s="620">
        <f>E1069/C1069</f>
        <v>8.4214574193997471E-2</v>
      </c>
      <c r="G1069" s="138"/>
      <c r="H1069" s="366"/>
    </row>
    <row r="1070" spans="1:16">
      <c r="A1070"/>
      <c r="B1070" s="145" t="s">
        <v>386</v>
      </c>
      <c r="C1070" s="146">
        <f>SUM(C88:C162)</f>
        <v>260.56999999999994</v>
      </c>
      <c r="D1070" s="146"/>
      <c r="E1070" s="146">
        <f>SUM(E88:E162)</f>
        <v>-31.943870000000008</v>
      </c>
      <c r="F1070" s="620">
        <f>E1070/C1070</f>
        <v>-0.12259227846643903</v>
      </c>
      <c r="G1070" s="138"/>
      <c r="H1070" s="366"/>
      <c r="I1070" s="470"/>
    </row>
    <row r="1071" spans="1:16">
      <c r="A1071"/>
      <c r="B1071" s="145" t="s">
        <v>387</v>
      </c>
      <c r="C1071" s="146">
        <f>SUM(C163:C238)</f>
        <v>211.29000000000002</v>
      </c>
      <c r="D1071" s="146"/>
      <c r="E1071" s="457">
        <f>SUM(E163:E238)</f>
        <v>-50.734390000000062</v>
      </c>
      <c r="F1071" s="152">
        <f>E1071/C1071</f>
        <v>-0.24011732689668255</v>
      </c>
      <c r="G1071" s="483" t="s">
        <v>388</v>
      </c>
      <c r="H1071" s="621"/>
    </row>
    <row r="1072" spans="1:16">
      <c r="A1072"/>
      <c r="B1072" s="145" t="s">
        <v>389</v>
      </c>
      <c r="C1072" s="146">
        <f>SUM(C239:C362)</f>
        <v>363.56999999999988</v>
      </c>
      <c r="D1072" s="146"/>
      <c r="E1072" s="146">
        <f>SUM(E239:E362)</f>
        <v>0.45845999999998011</v>
      </c>
      <c r="F1072" s="620">
        <f>E1072/C1072</f>
        <v>1.2609951316114648E-3</v>
      </c>
      <c r="G1072"/>
    </row>
    <row r="1073" spans="1:14">
      <c r="A1073"/>
      <c r="B1073" s="145" t="s">
        <v>390</v>
      </c>
      <c r="C1073" s="146">
        <f>SUM(C363:C417)</f>
        <v>253.45999999999987</v>
      </c>
      <c r="D1073" s="146"/>
      <c r="E1073" s="146">
        <f>SUM(E363:E417)</f>
        <v>-9.4171099999999885</v>
      </c>
      <c r="F1073" s="620">
        <f>E1073/C1073</f>
        <v>-3.7154225518819514E-2</v>
      </c>
      <c r="G1073"/>
    </row>
    <row r="1074" spans="1:14">
      <c r="A1074"/>
      <c r="B1074" s="145" t="s">
        <v>391</v>
      </c>
      <c r="C1074" s="146">
        <f>SUM(C418:C500)</f>
        <v>278.7699999999997</v>
      </c>
      <c r="D1074" s="146"/>
      <c r="E1074" s="146">
        <f>SUM(E418:E500)</f>
        <v>2.5899699999999952</v>
      </c>
      <c r="F1074" s="620">
        <f>E1074/C1074</f>
        <v>9.2907055995982285E-3</v>
      </c>
      <c r="G1074"/>
    </row>
    <row r="1075" spans="1:14">
      <c r="A1075"/>
      <c r="B1075" s="145" t="s">
        <v>392</v>
      </c>
      <c r="C1075" s="146">
        <f>SUM(C501:C594)</f>
        <v>253.28999999999982</v>
      </c>
      <c r="D1075" s="146"/>
      <c r="E1075" s="146">
        <f>SUM(E501:E594)</f>
        <v>4.2219799999999932</v>
      </c>
      <c r="F1075" s="620">
        <f>E1075/C1075</f>
        <v>1.6668561727663928E-2</v>
      </c>
      <c r="G1075"/>
      <c r="M1075" s="459"/>
    </row>
    <row r="1076" spans="1:14">
      <c r="A1076"/>
      <c r="B1076" s="145" t="s">
        <v>393</v>
      </c>
      <c r="C1076" s="146">
        <f>SUM(C595:C691)</f>
        <v>277.90000000000015</v>
      </c>
      <c r="D1076" s="146"/>
      <c r="E1076" s="146">
        <f>SUM(E595:E691)</f>
        <v>18.901421776061795</v>
      </c>
      <c r="F1076" s="620">
        <f>E1076/C1076</f>
        <v>6.8015191709470263E-2</v>
      </c>
      <c r="G1076"/>
      <c r="I1076" s="458">
        <v>-50.734390000000062</v>
      </c>
      <c r="J1076" s="459">
        <v>46.224360000000004</v>
      </c>
      <c r="K1076" s="459">
        <f>I1076+J1076</f>
        <v>-4.5100300000000573</v>
      </c>
      <c r="L1076" s="458"/>
      <c r="M1076" s="459"/>
    </row>
    <row r="1077" spans="1:14">
      <c r="A1077"/>
      <c r="B1077" s="145" t="s">
        <v>394</v>
      </c>
      <c r="C1077" s="146">
        <f>SUM(C692:C756)</f>
        <v>174.95999999999992</v>
      </c>
      <c r="D1077" s="146"/>
      <c r="E1077" s="146">
        <f>SUM(E692:E756)</f>
        <v>-27.048020000000008</v>
      </c>
      <c r="F1077" s="620">
        <f>E1077/C1077</f>
        <v>-0.15459545038866038</v>
      </c>
      <c r="G1077"/>
      <c r="I1077" s="458">
        <v>-31.943870000000008</v>
      </c>
      <c r="J1077" s="460">
        <v>45.426540000000003</v>
      </c>
      <c r="K1077" s="459">
        <f>I1077+J1077</f>
        <v>13.482669999999995</v>
      </c>
      <c r="L1077" s="458"/>
      <c r="M1077" s="459"/>
    </row>
    <row r="1078" spans="1:14">
      <c r="A1078"/>
      <c r="B1078" s="145" t="s">
        <v>395</v>
      </c>
      <c r="C1078" s="146">
        <f>SUM(C757:C793)</f>
        <v>119.08000000000008</v>
      </c>
      <c r="D1078" s="146"/>
      <c r="E1078" s="146">
        <f>SUM(E757:E793)</f>
        <v>38.596669999999996</v>
      </c>
      <c r="F1078" s="152">
        <f>E1078/C1078</f>
        <v>0.32412386630836387</v>
      </c>
      <c r="G1078"/>
      <c r="I1078" s="458">
        <v>-27.048020000000008</v>
      </c>
      <c r="J1078" s="459">
        <v>38.596669999999996</v>
      </c>
      <c r="K1078" s="459">
        <f>I1078+J1078</f>
        <v>11.548649999999988</v>
      </c>
      <c r="L1078" s="458"/>
      <c r="M1078" s="459"/>
      <c r="N1078" s="459"/>
    </row>
    <row r="1079" spans="1:14">
      <c r="A1079"/>
      <c r="B1079" s="145" t="s">
        <v>396</v>
      </c>
      <c r="C1079" s="146">
        <f>SUM(C794:C850)</f>
        <v>170.13999999999984</v>
      </c>
      <c r="D1079" s="146"/>
      <c r="E1079" s="457">
        <f>SUM(E794:E850)</f>
        <v>46.224360000000004</v>
      </c>
      <c r="F1079" s="620">
        <f>E1079/C1079</f>
        <v>0.27168426002115931</v>
      </c>
      <c r="G1079"/>
      <c r="I1079" s="458">
        <v>-9.4171099999999885</v>
      </c>
      <c r="J1079" s="459">
        <v>24.18810999999998</v>
      </c>
      <c r="K1079" s="459">
        <f>I1079+J1079</f>
        <v>14.770999999999992</v>
      </c>
      <c r="L1079" s="458"/>
      <c r="M1079" s="459"/>
    </row>
    <row r="1080" spans="1:14">
      <c r="A1080"/>
      <c r="B1080" s="145" t="s">
        <v>397</v>
      </c>
      <c r="C1080" s="146">
        <f>SUM(C851:C929)</f>
        <v>237.56000000000014</v>
      </c>
      <c r="D1080" s="146"/>
      <c r="E1080" s="146">
        <f>SUM(E851:E929)</f>
        <v>45.42653999999996</v>
      </c>
      <c r="F1080" s="620">
        <f>E1080/C1080</f>
        <v>0.19122133355783774</v>
      </c>
      <c r="G1080"/>
      <c r="I1080" s="458">
        <f>SUM(I1076:I1079)</f>
        <v>-119.14339000000007</v>
      </c>
      <c r="J1080" s="458">
        <f>SUM(J1076:J1079)</f>
        <v>154.43567999999999</v>
      </c>
      <c r="K1080" s="459">
        <f>SUM(K1076:K1079)</f>
        <v>35.292289999999916</v>
      </c>
      <c r="L1080" s="458"/>
      <c r="M1080" s="459"/>
    </row>
    <row r="1081" spans="1:14">
      <c r="A1081"/>
      <c r="B1081" s="145" t="s">
        <v>398</v>
      </c>
      <c r="C1081" s="146">
        <f>SUM(C930:C993)</f>
        <v>222.73000000000022</v>
      </c>
      <c r="D1081" s="146"/>
      <c r="E1081" s="146">
        <f>SUM(E930:E993)</f>
        <v>19.997230000000002</v>
      </c>
      <c r="F1081" s="620">
        <f>E1081/C1081</f>
        <v>8.9782382256543725E-2</v>
      </c>
      <c r="G1081"/>
      <c r="I1081" s="458"/>
      <c r="J1081" s="458"/>
      <c r="K1081" s="459"/>
      <c r="M1081" s="459"/>
    </row>
    <row r="1082" spans="1:14">
      <c r="A1082"/>
      <c r="B1082" s="145" t="s">
        <v>399</v>
      </c>
      <c r="C1082" s="146">
        <f>SUM(C994:C1041)</f>
        <v>152.72999999999982</v>
      </c>
      <c r="D1082" s="146"/>
      <c r="E1082" s="146">
        <f>SUM(E994:E1041)</f>
        <v>25.423778558558546</v>
      </c>
      <c r="F1082" s="620">
        <f>E1082/C1082</f>
        <v>0.16646224421239164</v>
      </c>
      <c r="G1082" s="138">
        <v>-117.22220276640927</v>
      </c>
      <c r="H1082" s="366">
        <v>156.29627035521236</v>
      </c>
      <c r="I1082" s="458"/>
      <c r="J1082" s="458"/>
      <c r="K1082" s="459"/>
      <c r="M1082" s="459"/>
    </row>
    <row r="1083" spans="1:14">
      <c r="A1083"/>
      <c r="B1083" s="142"/>
      <c r="C1083" s="143"/>
      <c r="D1083" s="143"/>
      <c r="E1083" s="143"/>
      <c r="F1083" s="144"/>
      <c r="G1083" s="622"/>
      <c r="H1083" s="231"/>
    </row>
    <row r="1084" spans="1:14">
      <c r="A1084"/>
      <c r="D1084"/>
      <c r="E1084" s="137"/>
      <c r="F1084"/>
      <c r="G1084" s="228"/>
      <c r="H1084" s="228"/>
    </row>
    <row r="1085" spans="1:14">
      <c r="A1085"/>
      <c r="C1085" s="43">
        <f>SUM(C1069:C1084)</f>
        <v>3263.2699999999995</v>
      </c>
      <c r="D1085" s="42"/>
      <c r="E1085" s="43">
        <f>SUM(E1069:E1084)</f>
        <v>106.88513033462021</v>
      </c>
      <c r="F1085" s="44">
        <f>E1085/C1085</f>
        <v>3.2753995328189282E-2</v>
      </c>
      <c r="G1085" s="42" t="s">
        <v>400</v>
      </c>
      <c r="H1085" s="229"/>
    </row>
    <row r="1086" spans="1:14">
      <c r="A1086"/>
      <c r="C1086" s="43">
        <f>SUM(C1072:C1083)</f>
        <v>2504.1899999999996</v>
      </c>
      <c r="D1086" s="42"/>
      <c r="E1086" s="43">
        <f>SUM(E1072:E1083)</f>
        <v>165.37528033462027</v>
      </c>
      <c r="F1086" s="44">
        <f>E1086/C1086</f>
        <v>6.6039430049085857E-2</v>
      </c>
      <c r="G1086" s="42" t="s">
        <v>401</v>
      </c>
      <c r="H1086" s="57"/>
      <c r="I1086" s="238">
        <v>40</v>
      </c>
      <c r="J1086" s="238">
        <v>21062</v>
      </c>
    </row>
    <row r="1087" spans="1:14">
      <c r="A1087"/>
      <c r="C1087" s="43">
        <f>SUM(C941:C1040)</f>
        <v>335.61</v>
      </c>
      <c r="D1087" s="42"/>
      <c r="E1087" s="43">
        <f>SUM(E941:E1040)</f>
        <v>31.646158558558561</v>
      </c>
      <c r="F1087" s="44">
        <f>E1087/C1087</f>
        <v>9.42944446189284E-2</v>
      </c>
      <c r="G1087" s="623">
        <v>100</v>
      </c>
      <c r="I1087" s="461">
        <f>J1087*I1086/J1086</f>
        <v>40.831829835723106</v>
      </c>
      <c r="J1087" s="238">
        <v>21500</v>
      </c>
    </row>
    <row r="1088" spans="1:14">
      <c r="A1088"/>
      <c r="D1088"/>
      <c r="E1088"/>
      <c r="F1088"/>
      <c r="G1088"/>
    </row>
    <row r="1089" spans="1:8">
      <c r="A1089"/>
      <c r="D1089"/>
      <c r="E1089"/>
      <c r="F1089"/>
      <c r="G1089"/>
    </row>
    <row r="1090" spans="1:8">
      <c r="A1090"/>
      <c r="D1090"/>
      <c r="E1090"/>
      <c r="F1090"/>
      <c r="G1090"/>
      <c r="H1090" s="57"/>
    </row>
    <row r="1091" spans="1:8">
      <c r="A1091"/>
      <c r="D1091"/>
      <c r="E1091"/>
      <c r="F1091"/>
      <c r="G1091"/>
      <c r="H1091" s="57"/>
    </row>
    <row r="1092" spans="1:8">
      <c r="A1092"/>
      <c r="D1092"/>
      <c r="E1092"/>
      <c r="F1092"/>
      <c r="G1092"/>
      <c r="H1092" s="57"/>
    </row>
    <row r="1093" spans="1:8">
      <c r="A1093"/>
      <c r="D1093"/>
      <c r="E1093"/>
      <c r="F1093"/>
      <c r="G1093"/>
      <c r="H1093" s="57"/>
    </row>
    <row r="1094" spans="1:8">
      <c r="A1094"/>
      <c r="D1094"/>
      <c r="E1094"/>
      <c r="F1094"/>
      <c r="G1094"/>
      <c r="H1094" s="57"/>
    </row>
    <row r="1095" spans="1:8">
      <c r="A1095"/>
      <c r="D1095"/>
      <c r="E1095"/>
      <c r="F1095"/>
      <c r="G1095"/>
      <c r="H1095" s="57"/>
    </row>
    <row r="1096" spans="1:8">
      <c r="A1096"/>
      <c r="D1096"/>
      <c r="E1096"/>
      <c r="F1096"/>
      <c r="G1096"/>
      <c r="H1096" s="57"/>
    </row>
    <row r="1097" spans="1:8">
      <c r="A1097"/>
      <c r="D1097"/>
      <c r="E1097"/>
      <c r="F1097"/>
      <c r="G1097"/>
      <c r="H1097" s="57"/>
    </row>
    <row r="1098" spans="1:8">
      <c r="A1098"/>
      <c r="D1098"/>
      <c r="E1098"/>
      <c r="F1098"/>
      <c r="G1098"/>
      <c r="H1098" s="57"/>
    </row>
    <row r="1099" spans="1:8">
      <c r="A1099"/>
      <c r="D1099"/>
      <c r="E1099"/>
      <c r="F1099"/>
      <c r="G1099"/>
      <c r="H1099" s="57"/>
    </row>
    <row r="1100" spans="1:8">
      <c r="A1100"/>
      <c r="D1100"/>
      <c r="E1100"/>
      <c r="F1100"/>
      <c r="G1100"/>
      <c r="H1100" s="57"/>
    </row>
    <row r="1101" spans="1:8">
      <c r="A1101"/>
      <c r="D1101"/>
      <c r="E1101"/>
      <c r="F1101"/>
      <c r="G1101"/>
    </row>
  </sheetData>
  <sortState xmlns:xlrd2="http://schemas.microsoft.com/office/spreadsheetml/2017/richdata2" ref="I792:K795">
    <sortCondition ref="I792:I795"/>
  </sortState>
  <mergeCells count="96">
    <mergeCell ref="I1048:J1048"/>
    <mergeCell ref="H1068:I1068"/>
    <mergeCell ref="G1071:H1071"/>
    <mergeCell ref="B1036:B1040"/>
    <mergeCell ref="D1044:F1044"/>
    <mergeCell ref="I1044:J1044"/>
    <mergeCell ref="E1045:E1046"/>
    <mergeCell ref="I1047:J1047"/>
    <mergeCell ref="B976:B990"/>
    <mergeCell ref="B991:B993"/>
    <mergeCell ref="B994:B1006"/>
    <mergeCell ref="B1007:B1011"/>
    <mergeCell ref="B1012:B1035"/>
    <mergeCell ref="B930:B932"/>
    <mergeCell ref="B933:B944"/>
    <mergeCell ref="B945:B954"/>
    <mergeCell ref="B955:B966"/>
    <mergeCell ref="B967:B975"/>
    <mergeCell ref="B871:B885"/>
    <mergeCell ref="B886:B894"/>
    <mergeCell ref="B895:B906"/>
    <mergeCell ref="B907:B912"/>
    <mergeCell ref="B913:B929"/>
    <mergeCell ref="B822:B828"/>
    <mergeCell ref="B829:B842"/>
    <mergeCell ref="B843:B850"/>
    <mergeCell ref="B851:B860"/>
    <mergeCell ref="B861:B870"/>
    <mergeCell ref="B790:B793"/>
    <mergeCell ref="B794:B802"/>
    <mergeCell ref="B803:B807"/>
    <mergeCell ref="B808:B812"/>
    <mergeCell ref="B813:B821"/>
    <mergeCell ref="B757:B763"/>
    <mergeCell ref="B764:B765"/>
    <mergeCell ref="B766:B774"/>
    <mergeCell ref="B775:B784"/>
    <mergeCell ref="B785:B789"/>
    <mergeCell ref="B540:B551"/>
    <mergeCell ref="B552:B568"/>
    <mergeCell ref="B569:B580"/>
    <mergeCell ref="B581:B594"/>
    <mergeCell ref="B595:B615"/>
    <mergeCell ref="B73:B87"/>
    <mergeCell ref="B88:B99"/>
    <mergeCell ref="B100:B109"/>
    <mergeCell ref="B110:B119"/>
    <mergeCell ref="B120:B128"/>
    <mergeCell ref="B17:B25"/>
    <mergeCell ref="B26:B42"/>
    <mergeCell ref="B43:B49"/>
    <mergeCell ref="B50:B63"/>
    <mergeCell ref="B64:B72"/>
    <mergeCell ref="B664:B677"/>
    <mergeCell ref="B678:B691"/>
    <mergeCell ref="B692:B701"/>
    <mergeCell ref="B702:B708"/>
    <mergeCell ref="B709:B720"/>
    <mergeCell ref="B721:B724"/>
    <mergeCell ref="B402:B417"/>
    <mergeCell ref="B418:B427"/>
    <mergeCell ref="B428:B433"/>
    <mergeCell ref="B434:B457"/>
    <mergeCell ref="B458:B467"/>
    <mergeCell ref="B468:B486"/>
    <mergeCell ref="B487:B500"/>
    <mergeCell ref="B501:B513"/>
    <mergeCell ref="B514:B539"/>
    <mergeCell ref="B616:B624"/>
    <mergeCell ref="B625:B639"/>
    <mergeCell ref="B640:B645"/>
    <mergeCell ref="B646:B663"/>
    <mergeCell ref="B725:B736"/>
    <mergeCell ref="B737:B744"/>
    <mergeCell ref="B745:B756"/>
    <mergeCell ref="B129:B139"/>
    <mergeCell ref="B150:B162"/>
    <mergeCell ref="B163:B174"/>
    <mergeCell ref="B175:B179"/>
    <mergeCell ref="B180:B197"/>
    <mergeCell ref="B198:B215"/>
    <mergeCell ref="B216:B227"/>
    <mergeCell ref="B228:B238"/>
    <mergeCell ref="B239:B258"/>
    <mergeCell ref="B259:B275"/>
    <mergeCell ref="B276:B293"/>
    <mergeCell ref="B294:B306"/>
    <mergeCell ref="B307:B329"/>
    <mergeCell ref="B330:B347"/>
    <mergeCell ref="B348:B362"/>
    <mergeCell ref="B363:B371"/>
    <mergeCell ref="B372:B376"/>
    <mergeCell ref="B377:B386"/>
    <mergeCell ref="B387:B401"/>
    <mergeCell ref="B140:B149"/>
    <mergeCell ref="B2:B16"/>
  </mergeCells>
  <conditionalFormatting sqref="B1049">
    <cfRule type="cellIs" dxfId="107" priority="2" operator="lessThanOrEqual">
      <formula>0</formula>
    </cfRule>
    <cfRule type="cellIs" dxfId="106" priority="3" operator="between">
      <formula>0.05</formula>
      <formula>0</formula>
    </cfRule>
    <cfRule type="cellIs" dxfId="105" priority="4" operator="greaterThan">
      <formula>0.05</formula>
    </cfRule>
  </conditionalFormatting>
  <conditionalFormatting sqref="E1047">
    <cfRule type="cellIs" dxfId="104" priority="6" operator="greaterThan">
      <formula>$E$1045</formula>
    </cfRule>
    <cfRule type="cellIs" dxfId="103" priority="7" operator="lessThan">
      <formula>$E$1045</formula>
    </cfRule>
  </conditionalFormatting>
  <conditionalFormatting sqref="F1069:F1083 F2:F1042">
    <cfRule type="cellIs" dxfId="102" priority="11" stopIfTrue="1" operator="greaterThan">
      <formula>5</formula>
    </cfRule>
  </conditionalFormatting>
  <conditionalFormatting sqref="F1085:F1087">
    <cfRule type="cellIs" dxfId="101" priority="1" operator="equal">
      <formula>$B$1049</formula>
    </cfRule>
  </conditionalFormatting>
  <conditionalFormatting sqref="I1046">
    <cfRule type="cellIs" dxfId="100" priority="5" operator="greaterThan">
      <formula>210</formula>
    </cfRule>
  </conditionalFormatting>
  <conditionalFormatting sqref="I1047:J1047">
    <cfRule type="cellIs" dxfId="99" priority="10" stopIfTrue="1" operator="greaterThan">
      <formula>210</formula>
    </cfRule>
  </conditionalFormatting>
  <conditionalFormatting sqref="I1048:J1048">
    <cfRule type="cellIs" dxfId="98" priority="9" stopIfTrue="1" operator="greaterThan">
      <formula>910</formula>
    </cfRule>
  </conditionalFormatting>
  <conditionalFormatting sqref="N1043:N1056">
    <cfRule type="cellIs" dxfId="97" priority="8" operator="greaterThan">
      <formula>0.5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402</v>
      </c>
      <c r="C1" s="383" t="s">
        <v>403</v>
      </c>
      <c r="D1" s="383" t="s">
        <v>404</v>
      </c>
      <c r="E1" s="403" t="s">
        <v>405</v>
      </c>
      <c r="F1" s="383" t="s">
        <v>406</v>
      </c>
      <c r="G1" s="383" t="s">
        <v>407</v>
      </c>
      <c r="H1" s="383" t="s">
        <v>408</v>
      </c>
      <c r="I1" s="404" t="s">
        <v>409</v>
      </c>
      <c r="J1" s="402" t="s">
        <v>410</v>
      </c>
      <c r="K1" s="383" t="s">
        <v>411</v>
      </c>
      <c r="L1" s="383" t="s">
        <v>412</v>
      </c>
      <c r="M1" s="383" t="s">
        <v>413</v>
      </c>
      <c r="N1" s="383" t="s">
        <v>414</v>
      </c>
      <c r="O1" s="405" t="s">
        <v>415</v>
      </c>
      <c r="P1" s="382" t="s">
        <v>416</v>
      </c>
      <c r="Q1" s="383" t="s">
        <v>383</v>
      </c>
      <c r="R1" s="383" t="s">
        <v>417</v>
      </c>
      <c r="S1" s="286"/>
      <c r="T1" s="286"/>
      <c r="U1" s="286"/>
      <c r="V1" s="286"/>
      <c r="W1" s="286"/>
      <c r="X1"/>
      <c r="Y1"/>
      <c r="Z1"/>
    </row>
    <row r="2" spans="1:26">
      <c r="A2" s="392">
        <v>45951</v>
      </c>
      <c r="B2" s="393" t="s">
        <v>343</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418</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223</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419</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168</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420</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421</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422</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289</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255</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306</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338</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423</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424</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425</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426</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427</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428</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429</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430</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431</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432</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167</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433</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434</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435</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436</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437</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130</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438</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439</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440</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441</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442</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283</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70</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443</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444</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445</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446</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447</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448</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449</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103</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450</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451</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452</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453</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454</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455</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456</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356</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457</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458</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459</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460</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81</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461</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462</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463</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113</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464</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465</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466</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467</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368</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468</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469</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470</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471</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472</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473</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474</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475</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48</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476</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477</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478</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479</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480</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481</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482</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483</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273</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484</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485</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305</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112</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486</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487</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488</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489</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96</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490</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491</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216</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492</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493</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494</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495</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496</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497</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498</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427</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499</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500</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501</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201</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502</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503</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504</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505</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506</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507</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508</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509</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510</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511</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512</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513</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328</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514</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174</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420</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515</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516</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459</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517</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518</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519</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520</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521</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522</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523</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524</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197</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525</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297</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526</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527</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528</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529</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514</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530</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531</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532</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101</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19</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20</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533</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534</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21</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22</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23</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535</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24</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31</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32</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475</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33</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536</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172</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39</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40</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160</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41</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534</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537</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42</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58</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43</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44</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45</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538</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48</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49</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50</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54</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336</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539</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55</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540</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180</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56</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57</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58</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61</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62</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541</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63</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456</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65</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542</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259</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66</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67</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68</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69</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543</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70</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71</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72</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443</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152</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73</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74</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544</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75</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76</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77</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78</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545</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335</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79</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80</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523</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546</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547</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548</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81</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549</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550</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82</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83</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84</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85</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86</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551</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552</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314</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509</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87</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553</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164</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88</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89</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554</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90</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555</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91</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92</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496</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556</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93</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557</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94</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558</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95</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96</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194</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98</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559</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560</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561</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562</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99</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563</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100</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263</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101</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102</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103</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564</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105</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565</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566</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106</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107</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108</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109</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567</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110</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111</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112</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173</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113</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177</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568</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569</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114</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364</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115</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116</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117</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118</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308</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570</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119</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120</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571</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572</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121</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573</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574</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122</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512</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123</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124</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575</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388</v>
      </c>
    </row>
    <row r="301" spans="1:19">
      <c r="A301" s="439">
        <v>45992</v>
      </c>
      <c r="B301" s="389" t="s">
        <v>126</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127</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128</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129</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576</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130</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577</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121</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131</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132</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133</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134</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135</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78</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136</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137</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138</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578</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139</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140</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141</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142</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91</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143</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144</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145</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146</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147</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135</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148</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168</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149</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150</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579</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151</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152</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580</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153</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154</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84</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581</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155</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102</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156</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157</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582</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158</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159</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160</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161</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583</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162</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163</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584</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164</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165</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166</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167</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168</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169</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569</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511</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170</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171</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42</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172</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173</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126</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585</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174</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586</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175</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176</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554</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224</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177</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208</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178</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179</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180</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181</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219</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435</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105</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587</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182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183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116</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588</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184</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185</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186</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187</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589</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188</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189</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190</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191</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590</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192</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193</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194</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591</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195</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196</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592</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197</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318</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183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198</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161</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199</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593</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200</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201</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202</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281</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203</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204</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31</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54</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205</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206</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207</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208</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209</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210</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594</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595</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211</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212</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213</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214</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204</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215</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216</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587</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277</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217</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218</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219</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220</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596</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221</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222</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223</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224</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225</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226</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597</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227</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598</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228</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229</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500</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230</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231</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599</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232</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233</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600</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231</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234</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601</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235</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602</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603</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236</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237</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238</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239</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240</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241</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242</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39</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243</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244</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604</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605</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606</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245</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246</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247</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248</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249</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250</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607</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608</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251</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252</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609</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610</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253</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181</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254</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611</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255</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95</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612</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613</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614</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257</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256</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258</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259</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615</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260</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616</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540</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42</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423</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136</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617</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261</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196</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618</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619</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262</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159</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263</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620</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264</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265</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266</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621</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267</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622</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268</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617</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269</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360</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618</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153</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270</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271</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272</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623</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127</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273</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624</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625</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56</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233</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118</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40</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132</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626</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627</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628</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629</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630</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631</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632</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633</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634</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635</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636</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182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637</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638</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639</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640</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530</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641</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642</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643</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634</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644</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645</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646</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647</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648</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649</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650</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651</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652</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653</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654</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123</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655</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656</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657</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658</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207</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274</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229</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653</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175</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448</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659</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660</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661</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662</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548</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224</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663</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88</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541</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275</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276</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664</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277</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665</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666</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667</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668</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278</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669</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670</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671</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672</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279</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673</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674</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275</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280</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675</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676</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677</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671</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678</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71</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679</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680</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681</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682</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683</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497</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684</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141</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685</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686</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281</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687</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688</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282</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689</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690</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236</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585</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691</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283</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692</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693</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694</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695</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535</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284</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696</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285</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697</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209</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529</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698</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699</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286</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700</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598</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701</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702</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703</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287</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704</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203</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288</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705</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706</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76</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707</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289</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708</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709</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290</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213</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291</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292</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293</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294</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295</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710</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296</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711</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297</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298</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712</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299</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713</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300</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714</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301</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715</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296</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302</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303</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304</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305</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716</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717</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306</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307</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308</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309</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310</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169</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718</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311</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312</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695</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313</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128</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719</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314</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315</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316</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317</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318</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720</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721</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722</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319</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108</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723</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320</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321</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724</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725</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474</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322</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323</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726</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494</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324</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727</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323</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325</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728</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326</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327</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328</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729</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730</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731</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329</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726</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330</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331</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332</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732</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733</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333</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334</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518</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734</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735</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335</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736</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737</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738</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739</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218</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124</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740</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20</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336</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337</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741</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742</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338</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193</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339</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195</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269</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743</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340</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348</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341</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342</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343</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344</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345</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93</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346</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418</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347</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348</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349</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134</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350</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106</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158</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744</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280</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351</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352</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353</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354</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355</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356</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357</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745</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746</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170</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358</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511</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186</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359</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352</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360</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361</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291</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747</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170</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362</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363</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622</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364</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365</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366</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494">
        <f>F819/E819</f>
        <v>0.48714810281517745</v>
      </c>
      <c r="F820" s="495"/>
      <c r="G820" s="497">
        <f>(J819+F819)/(E819+I819)</f>
        <v>0.46572827417380663</v>
      </c>
      <c r="H820" s="498"/>
      <c r="I820" s="496">
        <f>J819/I819</f>
        <v>0.44430844553243576</v>
      </c>
      <c r="J820" s="493"/>
      <c r="L820" s="492">
        <f>M819/L819</f>
        <v>0.45654834761321911</v>
      </c>
      <c r="M820" s="493"/>
      <c r="P820" s="453">
        <f>P819/I819</f>
        <v>0.52264381884944922</v>
      </c>
    </row>
    <row r="821" spans="1:18">
      <c r="A821" s="422"/>
      <c r="E821" s="488">
        <f>1/E820</f>
        <v>2.0527638190954773</v>
      </c>
      <c r="F821" s="489"/>
      <c r="I821" s="490">
        <f>1/I820</f>
        <v>2.2506887052341598</v>
      </c>
      <c r="J821" s="491"/>
      <c r="L821" s="490">
        <f>1/L820</f>
        <v>2.1903485254691688</v>
      </c>
      <c r="M821" s="491"/>
      <c r="P821" s="454">
        <f>1/P820</f>
        <v>1.9133489461358313</v>
      </c>
      <c r="Q821" s="361"/>
    </row>
    <row r="822" spans="1:18">
      <c r="A822" s="422"/>
      <c r="E822" s="494">
        <f>1-E820</f>
        <v>0.5128518971848226</v>
      </c>
      <c r="F822" s="495"/>
      <c r="I822" s="503">
        <f>1-I820</f>
        <v>0.55569155446756424</v>
      </c>
      <c r="J822" s="504"/>
      <c r="L822" s="503">
        <f>1-L820</f>
        <v>0.54345165238678095</v>
      </c>
      <c r="M822" s="504"/>
      <c r="P822" s="361"/>
      <c r="Q822" s="361"/>
    </row>
    <row r="823" spans="1:18">
      <c r="A823" s="422"/>
      <c r="E823" s="499">
        <f>1/(1-E820)</f>
        <v>1.9498806682577563</v>
      </c>
      <c r="F823" s="500"/>
      <c r="I823" s="501">
        <f>1/(1-I820)</f>
        <v>1.7995594713656389</v>
      </c>
      <c r="J823" s="502"/>
      <c r="L823" s="501">
        <f>1/(1-L820)</f>
        <v>1.8400900900900901</v>
      </c>
      <c r="M823" s="502"/>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05" t="s">
        <v>748</v>
      </c>
      <c r="B1" s="505"/>
      <c r="C1" s="505"/>
    </row>
    <row r="2" spans="1:8">
      <c r="A2" s="426" t="s">
        <v>749</v>
      </c>
      <c r="B2" s="437">
        <f ca="1">TODAY()-1</f>
        <v>46064</v>
      </c>
    </row>
    <row r="4" spans="1:8">
      <c r="A4" s="426" t="s">
        <v>750</v>
      </c>
      <c r="B4" s="426" t="s">
        <v>751</v>
      </c>
      <c r="C4" s="442">
        <f>_xlfn.XLOOKUP(B4,Referencia!B2:B60,Referencia!A2:A60)</f>
        <v>7</v>
      </c>
    </row>
    <row r="6" spans="1:8">
      <c r="A6" t="s">
        <v>752</v>
      </c>
      <c r="B6">
        <f>COUNTIFS(Jornada!Q2:Q818, C4, Jornada!E2:E818, "&lt;&gt;")</f>
        <v>28</v>
      </c>
    </row>
    <row r="7" spans="1:8">
      <c r="A7" t="s">
        <v>753</v>
      </c>
      <c r="B7" s="456">
        <f>COUNTIFS(Jornada!Q2:Q818,C4,Jornada!F2:F818,1)</f>
        <v>16</v>
      </c>
      <c r="C7" s="428">
        <f>COUNTIFS(Jornada!Q2:Q818,C4,Jornada!F2:F818,1) / COUNTIFS(Jornada!Q2:Q818, C4, Jornada!E2:E818, "&lt;&gt;")</f>
        <v>0.5714285714285714</v>
      </c>
      <c r="D7" s="420">
        <f>1-C7</f>
        <v>0.4285714285714286</v>
      </c>
      <c r="E7" s="18"/>
    </row>
    <row r="8" spans="1:8">
      <c r="A8" t="s">
        <v>754</v>
      </c>
      <c r="B8" s="456">
        <f>COUNTIFS(Jornada!Q2:Q818,C4,Jornada!J2:J818,1)</f>
        <v>12</v>
      </c>
      <c r="C8" s="464">
        <f>COUNTIFS(Jornada!Q2:Q818,C4,Jornada!J2:J818,1) / COUNTIFS(Jornada!Q2:Q818, C4, Jornada!E2:E818, "&lt;&gt;")</f>
        <v>0.42857142857142855</v>
      </c>
      <c r="D8" s="420">
        <f t="shared" ref="D8:D10" si="0">1-C8</f>
        <v>0.5714285714285714</v>
      </c>
      <c r="E8" s="18"/>
      <c r="H8" s="18"/>
    </row>
    <row r="9" spans="1:8">
      <c r="A9" t="s">
        <v>755</v>
      </c>
      <c r="B9">
        <f>COUNTIFS(Jornada!Q2:Q818,C4,Jornada!M2:M818,1)</f>
        <v>15</v>
      </c>
      <c r="C9" s="465">
        <f>COUNTIFS(Jornada!Q2:Q818,C4,Jornada!M2:M818,1) / COUNTIFS(Jornada!Q2:Q818, C4, Jornada!E2:E818, "&lt;&gt;")</f>
        <v>0.5357142857142857</v>
      </c>
      <c r="D9" s="420">
        <f t="shared" si="0"/>
        <v>0.4642857142857143</v>
      </c>
      <c r="E9" s="18"/>
      <c r="H9" s="18"/>
    </row>
    <row r="10" spans="1:8">
      <c r="A10" t="s">
        <v>756</v>
      </c>
      <c r="B10">
        <f>COUNTIFS(Jornada!Q2:Q818,C4,Jornada!P2:P818,1)</f>
        <v>15</v>
      </c>
      <c r="C10" s="466">
        <f>COUNTIFS(Jornada!Q2:Q818,C4,Jornada!P2:P818,1) / COUNTIFS(Jornada!Q2:Q818, C4, Jornada!E2:E818, "&lt;&gt;")</f>
        <v>0.5357142857142857</v>
      </c>
      <c r="D10" s="420">
        <f t="shared" si="0"/>
        <v>0.4642857142857143</v>
      </c>
      <c r="E10" s="18"/>
      <c r="H10" s="18"/>
    </row>
    <row r="11" spans="1:8">
      <c r="H11" s="18"/>
    </row>
    <row r="12" spans="1:8">
      <c r="A12" s="426" t="s">
        <v>757</v>
      </c>
      <c r="B12" s="426" t="s">
        <v>758</v>
      </c>
    </row>
    <row r="14" spans="1:8">
      <c r="A14" t="s">
        <v>752</v>
      </c>
      <c r="B14">
        <f>COUNTIFS(Jornada!R2:R818,B12, Jornada!E2:E818, "&lt;&gt;")</f>
        <v>87</v>
      </c>
    </row>
    <row r="15" spans="1:8">
      <c r="A15" t="s">
        <v>753</v>
      </c>
      <c r="B15">
        <f>COUNTIFS(Jornada!R2:R818,B12,Jornada!F2:F818,1)</f>
        <v>50</v>
      </c>
      <c r="C15" s="421">
        <f>B15/$B$14</f>
        <v>0.57471264367816088</v>
      </c>
      <c r="D15" s="420">
        <f>1-C15</f>
        <v>0.42528735632183912</v>
      </c>
    </row>
    <row r="16" spans="1:8">
      <c r="A16" t="s">
        <v>754</v>
      </c>
      <c r="B16">
        <f>COUNTIFS(Jornada!R2:R818,B12,Jornada!J2:J818,1)</f>
        <v>40</v>
      </c>
      <c r="C16" s="467">
        <f t="shared" ref="C16:C18" si="1">B16/$B$14</f>
        <v>0.45977011494252873</v>
      </c>
      <c r="D16" s="420">
        <f t="shared" ref="D16:D18" si="2">1-C16</f>
        <v>0.54022988505747127</v>
      </c>
    </row>
    <row r="17" spans="1:8">
      <c r="A17" t="s">
        <v>755</v>
      </c>
      <c r="B17">
        <f>COUNTIFS(Jornada!R2:R818,B12,Jornada!M2:M818,1)</f>
        <v>46</v>
      </c>
      <c r="C17" s="468">
        <f t="shared" si="1"/>
        <v>0.52873563218390807</v>
      </c>
      <c r="D17" s="420">
        <f t="shared" si="2"/>
        <v>0.47126436781609193</v>
      </c>
    </row>
    <row r="18" spans="1:8">
      <c r="A18" t="s">
        <v>756</v>
      </c>
      <c r="B18">
        <f>COUNTIFS(Jornada!R2:R818,B12,Jornada!P2:P818,1)</f>
        <v>51</v>
      </c>
      <c r="C18" s="469">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759</v>
      </c>
      <c r="C1" t="s">
        <v>760</v>
      </c>
      <c r="D1" t="s">
        <v>761</v>
      </c>
      <c r="E1" s="18" t="s">
        <v>762</v>
      </c>
      <c r="F1" t="s">
        <v>763</v>
      </c>
      <c r="G1" s="18" t="s">
        <v>764</v>
      </c>
      <c r="H1" t="s">
        <v>765</v>
      </c>
      <c r="I1" s="18" t="s">
        <v>766</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767</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768</v>
      </c>
      <c r="B1" s="42" t="s">
        <v>769</v>
      </c>
      <c r="C1" s="42" t="s">
        <v>417</v>
      </c>
    </row>
    <row r="2" spans="1:3">
      <c r="A2">
        <v>43</v>
      </c>
      <c r="B2" t="s">
        <v>385</v>
      </c>
      <c r="C2" t="str">
        <f>TEXT(tblResultadosNBA[[#This Row],[Fecha]],"mmm")</f>
        <v>oct</v>
      </c>
    </row>
    <row r="3" spans="1:3">
      <c r="A3">
        <v>44</v>
      </c>
      <c r="B3" t="s">
        <v>386</v>
      </c>
      <c r="C3" t="s">
        <v>770</v>
      </c>
    </row>
    <row r="4" spans="1:3">
      <c r="A4">
        <v>45</v>
      </c>
      <c r="B4" t="s">
        <v>387</v>
      </c>
      <c r="C4" t="s">
        <v>771</v>
      </c>
    </row>
    <row r="5" spans="1:3">
      <c r="A5">
        <v>46</v>
      </c>
      <c r="B5" t="s">
        <v>389</v>
      </c>
      <c r="C5" t="s">
        <v>772</v>
      </c>
    </row>
    <row r="6" spans="1:3">
      <c r="A6">
        <v>47</v>
      </c>
      <c r="B6" t="s">
        <v>390</v>
      </c>
      <c r="C6" t="s">
        <v>758</v>
      </c>
    </row>
    <row r="7" spans="1:3">
      <c r="A7">
        <v>48</v>
      </c>
      <c r="B7" t="s">
        <v>391</v>
      </c>
      <c r="C7" t="s">
        <v>773</v>
      </c>
    </row>
    <row r="8" spans="1:3">
      <c r="A8">
        <v>49</v>
      </c>
      <c r="B8" t="s">
        <v>392</v>
      </c>
      <c r="C8" t="s">
        <v>774</v>
      </c>
    </row>
    <row r="9" spans="1:3">
      <c r="A9">
        <v>50</v>
      </c>
      <c r="B9" t="s">
        <v>393</v>
      </c>
      <c r="C9" t="s">
        <v>775</v>
      </c>
    </row>
    <row r="10" spans="1:3">
      <c r="A10">
        <v>51</v>
      </c>
      <c r="B10" t="s">
        <v>394</v>
      </c>
      <c r="C10" t="s">
        <v>776</v>
      </c>
    </row>
    <row r="11" spans="1:3">
      <c r="A11">
        <v>52</v>
      </c>
      <c r="B11" t="s">
        <v>395</v>
      </c>
      <c r="C11" t="s">
        <v>777</v>
      </c>
    </row>
    <row r="12" spans="1:3">
      <c r="A12">
        <v>1</v>
      </c>
      <c r="B12" t="s">
        <v>396</v>
      </c>
      <c r="C12" t="s">
        <v>778</v>
      </c>
    </row>
    <row r="13" spans="1:3">
      <c r="A13">
        <v>2</v>
      </c>
      <c r="B13" t="s">
        <v>397</v>
      </c>
      <c r="C13" t="s">
        <v>779</v>
      </c>
    </row>
    <row r="14" spans="1:3">
      <c r="A14">
        <v>3</v>
      </c>
      <c r="B14" t="s">
        <v>398</v>
      </c>
    </row>
    <row r="15" spans="1:3">
      <c r="A15">
        <v>4</v>
      </c>
      <c r="B15" t="s">
        <v>399</v>
      </c>
    </row>
    <row r="16" spans="1:3">
      <c r="A16">
        <v>5</v>
      </c>
      <c r="B16" t="s">
        <v>780</v>
      </c>
    </row>
    <row r="17" spans="1:2">
      <c r="A17">
        <v>6</v>
      </c>
      <c r="B17" t="s">
        <v>781</v>
      </c>
    </row>
    <row r="18" spans="1:2">
      <c r="A18">
        <v>7</v>
      </c>
      <c r="B18" t="s">
        <v>751</v>
      </c>
    </row>
    <row r="19" spans="1:2">
      <c r="A19">
        <v>8</v>
      </c>
      <c r="B19" t="s">
        <v>782</v>
      </c>
    </row>
    <row r="20" spans="1:2">
      <c r="A20">
        <v>9</v>
      </c>
      <c r="B20" t="s">
        <v>783</v>
      </c>
    </row>
    <row r="21" spans="1:2">
      <c r="A21">
        <v>10</v>
      </c>
      <c r="B21" t="s">
        <v>784</v>
      </c>
    </row>
    <row r="22" spans="1:2">
      <c r="A22">
        <v>11</v>
      </c>
      <c r="B22" t="s">
        <v>785</v>
      </c>
    </row>
    <row r="23" spans="1:2">
      <c r="A23">
        <v>12</v>
      </c>
      <c r="B23" t="s">
        <v>786</v>
      </c>
    </row>
    <row r="24" spans="1:2">
      <c r="A24">
        <v>13</v>
      </c>
      <c r="B24" t="s">
        <v>787</v>
      </c>
    </row>
    <row r="25" spans="1:2">
      <c r="A25">
        <v>14</v>
      </c>
      <c r="B25" t="s">
        <v>788</v>
      </c>
    </row>
    <row r="26" spans="1:2">
      <c r="A26">
        <v>15</v>
      </c>
      <c r="B26" t="s">
        <v>789</v>
      </c>
    </row>
    <row r="27" spans="1:2">
      <c r="A27">
        <v>16</v>
      </c>
      <c r="B27" t="s">
        <v>790</v>
      </c>
    </row>
    <row r="28" spans="1:2">
      <c r="A28">
        <v>17</v>
      </c>
      <c r="B28" t="s">
        <v>791</v>
      </c>
    </row>
    <row r="29" spans="1:2">
      <c r="A29">
        <v>18</v>
      </c>
      <c r="B29" t="s">
        <v>792</v>
      </c>
    </row>
    <row r="30" spans="1:2">
      <c r="A30">
        <v>19</v>
      </c>
      <c r="B30" t="s">
        <v>793</v>
      </c>
    </row>
    <row r="31" spans="1:2">
      <c r="A31">
        <v>20</v>
      </c>
      <c r="B31" t="s">
        <v>794</v>
      </c>
    </row>
    <row r="32" spans="1:2">
      <c r="A32">
        <v>21</v>
      </c>
      <c r="B32" t="s">
        <v>795</v>
      </c>
    </row>
    <row r="33" spans="1:2">
      <c r="A33">
        <v>22</v>
      </c>
      <c r="B33" t="s">
        <v>796</v>
      </c>
    </row>
    <row r="34" spans="1:2">
      <c r="A34">
        <v>23</v>
      </c>
      <c r="B34" t="s">
        <v>797</v>
      </c>
    </row>
    <row r="35" spans="1:2">
      <c r="A35">
        <v>24</v>
      </c>
      <c r="B35" t="s">
        <v>798</v>
      </c>
    </row>
    <row r="36" spans="1:2">
      <c r="A36">
        <v>25</v>
      </c>
      <c r="B36" t="s">
        <v>799</v>
      </c>
    </row>
    <row r="37" spans="1:2">
      <c r="A37">
        <v>26</v>
      </c>
      <c r="B37" t="s">
        <v>800</v>
      </c>
    </row>
    <row r="38" spans="1:2">
      <c r="A38">
        <v>27</v>
      </c>
      <c r="B38" t="s">
        <v>801</v>
      </c>
    </row>
    <row r="39" spans="1:2">
      <c r="A39">
        <v>28</v>
      </c>
      <c r="B39" t="s">
        <v>802</v>
      </c>
    </row>
    <row r="40" spans="1:2">
      <c r="A40">
        <v>29</v>
      </c>
      <c r="B40" t="s">
        <v>803</v>
      </c>
    </row>
    <row r="41" spans="1:2">
      <c r="A41">
        <v>30</v>
      </c>
      <c r="B41" t="s">
        <v>804</v>
      </c>
    </row>
    <row r="42" spans="1:2">
      <c r="A42">
        <v>31</v>
      </c>
      <c r="B42" t="s">
        <v>805</v>
      </c>
    </row>
    <row r="43" spans="1:2">
      <c r="A43">
        <v>32</v>
      </c>
      <c r="B43" t="s">
        <v>806</v>
      </c>
    </row>
    <row r="44" spans="1:2">
      <c r="A44">
        <v>33</v>
      </c>
      <c r="B44" t="s">
        <v>807</v>
      </c>
    </row>
    <row r="45" spans="1:2">
      <c r="A45">
        <v>34</v>
      </c>
      <c r="B45" t="s">
        <v>808</v>
      </c>
    </row>
    <row r="46" spans="1:2">
      <c r="A46">
        <v>35</v>
      </c>
      <c r="B46" t="s">
        <v>809</v>
      </c>
    </row>
    <row r="47" spans="1:2">
      <c r="A47">
        <v>36</v>
      </c>
      <c r="B47" t="s">
        <v>810</v>
      </c>
    </row>
    <row r="48" spans="1:2">
      <c r="A48">
        <v>37</v>
      </c>
      <c r="B48" t="s">
        <v>811</v>
      </c>
    </row>
    <row r="49" spans="1:2">
      <c r="A49">
        <v>38</v>
      </c>
      <c r="B49" t="s">
        <v>812</v>
      </c>
    </row>
    <row r="50" spans="1:2">
      <c r="A50">
        <v>39</v>
      </c>
      <c r="B50" t="s">
        <v>813</v>
      </c>
    </row>
    <row r="51" spans="1:2">
      <c r="A51">
        <v>40</v>
      </c>
      <c r="B51" t="s">
        <v>814</v>
      </c>
    </row>
    <row r="52" spans="1:2">
      <c r="A52">
        <v>41</v>
      </c>
      <c r="B52" t="s">
        <v>815</v>
      </c>
    </row>
    <row r="53" spans="1:2">
      <c r="A53">
        <v>42</v>
      </c>
      <c r="B53" t="s">
        <v>816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19" t="s">
        <v>817</v>
      </c>
      <c r="N1" s="519"/>
      <c r="O1" s="519"/>
      <c r="P1" s="519"/>
      <c r="Q1"/>
    </row>
    <row r="2" spans="1:17" ht="15.75" thickBot="1">
      <c r="A2" s="515">
        <v>45905</v>
      </c>
      <c r="B2" s="179">
        <v>1</v>
      </c>
      <c r="C2" s="162">
        <v>3.04</v>
      </c>
      <c r="D2" s="162">
        <f>(B2*C2)-B2</f>
        <v>2.04</v>
      </c>
      <c r="E2" s="213">
        <f>SUM($D$2:D2)/SUM($B$2:B2)</f>
        <v>2.04</v>
      </c>
      <c r="F2" s="162">
        <f>D2</f>
        <v>2.04</v>
      </c>
      <c r="G2" s="214" t="s">
        <v>818</v>
      </c>
      <c r="H2" s="183"/>
      <c r="I2" s="184"/>
      <c r="J2" s="184"/>
      <c r="Q2"/>
    </row>
    <row r="3" spans="1:17">
      <c r="A3" s="516"/>
      <c r="B3" s="165">
        <v>1</v>
      </c>
      <c r="C3" s="161">
        <v>1.93</v>
      </c>
      <c r="D3" s="161">
        <f t="shared" ref="D3:D66" si="0">(B3*C3)-B3</f>
        <v>0.92999999999999994</v>
      </c>
      <c r="E3" s="191">
        <f>SUM($D$2:D3)/SUM($B$2:B3)</f>
        <v>1.4849999999999999</v>
      </c>
      <c r="F3" s="161">
        <f>F2+D3</f>
        <v>2.9699999999999998</v>
      </c>
      <c r="G3" s="169" t="s">
        <v>819</v>
      </c>
      <c r="H3" s="183"/>
      <c r="I3" s="184"/>
      <c r="J3" s="184"/>
      <c r="Q3"/>
    </row>
    <row r="4" spans="1:17">
      <c r="A4" s="516"/>
      <c r="B4" s="168">
        <v>1</v>
      </c>
      <c r="C4" s="151">
        <v>1.86</v>
      </c>
      <c r="D4" s="151">
        <f t="shared" si="0"/>
        <v>0.8600000000000001</v>
      </c>
      <c r="E4" s="190">
        <f>SUM($D$2:D4)/SUM($B$2:B4)</f>
        <v>1.2766666666666666</v>
      </c>
      <c r="F4" s="151">
        <f t="shared" ref="F4:F67" si="1">F3+D4</f>
        <v>3.83</v>
      </c>
      <c r="G4" s="192" t="s">
        <v>820</v>
      </c>
      <c r="H4" s="183"/>
      <c r="I4" s="184"/>
      <c r="J4" s="184"/>
      <c r="Q4"/>
    </row>
    <row r="5" spans="1:17">
      <c r="A5" s="516"/>
      <c r="B5" s="167">
        <v>1</v>
      </c>
      <c r="C5" s="150">
        <v>2.0099999999999998</v>
      </c>
      <c r="D5" s="150">
        <f t="shared" si="0"/>
        <v>1.0099999999999998</v>
      </c>
      <c r="E5" s="154">
        <f>SUM($D$2:D5)/SUM($B$2:B5)</f>
        <v>1.21</v>
      </c>
      <c r="F5" s="150">
        <f t="shared" si="1"/>
        <v>4.84</v>
      </c>
      <c r="G5" s="189" t="s">
        <v>821</v>
      </c>
      <c r="H5" s="183"/>
      <c r="I5" s="184"/>
      <c r="J5" s="184"/>
      <c r="Q5"/>
    </row>
    <row r="6" spans="1:17" ht="15.75" thickBot="1">
      <c r="A6" s="516"/>
      <c r="B6" s="170">
        <v>1</v>
      </c>
      <c r="C6" s="163"/>
      <c r="D6" s="163">
        <f t="shared" si="0"/>
        <v>-1</v>
      </c>
      <c r="E6" s="193">
        <f>SUM($D$2:D6)/SUM($B$2:B6)</f>
        <v>0.76800000000000002</v>
      </c>
      <c r="F6" s="163">
        <f t="shared" si="1"/>
        <v>3.84</v>
      </c>
      <c r="G6" s="194" t="s">
        <v>822</v>
      </c>
      <c r="H6" s="183"/>
      <c r="I6" s="184"/>
      <c r="J6" s="184"/>
      <c r="Q6"/>
    </row>
    <row r="7" spans="1:17" ht="15.75" thickBot="1">
      <c r="A7" s="515">
        <v>45906</v>
      </c>
      <c r="B7" s="233">
        <v>1</v>
      </c>
      <c r="C7" s="233"/>
      <c r="D7" s="233">
        <f t="shared" si="0"/>
        <v>-1</v>
      </c>
      <c r="E7" s="251">
        <f>SUM($D$2:D7)/SUM($B$2:B7)</f>
        <v>0.47333333333333333</v>
      </c>
      <c r="F7" s="234">
        <f t="shared" si="1"/>
        <v>2.84</v>
      </c>
      <c r="G7" s="252" t="s">
        <v>823</v>
      </c>
      <c r="H7" s="183"/>
      <c r="I7" s="184"/>
      <c r="J7" s="184"/>
      <c r="K7" s="58"/>
      <c r="M7" s="2"/>
      <c r="Q7"/>
    </row>
    <row r="8" spans="1:17">
      <c r="A8" s="517"/>
      <c r="B8" s="165">
        <v>1</v>
      </c>
      <c r="C8" s="204"/>
      <c r="D8" s="204">
        <f t="shared" si="0"/>
        <v>-1</v>
      </c>
      <c r="E8" s="191">
        <f>SUM($D$2:D8)/SUM($B$2:B8)</f>
        <v>0.26285714285714284</v>
      </c>
      <c r="F8" s="161">
        <f t="shared" si="1"/>
        <v>1.8399999999999999</v>
      </c>
      <c r="G8" s="210" t="s">
        <v>820</v>
      </c>
      <c r="H8" s="183"/>
      <c r="I8" s="184"/>
      <c r="J8" s="184"/>
      <c r="K8" s="18"/>
      <c r="M8" s="2"/>
      <c r="N8" s="18"/>
      <c r="Q8"/>
    </row>
    <row r="9" spans="1:17">
      <c r="A9" s="517"/>
      <c r="B9" s="167">
        <v>1</v>
      </c>
      <c r="C9" s="205"/>
      <c r="D9" s="205">
        <f t="shared" si="0"/>
        <v>-1</v>
      </c>
      <c r="E9" s="154">
        <f>SUM($D$2:D9)/SUM($B$2:B9)</f>
        <v>0.10499999999999998</v>
      </c>
      <c r="F9" s="150">
        <f t="shared" si="1"/>
        <v>0.83999999999999986</v>
      </c>
      <c r="G9" s="201" t="s">
        <v>824</v>
      </c>
      <c r="H9" s="183"/>
      <c r="I9" s="184"/>
      <c r="J9" s="184"/>
      <c r="K9" s="18"/>
      <c r="M9" s="2"/>
      <c r="N9" s="18"/>
      <c r="Q9"/>
    </row>
    <row r="10" spans="1:17">
      <c r="A10" s="517"/>
      <c r="B10" s="167">
        <v>1</v>
      </c>
      <c r="C10" s="205"/>
      <c r="D10" s="205">
        <f t="shared" si="0"/>
        <v>-1</v>
      </c>
      <c r="E10" s="154">
        <f>SUM($D$2:D10)/SUM($B$2:B10)</f>
        <v>-1.7777777777777795E-2</v>
      </c>
      <c r="F10" s="150">
        <f t="shared" si="1"/>
        <v>-0.16000000000000014</v>
      </c>
      <c r="G10" s="201" t="s">
        <v>825</v>
      </c>
      <c r="H10" s="183"/>
      <c r="I10" s="184"/>
      <c r="J10" s="184"/>
      <c r="K10" s="18"/>
      <c r="M10" s="2"/>
      <c r="N10" s="18"/>
      <c r="Q10"/>
    </row>
    <row r="11" spans="1:17">
      <c r="A11" s="517"/>
      <c r="B11" s="167">
        <v>1</v>
      </c>
      <c r="C11" s="205"/>
      <c r="D11" s="205">
        <f t="shared" si="0"/>
        <v>-1</v>
      </c>
      <c r="E11" s="154">
        <f>SUM($D$2:D11)/SUM($B$2:B11)</f>
        <v>-0.11600000000000002</v>
      </c>
      <c r="F11" s="150">
        <f t="shared" si="1"/>
        <v>-1.1600000000000001</v>
      </c>
      <c r="G11" s="201" t="s">
        <v>819</v>
      </c>
      <c r="H11" s="183"/>
      <c r="I11" s="184"/>
      <c r="J11" s="184"/>
      <c r="K11" s="18"/>
      <c r="M11" s="2"/>
      <c r="N11" s="18"/>
      <c r="Q11"/>
    </row>
    <row r="12" spans="1:17">
      <c r="A12" s="517"/>
      <c r="B12" s="167">
        <v>1</v>
      </c>
      <c r="C12" s="205"/>
      <c r="D12" s="205">
        <f t="shared" si="0"/>
        <v>-1</v>
      </c>
      <c r="E12" s="154">
        <f>SUM($D$2:D12)/SUM($B$2:B12)</f>
        <v>-0.19636363636363638</v>
      </c>
      <c r="F12" s="150">
        <f t="shared" si="1"/>
        <v>-2.16</v>
      </c>
      <c r="G12" s="201" t="s">
        <v>826</v>
      </c>
      <c r="H12" s="183"/>
      <c r="I12" s="184"/>
      <c r="J12" s="184"/>
      <c r="K12" s="18"/>
      <c r="M12" s="2"/>
      <c r="N12" s="18"/>
      <c r="Q12"/>
    </row>
    <row r="13" spans="1:17" ht="15.75" thickBot="1">
      <c r="A13" s="517"/>
      <c r="B13" s="170">
        <v>1</v>
      </c>
      <c r="C13" s="206">
        <v>1.97</v>
      </c>
      <c r="D13" s="206">
        <f t="shared" si="0"/>
        <v>0.97</v>
      </c>
      <c r="E13" s="193">
        <f>SUM($D$2:D13)/SUM($B$2:B13)</f>
        <v>-9.9166666666666681E-2</v>
      </c>
      <c r="F13" s="163">
        <f t="shared" si="1"/>
        <v>-1.1900000000000002</v>
      </c>
      <c r="G13" s="203" t="s">
        <v>827</v>
      </c>
      <c r="H13" s="183"/>
      <c r="I13" s="184"/>
      <c r="J13" s="184"/>
      <c r="K13" s="18"/>
      <c r="M13" s="2"/>
      <c r="N13" s="18"/>
      <c r="Q13"/>
    </row>
    <row r="14" spans="1:17" ht="15.75" thickBot="1">
      <c r="A14" s="515">
        <v>45907</v>
      </c>
      <c r="B14" s="207">
        <v>1</v>
      </c>
      <c r="C14" s="207"/>
      <c r="D14" s="207">
        <f t="shared" si="0"/>
        <v>-1</v>
      </c>
      <c r="E14" s="213">
        <f>SUM($D$2:D14)/SUM($B$2:B14)</f>
        <v>-0.1684615384615385</v>
      </c>
      <c r="F14" s="162">
        <f t="shared" si="1"/>
        <v>-2.1900000000000004</v>
      </c>
      <c r="G14" s="215" t="s">
        <v>828</v>
      </c>
      <c r="H14" s="183"/>
      <c r="I14" s="184"/>
      <c r="J14" s="184"/>
      <c r="K14" s="58"/>
      <c r="M14" s="2"/>
      <c r="Q14"/>
    </row>
    <row r="15" spans="1:17">
      <c r="A15" s="516"/>
      <c r="B15" s="204">
        <v>1</v>
      </c>
      <c r="C15" s="204"/>
      <c r="D15" s="204">
        <f t="shared" si="0"/>
        <v>-1</v>
      </c>
      <c r="E15" s="191">
        <f>SUM($D$2:D15)/SUM($B$2:B15)</f>
        <v>-0.2278571428571429</v>
      </c>
      <c r="F15" s="161">
        <f t="shared" si="1"/>
        <v>-3.1900000000000004</v>
      </c>
      <c r="G15" s="210" t="s">
        <v>829</v>
      </c>
      <c r="H15" s="183"/>
      <c r="I15" s="184"/>
      <c r="J15" s="184"/>
      <c r="K15" s="18"/>
      <c r="M15" s="2"/>
      <c r="N15" s="18"/>
      <c r="Q15"/>
    </row>
    <row r="16" spans="1:17">
      <c r="A16" s="516"/>
      <c r="B16" s="205">
        <v>1</v>
      </c>
      <c r="C16" s="205"/>
      <c r="D16" s="205">
        <f t="shared" si="0"/>
        <v>-1</v>
      </c>
      <c r="E16" s="154">
        <f>SUM($D$2:D16)/SUM($B$2:B16)</f>
        <v>-0.27933333333333338</v>
      </c>
      <c r="F16" s="150">
        <f t="shared" si="1"/>
        <v>-4.1900000000000004</v>
      </c>
      <c r="G16" s="201" t="s">
        <v>824</v>
      </c>
      <c r="H16" s="183"/>
      <c r="I16" s="184"/>
      <c r="J16" s="184"/>
      <c r="K16" s="18"/>
      <c r="M16" s="2"/>
      <c r="N16" s="18"/>
      <c r="Q16"/>
    </row>
    <row r="17" spans="1:17">
      <c r="A17" s="516"/>
      <c r="B17" s="205">
        <v>1</v>
      </c>
      <c r="C17" s="205">
        <v>1.9</v>
      </c>
      <c r="D17" s="205">
        <f t="shared" si="0"/>
        <v>0.89999999999999991</v>
      </c>
      <c r="E17" s="154">
        <f>SUM($D$2:D17)/SUM($B$2:B17)</f>
        <v>-0.20562500000000003</v>
      </c>
      <c r="F17" s="150">
        <f t="shared" si="1"/>
        <v>-3.2900000000000005</v>
      </c>
      <c r="G17" s="201" t="s">
        <v>820</v>
      </c>
      <c r="H17" s="183"/>
      <c r="I17" s="184"/>
      <c r="J17" s="184"/>
      <c r="K17" s="18"/>
      <c r="M17" s="2"/>
      <c r="N17" s="18"/>
      <c r="Q17"/>
    </row>
    <row r="18" spans="1:17">
      <c r="A18" s="516"/>
      <c r="B18" s="205">
        <v>1</v>
      </c>
      <c r="C18" s="205">
        <v>1.88</v>
      </c>
      <c r="D18" s="205">
        <f t="shared" si="0"/>
        <v>0.87999999999999989</v>
      </c>
      <c r="E18" s="154">
        <f>SUM($D$2:D18)/SUM($B$2:B18)</f>
        <v>-0.14176470588235299</v>
      </c>
      <c r="F18" s="150">
        <f t="shared" si="1"/>
        <v>-2.4100000000000006</v>
      </c>
      <c r="G18" s="201" t="s">
        <v>830</v>
      </c>
      <c r="H18" s="183"/>
      <c r="I18" s="184"/>
      <c r="J18" s="184"/>
      <c r="K18" s="18"/>
      <c r="M18" s="2"/>
      <c r="N18" s="18"/>
      <c r="Q18"/>
    </row>
    <row r="19" spans="1:17" ht="15.75" thickBot="1">
      <c r="A19" s="516"/>
      <c r="B19" s="153">
        <v>1</v>
      </c>
      <c r="C19" s="153"/>
      <c r="D19" s="153">
        <f t="shared" si="0"/>
        <v>-1</v>
      </c>
      <c r="E19" s="190">
        <f>SUM($D$2:D19)/SUM($B$2:B19)</f>
        <v>-0.18944444444444447</v>
      </c>
      <c r="F19" s="151">
        <f t="shared" si="1"/>
        <v>-3.4100000000000006</v>
      </c>
      <c r="G19" s="211" t="s">
        <v>826</v>
      </c>
      <c r="H19" s="183"/>
      <c r="I19" s="184"/>
      <c r="J19" s="184"/>
      <c r="K19" s="58"/>
      <c r="M19" s="2"/>
      <c r="N19" s="18"/>
      <c r="Q19"/>
    </row>
    <row r="20" spans="1:17">
      <c r="A20" s="476">
        <v>45908</v>
      </c>
      <c r="B20" s="204">
        <v>1</v>
      </c>
      <c r="C20" s="204"/>
      <c r="D20" s="204">
        <f t="shared" si="0"/>
        <v>-1</v>
      </c>
      <c r="E20" s="191">
        <f>SUM($D$2:D20)/SUM($B$2:B20)</f>
        <v>-0.23210526315789473</v>
      </c>
      <c r="F20" s="161">
        <f t="shared" si="1"/>
        <v>-4.41</v>
      </c>
      <c r="G20" s="210" t="s">
        <v>831</v>
      </c>
      <c r="H20" s="183"/>
      <c r="I20" s="184"/>
      <c r="J20" s="184"/>
      <c r="K20" s="18"/>
      <c r="M20" s="2"/>
      <c r="N20" s="18"/>
      <c r="Q20"/>
    </row>
    <row r="21" spans="1:17">
      <c r="A21" s="477"/>
      <c r="B21" s="205">
        <v>1</v>
      </c>
      <c r="C21" s="205"/>
      <c r="D21" s="205">
        <f t="shared" si="0"/>
        <v>-1</v>
      </c>
      <c r="E21" s="154">
        <f>SUM($D$2:D21)/SUM($B$2:B21)</f>
        <v>-0.27050000000000002</v>
      </c>
      <c r="F21" s="150">
        <f t="shared" si="1"/>
        <v>-5.41</v>
      </c>
      <c r="G21" s="201" t="s">
        <v>832</v>
      </c>
      <c r="H21" s="183"/>
      <c r="I21" s="184"/>
      <c r="J21" s="184"/>
      <c r="K21" s="18"/>
      <c r="M21" s="2"/>
      <c r="N21" s="18"/>
      <c r="Q21"/>
    </row>
    <row r="22" spans="1:17">
      <c r="A22" s="477"/>
      <c r="B22" s="205">
        <v>1</v>
      </c>
      <c r="C22" s="205">
        <v>1.909</v>
      </c>
      <c r="D22" s="205">
        <f t="shared" si="0"/>
        <v>0.90900000000000003</v>
      </c>
      <c r="E22" s="154">
        <f>SUM($D$2:D22)/SUM($B$2:B22)</f>
        <v>-0.21433333333333335</v>
      </c>
      <c r="F22" s="150">
        <f t="shared" si="1"/>
        <v>-4.5010000000000003</v>
      </c>
      <c r="G22" s="201" t="s">
        <v>833</v>
      </c>
      <c r="H22" s="183"/>
      <c r="I22" s="184"/>
      <c r="J22" s="184"/>
      <c r="K22" s="18"/>
      <c r="M22" s="2"/>
      <c r="N22" s="18"/>
      <c r="Q22"/>
    </row>
    <row r="23" spans="1:17" ht="15.75" thickBot="1">
      <c r="A23" s="477"/>
      <c r="B23" s="153">
        <v>1</v>
      </c>
      <c r="C23" s="153"/>
      <c r="D23" s="153">
        <f t="shared" si="0"/>
        <v>-1</v>
      </c>
      <c r="E23" s="190">
        <f>SUM($D$2:D23)/SUM($B$2:B23)</f>
        <v>-0.25004545454545457</v>
      </c>
      <c r="F23" s="151">
        <f t="shared" si="1"/>
        <v>-5.5010000000000003</v>
      </c>
      <c r="G23" s="211" t="s">
        <v>834</v>
      </c>
      <c r="H23" s="183"/>
      <c r="I23" s="184"/>
      <c r="J23" s="184"/>
      <c r="K23" s="18"/>
      <c r="M23" s="2"/>
      <c r="N23" s="18"/>
      <c r="Q23"/>
    </row>
    <row r="24" spans="1:17">
      <c r="A24" s="518">
        <v>45909</v>
      </c>
      <c r="B24" s="165">
        <v>1</v>
      </c>
      <c r="C24" s="204">
        <v>1.74</v>
      </c>
      <c r="D24" s="204">
        <f t="shared" si="0"/>
        <v>0.74</v>
      </c>
      <c r="E24" s="191">
        <f>SUM($D$2:D24)/SUM($B$2:B24)</f>
        <v>-0.20700000000000002</v>
      </c>
      <c r="F24" s="161">
        <f t="shared" si="1"/>
        <v>-4.7610000000000001</v>
      </c>
      <c r="G24" s="210" t="s">
        <v>835</v>
      </c>
      <c r="H24" s="183"/>
      <c r="I24" s="184"/>
      <c r="J24" s="184"/>
      <c r="K24" s="18"/>
      <c r="M24" s="2"/>
      <c r="N24" s="18"/>
      <c r="Q24"/>
    </row>
    <row r="25" spans="1:17">
      <c r="A25" s="479"/>
      <c r="B25" s="167">
        <v>1</v>
      </c>
      <c r="C25" s="205">
        <v>1.89</v>
      </c>
      <c r="D25" s="205">
        <f t="shared" si="0"/>
        <v>0.8899999999999999</v>
      </c>
      <c r="E25" s="154">
        <f>SUM($D$2:D25)/SUM($B$2:B25)</f>
        <v>-0.16129166666666669</v>
      </c>
      <c r="F25" s="150">
        <f t="shared" si="1"/>
        <v>-3.8710000000000004</v>
      </c>
      <c r="G25" s="201" t="s">
        <v>836</v>
      </c>
      <c r="H25" s="183"/>
      <c r="I25" s="184"/>
      <c r="J25" s="184"/>
      <c r="K25" s="18"/>
      <c r="M25" s="2"/>
      <c r="N25" s="18"/>
      <c r="Q25"/>
    </row>
    <row r="26" spans="1:17" ht="15.75" thickBot="1">
      <c r="A26" s="479"/>
      <c r="B26" s="170">
        <v>1</v>
      </c>
      <c r="C26" s="206"/>
      <c r="D26" s="206">
        <f t="shared" si="0"/>
        <v>-1</v>
      </c>
      <c r="E26" s="193">
        <f>SUM($D$2:D26)/SUM($B$2:B26)</f>
        <v>-0.19484000000000001</v>
      </c>
      <c r="F26" s="163">
        <f t="shared" si="1"/>
        <v>-4.8710000000000004</v>
      </c>
      <c r="G26" s="203" t="s">
        <v>834</v>
      </c>
      <c r="H26" s="183"/>
      <c r="I26" s="184"/>
      <c r="J26" s="184"/>
      <c r="K26" s="18"/>
      <c r="M26" s="2"/>
      <c r="N26" s="18"/>
      <c r="Q26"/>
    </row>
    <row r="27" spans="1:17" ht="15.75" thickBot="1">
      <c r="A27" s="506">
        <v>45910</v>
      </c>
      <c r="B27" s="253">
        <v>1</v>
      </c>
      <c r="C27" s="253">
        <v>2.85</v>
      </c>
      <c r="D27" s="253">
        <f t="shared" si="0"/>
        <v>1.85</v>
      </c>
      <c r="E27" s="254">
        <f>SUM($D$2:D27)/SUM($B$2:B27)</f>
        <v>-0.11619230769230771</v>
      </c>
      <c r="F27" s="255">
        <f t="shared" si="1"/>
        <v>-3.0210000000000004</v>
      </c>
      <c r="G27" s="256" t="s">
        <v>837</v>
      </c>
      <c r="H27" s="183"/>
      <c r="I27" s="184"/>
      <c r="J27" s="184"/>
      <c r="K27" s="18"/>
      <c r="Q27"/>
    </row>
    <row r="28" spans="1:17">
      <c r="A28" s="507"/>
      <c r="B28" s="204">
        <v>1</v>
      </c>
      <c r="C28" s="204">
        <v>1.7270000000000001</v>
      </c>
      <c r="D28" s="204">
        <f t="shared" si="0"/>
        <v>0.72700000000000009</v>
      </c>
      <c r="E28" s="191">
        <f>SUM($D$2:D28)/SUM($B$2:B28)</f>
        <v>-8.4962962962962976E-2</v>
      </c>
      <c r="F28" s="161">
        <f t="shared" si="1"/>
        <v>-2.2940000000000005</v>
      </c>
      <c r="G28" s="210" t="s">
        <v>835</v>
      </c>
      <c r="H28" s="183"/>
      <c r="I28" s="184"/>
      <c r="J28" s="184"/>
      <c r="K28" s="18"/>
      <c r="Q28"/>
    </row>
    <row r="29" spans="1:17">
      <c r="A29" s="507"/>
      <c r="B29" s="205">
        <v>1</v>
      </c>
      <c r="C29" s="205"/>
      <c r="D29" s="205">
        <f t="shared" si="0"/>
        <v>-1</v>
      </c>
      <c r="E29" s="154">
        <f>SUM($D$2:D29)/SUM($B$2:B29)</f>
        <v>-0.11764285714285716</v>
      </c>
      <c r="F29" s="150">
        <f t="shared" si="1"/>
        <v>-3.2940000000000005</v>
      </c>
      <c r="G29" s="201" t="s">
        <v>833</v>
      </c>
      <c r="H29" s="183"/>
      <c r="I29" s="184"/>
      <c r="J29" s="184"/>
      <c r="K29" s="18"/>
      <c r="Q29"/>
    </row>
    <row r="30" spans="1:17" ht="15.75" thickBot="1">
      <c r="A30" s="507"/>
      <c r="B30" s="206">
        <v>1</v>
      </c>
      <c r="C30" s="206"/>
      <c r="D30" s="206">
        <f t="shared" si="0"/>
        <v>-1</v>
      </c>
      <c r="E30" s="193">
        <f>SUM($D$2:D30)/SUM($B$2:B30)</f>
        <v>-0.14806896551724139</v>
      </c>
      <c r="F30" s="163">
        <f t="shared" si="1"/>
        <v>-4.2940000000000005</v>
      </c>
      <c r="G30" s="211" t="s">
        <v>836</v>
      </c>
      <c r="H30" s="183"/>
      <c r="I30" s="184"/>
      <c r="J30" s="184"/>
      <c r="K30" s="18"/>
      <c r="Q30"/>
    </row>
    <row r="31" spans="1:17" ht="15.75" thickBot="1">
      <c r="A31" s="506">
        <v>45911</v>
      </c>
      <c r="B31" s="206">
        <v>1</v>
      </c>
      <c r="C31" s="206">
        <v>2.99</v>
      </c>
      <c r="D31" s="206">
        <f t="shared" si="0"/>
        <v>1.9900000000000002</v>
      </c>
      <c r="E31" s="193">
        <f>SUM($D$2:D31)/SUM($B$2:B31)</f>
        <v>-7.6800000000000007E-2</v>
      </c>
      <c r="F31" s="163">
        <f t="shared" si="1"/>
        <v>-2.3040000000000003</v>
      </c>
      <c r="G31" s="203" t="s">
        <v>838</v>
      </c>
      <c r="H31" s="183"/>
      <c r="I31" s="184"/>
      <c r="J31" s="184"/>
      <c r="K31" s="18"/>
      <c r="Q31"/>
    </row>
    <row r="32" spans="1:17">
      <c r="A32" s="507"/>
      <c r="B32" s="204">
        <v>1</v>
      </c>
      <c r="C32" s="204">
        <v>1.92</v>
      </c>
      <c r="D32" s="204">
        <f t="shared" si="0"/>
        <v>0.91999999999999993</v>
      </c>
      <c r="E32" s="191">
        <f>SUM($D$2:D32)/SUM($B$2:B32)</f>
        <v>-4.4645161290322595E-2</v>
      </c>
      <c r="F32" s="161">
        <f t="shared" si="1"/>
        <v>-1.3840000000000003</v>
      </c>
      <c r="G32" s="210" t="s">
        <v>839</v>
      </c>
      <c r="H32" s="183"/>
      <c r="I32" s="184"/>
      <c r="J32" s="184"/>
      <c r="K32" s="18"/>
      <c r="Q32"/>
    </row>
    <row r="33" spans="1:17" ht="15.75" thickBot="1">
      <c r="A33" s="514"/>
      <c r="B33" s="206">
        <v>1</v>
      </c>
      <c r="C33" s="206">
        <v>1.98</v>
      </c>
      <c r="D33" s="206">
        <f t="shared" si="0"/>
        <v>0.98</v>
      </c>
      <c r="E33" s="193">
        <f>SUM($D$2:D33)/SUM($B$2:B33)</f>
        <v>-1.2625000000000011E-2</v>
      </c>
      <c r="F33" s="163">
        <f t="shared" si="1"/>
        <v>-0.40400000000000036</v>
      </c>
      <c r="G33" s="211" t="s">
        <v>840</v>
      </c>
      <c r="H33" s="183"/>
      <c r="I33" s="184"/>
      <c r="J33" s="184"/>
      <c r="K33" s="18"/>
      <c r="Q33"/>
    </row>
    <row r="34" spans="1:17">
      <c r="A34" s="506">
        <v>45912</v>
      </c>
      <c r="B34" s="204">
        <v>1</v>
      </c>
      <c r="C34" s="204">
        <v>1.76</v>
      </c>
      <c r="D34" s="204">
        <f t="shared" si="0"/>
        <v>0.76</v>
      </c>
      <c r="E34" s="191">
        <f>SUM($D$2:D34)/SUM($B$2:B34)</f>
        <v>1.0787878787878777E-2</v>
      </c>
      <c r="F34" s="161">
        <f t="shared" si="1"/>
        <v>0.35599999999999965</v>
      </c>
      <c r="G34" s="210" t="s">
        <v>841</v>
      </c>
      <c r="H34" s="183"/>
      <c r="I34" s="184"/>
      <c r="J34" s="184"/>
      <c r="K34" s="18"/>
      <c r="Q34"/>
    </row>
    <row r="35" spans="1:17">
      <c r="A35" s="507"/>
      <c r="B35" s="205">
        <v>1</v>
      </c>
      <c r="C35" s="205"/>
      <c r="D35" s="205">
        <f t="shared" si="0"/>
        <v>-1</v>
      </c>
      <c r="E35" s="154">
        <f>SUM($D$2:D35)/SUM($B$2:B35)</f>
        <v>-1.8941176470588246E-2</v>
      </c>
      <c r="F35" s="150">
        <f t="shared" si="1"/>
        <v>-0.64400000000000035</v>
      </c>
      <c r="G35" s="201" t="s">
        <v>842</v>
      </c>
      <c r="H35" s="183"/>
      <c r="I35" s="184"/>
      <c r="J35" s="184"/>
      <c r="K35" s="18"/>
      <c r="Q35"/>
    </row>
    <row r="36" spans="1:17">
      <c r="A36" s="507"/>
      <c r="B36" s="205">
        <v>1</v>
      </c>
      <c r="C36" s="205">
        <v>1.93</v>
      </c>
      <c r="D36" s="205">
        <f t="shared" si="0"/>
        <v>0.92999999999999994</v>
      </c>
      <c r="E36" s="154">
        <f>SUM($D$2:D36)/SUM($B$2:B36)</f>
        <v>8.1714285714285604E-3</v>
      </c>
      <c r="F36" s="150">
        <f t="shared" si="1"/>
        <v>0.28599999999999959</v>
      </c>
      <c r="G36" s="201" t="s">
        <v>843</v>
      </c>
      <c r="H36" s="183"/>
      <c r="I36" s="184"/>
      <c r="J36" s="184"/>
      <c r="K36" s="18"/>
      <c r="Q36"/>
    </row>
    <row r="37" spans="1:17">
      <c r="A37" s="507"/>
      <c r="B37" s="205">
        <v>1</v>
      </c>
      <c r="C37" s="205"/>
      <c r="D37" s="205">
        <f t="shared" si="0"/>
        <v>-1</v>
      </c>
      <c r="E37" s="154">
        <f>SUM($D$2:D37)/SUM($B$2:B37)</f>
        <v>-1.9833333333333345E-2</v>
      </c>
      <c r="F37" s="150">
        <f t="shared" si="1"/>
        <v>-0.71400000000000041</v>
      </c>
      <c r="G37" s="201" t="s">
        <v>844</v>
      </c>
      <c r="H37" s="183"/>
      <c r="I37" s="184"/>
      <c r="J37" s="184"/>
      <c r="K37" s="18"/>
      <c r="Q37"/>
    </row>
    <row r="38" spans="1:17" ht="15.75" thickBot="1">
      <c r="A38" s="507"/>
      <c r="B38" s="206">
        <v>1</v>
      </c>
      <c r="C38" s="206">
        <v>1.89</v>
      </c>
      <c r="D38" s="206">
        <f t="shared" si="0"/>
        <v>0.8899999999999999</v>
      </c>
      <c r="E38" s="193">
        <f>SUM($D$2:D38)/SUM($B$2:B38)</f>
        <v>4.7567567567567432E-3</v>
      </c>
      <c r="F38" s="163">
        <f t="shared" si="1"/>
        <v>0.17599999999999949</v>
      </c>
      <c r="G38" s="202" t="s">
        <v>845</v>
      </c>
      <c r="H38" s="183"/>
      <c r="I38" s="184"/>
      <c r="J38" s="184"/>
      <c r="K38" s="18"/>
      <c r="Q38"/>
    </row>
    <row r="39" spans="1:17">
      <c r="A39" s="506">
        <v>45913</v>
      </c>
      <c r="B39" s="204">
        <v>1</v>
      </c>
      <c r="C39" s="204">
        <v>1.89</v>
      </c>
      <c r="D39" s="204">
        <f t="shared" si="0"/>
        <v>0.8899999999999999</v>
      </c>
      <c r="E39" s="191">
        <f>SUM($D$2:D39)/SUM($B$2:B39)</f>
        <v>2.8052631578947353E-2</v>
      </c>
      <c r="F39" s="161">
        <f t="shared" si="1"/>
        <v>1.0659999999999994</v>
      </c>
      <c r="G39" s="210" t="s">
        <v>846</v>
      </c>
      <c r="H39" s="183"/>
      <c r="I39" s="184"/>
      <c r="J39" s="184"/>
      <c r="K39" s="18"/>
      <c r="Q39"/>
    </row>
    <row r="40" spans="1:17">
      <c r="A40" s="507"/>
      <c r="B40" s="205">
        <v>1</v>
      </c>
      <c r="C40" s="205">
        <v>2.02</v>
      </c>
      <c r="D40" s="205">
        <f t="shared" si="0"/>
        <v>1.02</v>
      </c>
      <c r="E40" s="154">
        <f>SUM($D$2:D40)/SUM($B$2:B40)</f>
        <v>5.3487179487179473E-2</v>
      </c>
      <c r="F40" s="150">
        <f t="shared" si="1"/>
        <v>2.0859999999999994</v>
      </c>
      <c r="G40" s="201" t="s">
        <v>847</v>
      </c>
      <c r="H40" s="183"/>
      <c r="I40" s="184"/>
      <c r="J40" s="184"/>
      <c r="K40" s="18"/>
      <c r="Q40"/>
    </row>
    <row r="41" spans="1:17">
      <c r="A41" s="507"/>
      <c r="B41" s="205">
        <v>1</v>
      </c>
      <c r="C41" s="205">
        <v>1.92</v>
      </c>
      <c r="D41" s="205">
        <f t="shared" si="0"/>
        <v>0.91999999999999993</v>
      </c>
      <c r="E41" s="154">
        <f>SUM($D$2:D41)/SUM($B$2:B41)</f>
        <v>7.5149999999999981E-2</v>
      </c>
      <c r="F41" s="150">
        <f t="shared" si="1"/>
        <v>3.0059999999999993</v>
      </c>
      <c r="G41" s="201" t="s">
        <v>845</v>
      </c>
      <c r="H41" s="183"/>
      <c r="I41" s="184"/>
      <c r="J41" s="184"/>
      <c r="K41" s="18"/>
      <c r="Q41"/>
    </row>
    <row r="42" spans="1:17">
      <c r="A42" s="507"/>
      <c r="B42" s="205">
        <v>1</v>
      </c>
      <c r="C42" s="205"/>
      <c r="D42" s="205">
        <f t="shared" si="0"/>
        <v>-1</v>
      </c>
      <c r="E42" s="154">
        <f>SUM($D$2:D42)/SUM($B$2:B42)</f>
        <v>4.8926829268292664E-2</v>
      </c>
      <c r="F42" s="150">
        <f t="shared" si="1"/>
        <v>2.0059999999999993</v>
      </c>
      <c r="G42" s="201" t="s">
        <v>841</v>
      </c>
      <c r="H42" s="183"/>
      <c r="I42" s="184"/>
      <c r="J42" s="184"/>
      <c r="K42" s="18"/>
      <c r="Q42"/>
    </row>
    <row r="43" spans="1:17">
      <c r="A43" s="507"/>
      <c r="B43" s="205">
        <v>1</v>
      </c>
      <c r="C43" s="205"/>
      <c r="D43" s="205">
        <f t="shared" si="0"/>
        <v>-1</v>
      </c>
      <c r="E43" s="154">
        <f>SUM($D$2:D43)/SUM($B$2:B43)</f>
        <v>2.3952380952380937E-2</v>
      </c>
      <c r="F43" s="150">
        <f t="shared" si="1"/>
        <v>1.0059999999999993</v>
      </c>
      <c r="G43" s="201" t="s">
        <v>848</v>
      </c>
      <c r="H43" s="183"/>
      <c r="I43" s="184"/>
      <c r="J43" s="184"/>
      <c r="K43" s="18"/>
      <c r="Q43"/>
    </row>
    <row r="44" spans="1:17">
      <c r="A44" s="507"/>
      <c r="B44" s="205">
        <v>1</v>
      </c>
      <c r="C44" s="205">
        <v>1.98</v>
      </c>
      <c r="D44" s="205">
        <f t="shared" si="0"/>
        <v>0.98</v>
      </c>
      <c r="E44" s="154">
        <f>SUM($D$2:D44)/SUM($B$2:B44)</f>
        <v>4.6186046511627894E-2</v>
      </c>
      <c r="F44" s="150">
        <f t="shared" si="1"/>
        <v>1.9859999999999993</v>
      </c>
      <c r="G44" s="201" t="s">
        <v>849</v>
      </c>
      <c r="H44" s="183"/>
      <c r="I44" s="184"/>
      <c r="J44" s="184"/>
      <c r="K44" s="18"/>
      <c r="Q44"/>
    </row>
    <row r="45" spans="1:17" ht="15.75" thickBot="1">
      <c r="A45" s="507"/>
      <c r="B45" s="206">
        <v>1</v>
      </c>
      <c r="C45" s="206">
        <v>1.9</v>
      </c>
      <c r="D45" s="206">
        <f t="shared" si="0"/>
        <v>0.89999999999999991</v>
      </c>
      <c r="E45" s="193">
        <f>SUM($D$2:D45)/SUM($B$2:B45)</f>
        <v>6.5590909090909075E-2</v>
      </c>
      <c r="F45" s="163">
        <f t="shared" si="1"/>
        <v>2.8859999999999992</v>
      </c>
      <c r="G45" s="202" t="s">
        <v>850</v>
      </c>
      <c r="H45" s="183"/>
      <c r="I45" s="184"/>
      <c r="J45" s="184"/>
      <c r="K45" s="18"/>
      <c r="Q45"/>
    </row>
    <row r="46" spans="1:17">
      <c r="A46" s="506">
        <v>45914</v>
      </c>
      <c r="B46" s="204">
        <v>1</v>
      </c>
      <c r="C46" s="204"/>
      <c r="D46" s="204">
        <f t="shared" si="0"/>
        <v>-1</v>
      </c>
      <c r="E46" s="191">
        <f>SUM($D$2:D46)/SUM($B$2:B46)</f>
        <v>4.1911111111111093E-2</v>
      </c>
      <c r="F46" s="161">
        <f t="shared" si="1"/>
        <v>1.8859999999999992</v>
      </c>
      <c r="G46" s="210" t="s">
        <v>850</v>
      </c>
      <c r="H46" s="183"/>
      <c r="I46" s="184"/>
      <c r="J46" s="184"/>
      <c r="K46" s="18"/>
      <c r="Q46"/>
    </row>
    <row r="47" spans="1:17">
      <c r="A47" s="507"/>
      <c r="B47" s="205">
        <v>1</v>
      </c>
      <c r="C47" s="205">
        <v>1.88</v>
      </c>
      <c r="D47" s="205">
        <f t="shared" si="0"/>
        <v>0.87999999999999989</v>
      </c>
      <c r="E47" s="154">
        <f>SUM($D$2:D47)/SUM($B$2:B47)</f>
        <v>6.0130434782608676E-2</v>
      </c>
      <c r="F47" s="150">
        <f t="shared" si="1"/>
        <v>2.7659999999999991</v>
      </c>
      <c r="G47" s="201" t="s">
        <v>851</v>
      </c>
      <c r="H47" s="183"/>
      <c r="I47" s="184"/>
      <c r="J47" s="184"/>
      <c r="K47" s="18"/>
      <c r="Q47"/>
    </row>
    <row r="48" spans="1:17">
      <c r="A48" s="507"/>
      <c r="B48" s="205">
        <v>1</v>
      </c>
      <c r="C48" s="205">
        <v>2</v>
      </c>
      <c r="D48" s="205">
        <f t="shared" si="0"/>
        <v>1</v>
      </c>
      <c r="E48" s="154">
        <f>SUM($D$2:D48)/SUM($B$2:B48)</f>
        <v>8.012765957446806E-2</v>
      </c>
      <c r="F48" s="150">
        <f t="shared" si="1"/>
        <v>3.7659999999999991</v>
      </c>
      <c r="G48" s="201" t="s">
        <v>845</v>
      </c>
      <c r="H48" s="183"/>
      <c r="I48" s="184"/>
      <c r="J48" s="184"/>
      <c r="K48" s="18"/>
      <c r="Q48"/>
    </row>
    <row r="49" spans="1:17">
      <c r="A49" s="507"/>
      <c r="B49" s="205">
        <v>1</v>
      </c>
      <c r="C49" s="205">
        <v>1.81</v>
      </c>
      <c r="D49" s="205">
        <f t="shared" si="0"/>
        <v>0.81</v>
      </c>
      <c r="E49" s="154">
        <f>SUM($D$2:D49)/SUM($B$2:B49)</f>
        <v>9.5333333333333312E-2</v>
      </c>
      <c r="F49" s="150">
        <f t="shared" si="1"/>
        <v>4.5759999999999987</v>
      </c>
      <c r="G49" s="201" t="s">
        <v>841</v>
      </c>
      <c r="H49" s="183"/>
      <c r="I49" s="184"/>
      <c r="J49" s="184"/>
      <c r="K49" s="18"/>
      <c r="Q49"/>
    </row>
    <row r="50" spans="1:17">
      <c r="A50" s="507"/>
      <c r="B50" s="205">
        <v>1</v>
      </c>
      <c r="C50" s="205"/>
      <c r="D50" s="205">
        <f t="shared" si="0"/>
        <v>-1</v>
      </c>
      <c r="E50" s="154">
        <f>SUM($D$2:D50)/SUM($B$2:B50)</f>
        <v>7.2979591836734664E-2</v>
      </c>
      <c r="F50" s="150">
        <f t="shared" si="1"/>
        <v>3.5759999999999987</v>
      </c>
      <c r="G50" s="201" t="s">
        <v>844</v>
      </c>
      <c r="H50" s="183"/>
      <c r="I50" s="184"/>
      <c r="J50" s="184"/>
      <c r="K50" s="18"/>
      <c r="Q50"/>
    </row>
    <row r="51" spans="1:17" ht="15.75" thickBot="1">
      <c r="A51" s="514"/>
      <c r="B51" s="206">
        <v>1</v>
      </c>
      <c r="C51" s="206"/>
      <c r="D51" s="206">
        <f t="shared" si="0"/>
        <v>-1</v>
      </c>
      <c r="E51" s="193">
        <f>SUM($D$2:D51)/SUM($B$2:B51)</f>
        <v>5.1519999999999976E-2</v>
      </c>
      <c r="F51" s="163">
        <f t="shared" si="1"/>
        <v>2.5759999999999987</v>
      </c>
      <c r="G51" s="202" t="s">
        <v>849</v>
      </c>
      <c r="H51" s="183"/>
      <c r="I51" s="184"/>
      <c r="J51" s="184"/>
      <c r="K51" s="18"/>
      <c r="Q51"/>
    </row>
    <row r="52" spans="1:17">
      <c r="A52" s="506">
        <v>45915</v>
      </c>
      <c r="B52" s="205">
        <v>1</v>
      </c>
      <c r="C52" s="205">
        <v>1.84</v>
      </c>
      <c r="D52" s="205">
        <f t="shared" si="0"/>
        <v>0.84000000000000008</v>
      </c>
      <c r="E52" s="154">
        <f>SUM($D$2:D52)/SUM($B$2:B52)</f>
        <v>6.6980392156862717E-2</v>
      </c>
      <c r="F52" s="150">
        <f t="shared" si="1"/>
        <v>3.4159999999999986</v>
      </c>
      <c r="G52" s="201" t="s">
        <v>852</v>
      </c>
      <c r="H52" s="183"/>
      <c r="I52" s="184"/>
      <c r="J52" s="184"/>
      <c r="K52" s="18"/>
      <c r="Q52"/>
    </row>
    <row r="53" spans="1:17">
      <c r="A53" s="507"/>
      <c r="B53" s="205">
        <v>1</v>
      </c>
      <c r="C53" s="205">
        <v>1.97</v>
      </c>
      <c r="D53" s="205">
        <f t="shared" si="0"/>
        <v>0.97</v>
      </c>
      <c r="E53" s="154">
        <f>SUM($D$2:D53)/SUM($B$2:B53)</f>
        <v>8.4346153846153821E-2</v>
      </c>
      <c r="F53" s="150">
        <f t="shared" si="1"/>
        <v>4.3859999999999983</v>
      </c>
      <c r="G53" s="201" t="s">
        <v>853</v>
      </c>
      <c r="H53" s="183"/>
      <c r="I53" s="184"/>
      <c r="J53" s="184"/>
      <c r="K53" s="18"/>
      <c r="Q53"/>
    </row>
    <row r="54" spans="1:17" ht="15.75" thickBot="1">
      <c r="A54" s="514"/>
      <c r="B54" s="206">
        <v>1</v>
      </c>
      <c r="C54" s="206">
        <v>1.909</v>
      </c>
      <c r="D54" s="206">
        <f t="shared" si="0"/>
        <v>0.90900000000000003</v>
      </c>
      <c r="E54" s="193">
        <f>SUM($D$2:D54)/SUM($B$2:B54)</f>
        <v>9.9905660377358457E-2</v>
      </c>
      <c r="F54" s="163">
        <f t="shared" si="1"/>
        <v>5.2949999999999982</v>
      </c>
      <c r="G54" s="202" t="s">
        <v>854</v>
      </c>
      <c r="H54" s="183"/>
      <c r="I54" s="184"/>
      <c r="J54" s="184"/>
      <c r="K54" s="18"/>
      <c r="Q54"/>
    </row>
    <row r="55" spans="1:17">
      <c r="A55" s="506">
        <v>45916</v>
      </c>
      <c r="B55" s="205">
        <v>1</v>
      </c>
      <c r="C55" s="205">
        <v>1.86</v>
      </c>
      <c r="D55" s="205">
        <f t="shared" si="0"/>
        <v>0.8600000000000001</v>
      </c>
      <c r="E55" s="154">
        <f>SUM($D$2:D55)/SUM($B$2:B55)</f>
        <v>0.11398148148148145</v>
      </c>
      <c r="F55" s="150">
        <f t="shared" si="1"/>
        <v>6.1549999999999985</v>
      </c>
      <c r="G55" s="275" t="s">
        <v>852</v>
      </c>
      <c r="H55" s="183"/>
      <c r="I55" s="184"/>
      <c r="J55" s="184"/>
      <c r="K55" s="18"/>
      <c r="Q55"/>
    </row>
    <row r="56" spans="1:17">
      <c r="A56" s="507"/>
      <c r="B56" s="205">
        <v>1</v>
      </c>
      <c r="C56" s="205"/>
      <c r="D56" s="205">
        <f t="shared" si="0"/>
        <v>-1</v>
      </c>
      <c r="E56" s="154">
        <f>SUM($D$2:D56)/SUM($B$2:B56)</f>
        <v>9.3727272727272701E-2</v>
      </c>
      <c r="F56" s="150">
        <f t="shared" si="1"/>
        <v>5.1549999999999985</v>
      </c>
      <c r="G56" s="201" t="s">
        <v>855</v>
      </c>
      <c r="H56" s="183"/>
      <c r="I56" s="184"/>
      <c r="J56" s="184"/>
      <c r="K56" s="18"/>
      <c r="Q56"/>
    </row>
    <row r="57" spans="1:17">
      <c r="A57" s="507"/>
      <c r="B57" s="205">
        <v>1</v>
      </c>
      <c r="C57" s="205">
        <v>1.95</v>
      </c>
      <c r="D57" s="205">
        <f t="shared" si="0"/>
        <v>0.95</v>
      </c>
      <c r="E57" s="154">
        <f>SUM($D$2:D57)/SUM($B$2:B57)</f>
        <v>0.10901785714285712</v>
      </c>
      <c r="F57" s="150">
        <f t="shared" si="1"/>
        <v>6.1049999999999986</v>
      </c>
      <c r="G57" s="201" t="s">
        <v>854</v>
      </c>
      <c r="H57" s="183"/>
      <c r="I57" s="184"/>
      <c r="J57" s="184"/>
      <c r="K57" s="18"/>
      <c r="Q57"/>
    </row>
    <row r="58" spans="1:17">
      <c r="A58" s="507"/>
      <c r="B58" s="205">
        <v>1</v>
      </c>
      <c r="C58" s="205">
        <v>1.98</v>
      </c>
      <c r="D58" s="205">
        <f t="shared" si="0"/>
        <v>0.98</v>
      </c>
      <c r="E58" s="154">
        <f>SUM($D$2:D58)/SUM($B$2:B58)</f>
        <v>0.12429824561403507</v>
      </c>
      <c r="F58" s="150">
        <f t="shared" si="1"/>
        <v>7.0849999999999991</v>
      </c>
      <c r="G58" s="201" t="s">
        <v>853</v>
      </c>
      <c r="H58" s="183"/>
      <c r="I58" s="184"/>
      <c r="J58" s="184"/>
      <c r="K58" s="18"/>
      <c r="Q58"/>
    </row>
    <row r="59" spans="1:17">
      <c r="A59" s="507"/>
      <c r="B59" s="205">
        <v>1</v>
      </c>
      <c r="C59" s="205">
        <v>1.87</v>
      </c>
      <c r="D59" s="205">
        <f t="shared" si="0"/>
        <v>0.87000000000000011</v>
      </c>
      <c r="E59" s="154">
        <f>SUM($D$2:D59)/SUM($B$2:B59)</f>
        <v>0.1371551724137931</v>
      </c>
      <c r="F59" s="150">
        <f t="shared" si="1"/>
        <v>7.9549999999999992</v>
      </c>
      <c r="G59" s="201" t="s">
        <v>856</v>
      </c>
      <c r="H59" s="183"/>
      <c r="I59" s="184"/>
      <c r="J59" s="184"/>
      <c r="K59" s="18"/>
      <c r="Q59"/>
    </row>
    <row r="60" spans="1:17" ht="15.75" thickBot="1">
      <c r="A60" s="514"/>
      <c r="B60" s="206">
        <v>1</v>
      </c>
      <c r="C60" s="206"/>
      <c r="D60" s="206">
        <f t="shared" si="0"/>
        <v>-1</v>
      </c>
      <c r="E60" s="193">
        <f>SUM($D$2:D60)/SUM($B$2:B60)</f>
        <v>0.11788135593220338</v>
      </c>
      <c r="F60" s="163">
        <f t="shared" si="1"/>
        <v>6.9549999999999992</v>
      </c>
      <c r="G60" s="202" t="s">
        <v>857</v>
      </c>
      <c r="H60" s="183"/>
      <c r="I60" s="184"/>
      <c r="J60" s="184"/>
      <c r="K60" s="18"/>
      <c r="Q60"/>
    </row>
    <row r="61" spans="1:17">
      <c r="A61" s="506">
        <v>45917</v>
      </c>
      <c r="B61" s="165">
        <v>1</v>
      </c>
      <c r="C61" s="204">
        <v>3.14</v>
      </c>
      <c r="D61" s="204">
        <f t="shared" si="0"/>
        <v>2.14</v>
      </c>
      <c r="E61" s="191">
        <f>SUM($D$2:D61)/SUM($B$2:B61)</f>
        <v>0.15158333333333332</v>
      </c>
      <c r="F61" s="161">
        <f t="shared" si="1"/>
        <v>9.0949999999999989</v>
      </c>
      <c r="G61" s="200" t="s">
        <v>858</v>
      </c>
      <c r="H61" s="183"/>
      <c r="I61" s="184"/>
      <c r="J61" s="184"/>
      <c r="K61" s="18"/>
      <c r="Q61"/>
    </row>
    <row r="62" spans="1:17" ht="15.75" thickBot="1">
      <c r="A62" s="507"/>
      <c r="B62" s="170">
        <v>1</v>
      </c>
      <c r="C62" s="206">
        <v>2.81</v>
      </c>
      <c r="D62" s="206">
        <f t="shared" si="0"/>
        <v>1.81</v>
      </c>
      <c r="E62" s="193">
        <f>SUM($D$2:D62)/SUM($B$2:B62)</f>
        <v>0.17877049180327867</v>
      </c>
      <c r="F62" s="163">
        <f t="shared" si="1"/>
        <v>10.904999999999999</v>
      </c>
      <c r="G62" s="202" t="s">
        <v>859</v>
      </c>
      <c r="H62" s="183"/>
      <c r="I62" s="184"/>
      <c r="J62" s="184"/>
      <c r="K62" s="18"/>
      <c r="Q62"/>
    </row>
    <row r="63" spans="1:17">
      <c r="A63" s="507"/>
      <c r="B63" s="207">
        <v>1</v>
      </c>
      <c r="C63" s="207">
        <v>2.0099999999999998</v>
      </c>
      <c r="D63" s="207">
        <f t="shared" si="0"/>
        <v>1.0099999999999998</v>
      </c>
      <c r="E63" s="195">
        <f>SUM($D$2:D63)/SUM($B$2:B63)</f>
        <v>0.1921774193548387</v>
      </c>
      <c r="F63" s="162">
        <f t="shared" si="1"/>
        <v>11.914999999999999</v>
      </c>
      <c r="G63" s="277" t="s">
        <v>860</v>
      </c>
      <c r="H63" s="183"/>
      <c r="I63" s="184"/>
      <c r="J63" s="184"/>
      <c r="K63" s="18"/>
      <c r="Q63"/>
    </row>
    <row r="64" spans="1:17">
      <c r="A64" s="507"/>
      <c r="B64" s="205">
        <v>1</v>
      </c>
      <c r="C64" s="205">
        <v>1.87</v>
      </c>
      <c r="D64" s="205">
        <f t="shared" si="0"/>
        <v>0.87000000000000011</v>
      </c>
      <c r="E64" s="154">
        <f>SUM($D$2:D64)/SUM($B$2:B64)</f>
        <v>0.20293650793650794</v>
      </c>
      <c r="F64" s="150">
        <f t="shared" si="1"/>
        <v>12.785</v>
      </c>
      <c r="G64" s="201" t="s">
        <v>861</v>
      </c>
      <c r="H64" s="183"/>
      <c r="I64" s="184"/>
      <c r="J64" s="184"/>
      <c r="K64" s="18"/>
      <c r="Q64"/>
    </row>
    <row r="65" spans="1:17">
      <c r="A65" s="507"/>
      <c r="B65" s="205">
        <v>1</v>
      </c>
      <c r="C65" s="205"/>
      <c r="D65" s="205">
        <f t="shared" si="0"/>
        <v>-1</v>
      </c>
      <c r="E65" s="154">
        <f>SUM($D$2:D65)/SUM($B$2:B65)</f>
        <v>0.184140625</v>
      </c>
      <c r="F65" s="150">
        <f t="shared" si="1"/>
        <v>11.785</v>
      </c>
      <c r="G65" s="201" t="s">
        <v>852</v>
      </c>
      <c r="H65" s="183"/>
      <c r="I65" s="184"/>
      <c r="J65" s="184"/>
      <c r="K65" s="18"/>
      <c r="Q65"/>
    </row>
    <row r="66" spans="1:17">
      <c r="A66" s="507"/>
      <c r="B66" s="205">
        <v>1</v>
      </c>
      <c r="C66" s="205">
        <v>1.93</v>
      </c>
      <c r="D66" s="205">
        <f t="shared" si="0"/>
        <v>0.92999999999999994</v>
      </c>
      <c r="E66" s="154">
        <f>SUM($D$2:D66)/SUM($B$2:B66)</f>
        <v>0.19561538461538461</v>
      </c>
      <c r="F66" s="150">
        <f t="shared" si="1"/>
        <v>12.715</v>
      </c>
      <c r="G66" s="201" t="s">
        <v>862</v>
      </c>
      <c r="H66" s="183"/>
      <c r="I66" s="184"/>
      <c r="J66" s="184"/>
      <c r="K66" s="18"/>
      <c r="Q66"/>
    </row>
    <row r="67" spans="1:17">
      <c r="A67" s="507"/>
      <c r="B67" s="205">
        <v>1</v>
      </c>
      <c r="C67" s="205"/>
      <c r="D67" s="205">
        <f t="shared" ref="D67:D119" si="2">(B67*C67)-B67</f>
        <v>-1</v>
      </c>
      <c r="E67" s="154">
        <f>SUM($D$2:D67)/SUM($B$2:B67)</f>
        <v>0.17749999999999999</v>
      </c>
      <c r="F67" s="150">
        <f t="shared" si="1"/>
        <v>11.715</v>
      </c>
      <c r="G67" s="201" t="s">
        <v>863</v>
      </c>
      <c r="H67" s="183"/>
      <c r="I67" s="184"/>
      <c r="J67" s="184"/>
      <c r="K67" s="18"/>
      <c r="Q67"/>
    </row>
    <row r="68" spans="1:17" ht="15.75" thickBot="1">
      <c r="A68" s="514"/>
      <c r="B68" s="206">
        <v>1</v>
      </c>
      <c r="C68" s="206">
        <v>1.87</v>
      </c>
      <c r="D68" s="206">
        <f t="shared" si="2"/>
        <v>0.87000000000000011</v>
      </c>
      <c r="E68" s="193">
        <f>SUM($D$2:D68)/SUM($B$2:B68)</f>
        <v>0.18783582089552239</v>
      </c>
      <c r="F68" s="163">
        <f t="shared" ref="F68:F119" si="3">F67+D68</f>
        <v>12.585000000000001</v>
      </c>
      <c r="G68" s="202" t="s">
        <v>856</v>
      </c>
      <c r="H68" s="183"/>
      <c r="I68" s="184"/>
      <c r="J68" s="184"/>
      <c r="K68" s="18"/>
      <c r="Q68"/>
    </row>
    <row r="69" spans="1:17">
      <c r="A69" s="506">
        <v>45918</v>
      </c>
      <c r="B69" s="204">
        <v>1</v>
      </c>
      <c r="C69" s="204"/>
      <c r="D69" s="204">
        <f t="shared" si="2"/>
        <v>-1</v>
      </c>
      <c r="E69" s="191">
        <f>SUM($D$2:D69)/SUM($B$2:B69)</f>
        <v>0.17036764705882354</v>
      </c>
      <c r="F69" s="161">
        <f t="shared" si="3"/>
        <v>11.585000000000001</v>
      </c>
      <c r="G69" s="201" t="s">
        <v>854</v>
      </c>
      <c r="H69" s="183"/>
      <c r="I69" s="184"/>
      <c r="J69" s="184"/>
      <c r="K69" s="18"/>
      <c r="Q69"/>
    </row>
    <row r="70" spans="1:17">
      <c r="A70" s="507"/>
      <c r="B70" s="205">
        <v>1</v>
      </c>
      <c r="C70" s="205">
        <v>1.87</v>
      </c>
      <c r="D70" s="205">
        <f t="shared" si="2"/>
        <v>0.87000000000000011</v>
      </c>
      <c r="E70" s="154">
        <f>SUM($D$2:D70)/SUM($B$2:B70)</f>
        <v>0.18050724637681162</v>
      </c>
      <c r="F70" s="150">
        <f t="shared" si="3"/>
        <v>12.455000000000002</v>
      </c>
      <c r="G70" s="201" t="s">
        <v>864</v>
      </c>
      <c r="H70" s="183"/>
      <c r="I70" s="184"/>
      <c r="J70" s="184"/>
      <c r="K70" s="18"/>
      <c r="Q70"/>
    </row>
    <row r="71" spans="1:17">
      <c r="A71" s="507"/>
      <c r="B71" s="205">
        <v>1</v>
      </c>
      <c r="C71" s="205">
        <v>1.9</v>
      </c>
      <c r="D71" s="205">
        <f t="shared" si="2"/>
        <v>0.89999999999999991</v>
      </c>
      <c r="E71" s="154">
        <f>SUM($D$2:D71)/SUM($B$2:B71)</f>
        <v>0.19078571428571431</v>
      </c>
      <c r="F71" s="150">
        <f t="shared" si="3"/>
        <v>13.355000000000002</v>
      </c>
      <c r="G71" s="201" t="s">
        <v>865</v>
      </c>
      <c r="H71" s="183"/>
      <c r="I71" s="184"/>
      <c r="J71" s="184"/>
      <c r="K71" s="18"/>
      <c r="Q71"/>
    </row>
    <row r="72" spans="1:17">
      <c r="A72" s="507"/>
      <c r="B72" s="205">
        <v>1</v>
      </c>
      <c r="C72" s="205"/>
      <c r="D72" s="205">
        <f t="shared" si="2"/>
        <v>-1</v>
      </c>
      <c r="E72" s="154">
        <f>SUM($D$2:D72)/SUM($B$2:B72)</f>
        <v>0.17401408450704228</v>
      </c>
      <c r="F72" s="150">
        <f t="shared" si="3"/>
        <v>12.355000000000002</v>
      </c>
      <c r="G72" s="201" t="s">
        <v>866</v>
      </c>
      <c r="H72" s="183"/>
      <c r="I72" s="184"/>
      <c r="J72" s="184"/>
      <c r="K72" s="18"/>
      <c r="Q72"/>
    </row>
    <row r="73" spans="1:17">
      <c r="A73" s="507"/>
      <c r="B73" s="205">
        <v>1</v>
      </c>
      <c r="C73" s="205"/>
      <c r="D73" s="205">
        <f t="shared" si="2"/>
        <v>-1</v>
      </c>
      <c r="E73" s="154">
        <f>SUM($D$2:D73)/SUM($B$2:B73)</f>
        <v>0.15770833333333337</v>
      </c>
      <c r="F73" s="150">
        <f t="shared" si="3"/>
        <v>11.355000000000002</v>
      </c>
      <c r="G73" s="201" t="s">
        <v>867</v>
      </c>
      <c r="H73" s="183"/>
      <c r="I73" s="184"/>
      <c r="J73" s="184"/>
      <c r="K73" s="18"/>
      <c r="Q73"/>
    </row>
    <row r="74" spans="1:17" ht="15.75" thickBot="1">
      <c r="A74" s="514"/>
      <c r="B74" s="206">
        <v>1</v>
      </c>
      <c r="C74" s="206"/>
      <c r="D74" s="206">
        <f t="shared" si="2"/>
        <v>-1</v>
      </c>
      <c r="E74" s="193">
        <f>SUM($D$2:D74)/SUM($B$2:B74)</f>
        <v>0.14184931506849319</v>
      </c>
      <c r="F74" s="163">
        <f t="shared" si="3"/>
        <v>10.355000000000002</v>
      </c>
      <c r="G74" s="202" t="s">
        <v>868</v>
      </c>
      <c r="H74" s="183"/>
      <c r="I74" s="184"/>
      <c r="J74" s="184"/>
      <c r="K74" s="18"/>
      <c r="Q74"/>
    </row>
    <row r="75" spans="1:17">
      <c r="A75" s="506">
        <v>45919</v>
      </c>
      <c r="B75" s="204">
        <v>1</v>
      </c>
      <c r="C75" s="204">
        <v>2.0099999999999998</v>
      </c>
      <c r="D75" s="204">
        <f t="shared" si="2"/>
        <v>1.0099999999999998</v>
      </c>
      <c r="E75" s="191">
        <f>SUM($D$2:D75)/SUM($B$2:B75)</f>
        <v>0.15358108108108109</v>
      </c>
      <c r="F75" s="161">
        <f t="shared" si="3"/>
        <v>11.365000000000002</v>
      </c>
      <c r="G75" s="201" t="s">
        <v>869</v>
      </c>
      <c r="H75" s="183"/>
      <c r="I75" s="184"/>
      <c r="J75" s="184"/>
      <c r="K75" s="18"/>
      <c r="Q75"/>
    </row>
    <row r="76" spans="1:17">
      <c r="A76" s="507"/>
      <c r="B76" s="205">
        <v>1</v>
      </c>
      <c r="C76" s="205">
        <v>1.615</v>
      </c>
      <c r="D76" s="205">
        <f t="shared" si="2"/>
        <v>0.61499999999999999</v>
      </c>
      <c r="E76" s="154">
        <f>SUM($D$2:D76)/SUM($B$2:B76)</f>
        <v>0.15973333333333337</v>
      </c>
      <c r="F76" s="150">
        <f t="shared" si="3"/>
        <v>11.980000000000002</v>
      </c>
      <c r="G76" s="201" t="s">
        <v>870</v>
      </c>
      <c r="H76" s="183"/>
      <c r="I76" s="184"/>
      <c r="J76" s="184"/>
      <c r="K76" s="18"/>
      <c r="Q76"/>
    </row>
    <row r="77" spans="1:17">
      <c r="A77" s="507"/>
      <c r="B77" s="205">
        <v>1</v>
      </c>
      <c r="C77" s="205">
        <v>1.92</v>
      </c>
      <c r="D77" s="205">
        <f t="shared" si="2"/>
        <v>0.91999999999999993</v>
      </c>
      <c r="E77" s="154">
        <f>SUM($D$2:D77)/SUM($B$2:B77)</f>
        <v>0.16973684210526319</v>
      </c>
      <c r="F77" s="150">
        <f t="shared" si="3"/>
        <v>12.900000000000002</v>
      </c>
      <c r="G77" s="201" t="s">
        <v>867</v>
      </c>
      <c r="H77" s="183"/>
      <c r="I77" s="184"/>
      <c r="J77" s="184"/>
      <c r="K77" s="18"/>
      <c r="Q77"/>
    </row>
    <row r="78" spans="1:17">
      <c r="A78" s="507"/>
      <c r="B78" s="205">
        <v>1</v>
      </c>
      <c r="C78" s="205">
        <v>1.84</v>
      </c>
      <c r="D78" s="205">
        <f t="shared" si="2"/>
        <v>0.84000000000000008</v>
      </c>
      <c r="E78" s="154">
        <f>SUM($D$2:D78)/SUM($B$2:B78)</f>
        <v>0.17844155844155846</v>
      </c>
      <c r="F78" s="150">
        <f t="shared" si="3"/>
        <v>13.740000000000002</v>
      </c>
      <c r="G78" s="201" t="s">
        <v>871</v>
      </c>
      <c r="H78" s="183"/>
      <c r="I78" s="184"/>
      <c r="J78" s="184"/>
      <c r="K78" s="18"/>
      <c r="Q78"/>
    </row>
    <row r="79" spans="1:17">
      <c r="A79" s="507"/>
      <c r="B79" s="205">
        <v>1</v>
      </c>
      <c r="C79" s="205">
        <v>1.909</v>
      </c>
      <c r="D79" s="205">
        <f t="shared" si="2"/>
        <v>0.90900000000000003</v>
      </c>
      <c r="E79" s="154">
        <f>SUM($D$2:D79)/SUM($B$2:B79)</f>
        <v>0.18780769230769234</v>
      </c>
      <c r="F79" s="150">
        <f t="shared" si="3"/>
        <v>14.649000000000003</v>
      </c>
      <c r="G79" s="201" t="s">
        <v>872</v>
      </c>
      <c r="H79" s="183"/>
      <c r="I79" s="184"/>
      <c r="J79" s="184"/>
      <c r="K79" s="18"/>
      <c r="Q79"/>
    </row>
    <row r="80" spans="1:17">
      <c r="A80" s="507"/>
      <c r="B80" s="205">
        <v>1</v>
      </c>
      <c r="C80" s="205">
        <v>1.98</v>
      </c>
      <c r="D80" s="205">
        <f t="shared" si="2"/>
        <v>0.98</v>
      </c>
      <c r="E80" s="154">
        <f>SUM($D$2:D80)/SUM($B$2:B80)</f>
        <v>0.19783544303797473</v>
      </c>
      <c r="F80" s="150">
        <f t="shared" si="3"/>
        <v>15.629000000000003</v>
      </c>
      <c r="G80" s="201" t="s">
        <v>873</v>
      </c>
      <c r="H80" s="183"/>
      <c r="I80" s="184"/>
      <c r="J80" s="184"/>
      <c r="K80" s="18"/>
      <c r="Q80"/>
    </row>
    <row r="81" spans="1:17">
      <c r="A81" s="507"/>
      <c r="B81" s="205">
        <v>1</v>
      </c>
      <c r="C81" s="205">
        <v>1.909</v>
      </c>
      <c r="D81" s="205">
        <f t="shared" si="2"/>
        <v>0.90900000000000003</v>
      </c>
      <c r="E81" s="154">
        <f>SUM($D$2:D81)/SUM($B$2:B81)</f>
        <v>0.20672500000000005</v>
      </c>
      <c r="F81" s="150">
        <f t="shared" si="3"/>
        <v>16.538000000000004</v>
      </c>
      <c r="G81" s="201" t="s">
        <v>868</v>
      </c>
      <c r="H81" s="183"/>
      <c r="I81" s="184"/>
      <c r="J81" s="184"/>
      <c r="K81" s="18"/>
      <c r="Q81"/>
    </row>
    <row r="82" spans="1:17">
      <c r="A82" s="507"/>
      <c r="B82" s="205">
        <v>1</v>
      </c>
      <c r="C82" s="205">
        <v>2.06</v>
      </c>
      <c r="D82" s="205">
        <f t="shared" si="2"/>
        <v>1.06</v>
      </c>
      <c r="E82" s="154">
        <f>SUM($D$2:D82)/SUM($B$2:B82)</f>
        <v>0.21725925925925929</v>
      </c>
      <c r="F82" s="150">
        <f t="shared" si="3"/>
        <v>17.598000000000003</v>
      </c>
      <c r="G82" s="201" t="s">
        <v>874</v>
      </c>
      <c r="H82" s="183"/>
      <c r="I82" s="184"/>
      <c r="J82" s="184"/>
      <c r="K82" s="18"/>
      <c r="Q82"/>
    </row>
    <row r="83" spans="1:17">
      <c r="A83" s="507"/>
      <c r="B83" s="205">
        <v>1</v>
      </c>
      <c r="C83" s="205"/>
      <c r="D83" s="205">
        <f t="shared" si="2"/>
        <v>-1</v>
      </c>
      <c r="E83" s="154">
        <f>SUM($D$2:D83)/SUM($B$2:B83)</f>
        <v>0.2024146341463415</v>
      </c>
      <c r="F83" s="150">
        <f t="shared" si="3"/>
        <v>16.598000000000003</v>
      </c>
      <c r="G83" s="201" t="s">
        <v>865</v>
      </c>
      <c r="H83" s="183"/>
      <c r="I83" s="184"/>
      <c r="J83" s="184"/>
      <c r="K83" s="18"/>
      <c r="Q83"/>
    </row>
    <row r="84" spans="1:17" ht="15.75" thickBot="1">
      <c r="A84" s="514"/>
      <c r="B84" s="206">
        <v>1</v>
      </c>
      <c r="C84" s="206">
        <v>2.13</v>
      </c>
      <c r="D84" s="206">
        <f t="shared" si="2"/>
        <v>1.1299999999999999</v>
      </c>
      <c r="E84" s="193">
        <f>SUM($D$2:D84)/SUM($B$2:B84)</f>
        <v>0.21359036144578314</v>
      </c>
      <c r="F84" s="163">
        <f t="shared" si="3"/>
        <v>17.728000000000002</v>
      </c>
      <c r="G84" s="202" t="s">
        <v>875</v>
      </c>
      <c r="H84" s="183"/>
      <c r="I84" s="184"/>
      <c r="J84" s="184"/>
      <c r="K84" s="18"/>
      <c r="Q84"/>
    </row>
    <row r="85" spans="1:17">
      <c r="A85" s="506">
        <v>45920</v>
      </c>
      <c r="B85" s="205">
        <v>1</v>
      </c>
      <c r="C85" s="205">
        <v>1.93</v>
      </c>
      <c r="D85" s="205">
        <f t="shared" si="2"/>
        <v>0.92999999999999994</v>
      </c>
      <c r="E85" s="154">
        <f>SUM($D$2:D85)/SUM($B$2:B85)</f>
        <v>0.22211904761904763</v>
      </c>
      <c r="F85" s="150">
        <f t="shared" si="3"/>
        <v>18.658000000000001</v>
      </c>
      <c r="G85" s="201" t="s">
        <v>873</v>
      </c>
      <c r="H85" s="183"/>
      <c r="I85" s="184"/>
      <c r="J85" s="184"/>
      <c r="K85" s="18"/>
      <c r="Q85"/>
    </row>
    <row r="86" spans="1:17">
      <c r="A86" s="507"/>
      <c r="B86" s="205">
        <v>1</v>
      </c>
      <c r="C86" s="205">
        <v>1.88</v>
      </c>
      <c r="D86" s="205">
        <f t="shared" si="2"/>
        <v>0.87999999999999989</v>
      </c>
      <c r="E86" s="154">
        <f>SUM($D$2:D86)/SUM($B$2:B86)</f>
        <v>0.22985882352941175</v>
      </c>
      <c r="F86" s="150">
        <f t="shared" si="3"/>
        <v>19.538</v>
      </c>
      <c r="G86" s="201" t="s">
        <v>865</v>
      </c>
      <c r="H86" s="183"/>
      <c r="I86" s="184"/>
      <c r="J86" s="184"/>
      <c r="K86" s="18"/>
      <c r="Q86"/>
    </row>
    <row r="87" spans="1:17">
      <c r="A87" s="507"/>
      <c r="B87" s="205">
        <v>1</v>
      </c>
      <c r="C87" s="205">
        <v>1.87</v>
      </c>
      <c r="D87" s="205">
        <f t="shared" si="2"/>
        <v>0.87000000000000011</v>
      </c>
      <c r="E87" s="154">
        <f>SUM($D$2:D87)/SUM($B$2:B87)</f>
        <v>0.23730232558139536</v>
      </c>
      <c r="F87" s="150">
        <f t="shared" si="3"/>
        <v>20.408000000000001</v>
      </c>
      <c r="G87" s="201" t="s">
        <v>871</v>
      </c>
      <c r="H87" s="183"/>
      <c r="I87" s="184"/>
      <c r="J87" s="184"/>
      <c r="K87" s="18"/>
      <c r="Q87"/>
    </row>
    <row r="88" spans="1:17">
      <c r="A88" s="507"/>
      <c r="B88" s="205">
        <v>1</v>
      </c>
      <c r="C88" s="205">
        <v>1.87</v>
      </c>
      <c r="D88" s="205">
        <f t="shared" si="2"/>
        <v>0.87000000000000011</v>
      </c>
      <c r="E88" s="154">
        <f>SUM($D$2:D88)/SUM($B$2:B88)</f>
        <v>0.24457471264367819</v>
      </c>
      <c r="F88" s="150">
        <f t="shared" si="3"/>
        <v>21.278000000000002</v>
      </c>
      <c r="G88" s="201" t="s">
        <v>868</v>
      </c>
      <c r="H88" s="183"/>
      <c r="I88" s="184"/>
      <c r="J88" s="184"/>
      <c r="K88" s="18"/>
      <c r="Q88"/>
    </row>
    <row r="89" spans="1:17">
      <c r="A89" s="507"/>
      <c r="B89" s="205">
        <v>1</v>
      </c>
      <c r="C89" s="205"/>
      <c r="D89" s="205">
        <f t="shared" si="2"/>
        <v>-1</v>
      </c>
      <c r="E89" s="154">
        <f>SUM($D$2:D89)/SUM($B$2:B89)</f>
        <v>0.23043181818181821</v>
      </c>
      <c r="F89" s="150">
        <f t="shared" si="3"/>
        <v>20.278000000000002</v>
      </c>
      <c r="G89" s="201" t="s">
        <v>876</v>
      </c>
      <c r="H89" s="183"/>
      <c r="I89" s="184"/>
      <c r="J89" s="184"/>
      <c r="K89" s="18"/>
      <c r="Q89"/>
    </row>
    <row r="90" spans="1:17">
      <c r="A90" s="507"/>
      <c r="B90" s="205">
        <v>1</v>
      </c>
      <c r="C90" s="205"/>
      <c r="D90" s="205">
        <f t="shared" si="2"/>
        <v>-1</v>
      </c>
      <c r="E90" s="154">
        <f>SUM($D$2:D90)/SUM($B$2:B90)</f>
        <v>0.21660674157303372</v>
      </c>
      <c r="F90" s="150">
        <f t="shared" si="3"/>
        <v>19.278000000000002</v>
      </c>
      <c r="G90" s="201" t="s">
        <v>867</v>
      </c>
      <c r="H90" s="183"/>
      <c r="I90" s="184"/>
      <c r="J90" s="184"/>
      <c r="K90" s="18"/>
      <c r="Q90"/>
    </row>
    <row r="91" spans="1:17">
      <c r="A91" s="507"/>
      <c r="B91" s="205">
        <v>1</v>
      </c>
      <c r="C91" s="205"/>
      <c r="D91" s="205">
        <f t="shared" si="2"/>
        <v>-1</v>
      </c>
      <c r="E91" s="154">
        <f>SUM($D$2:D91)/SUM($B$2:B91)</f>
        <v>0.2030888888888889</v>
      </c>
      <c r="F91" s="150">
        <f t="shared" si="3"/>
        <v>18.278000000000002</v>
      </c>
      <c r="G91" s="201" t="s">
        <v>872</v>
      </c>
      <c r="H91" s="183"/>
      <c r="I91" s="184"/>
      <c r="J91" s="184"/>
      <c r="K91" s="18"/>
      <c r="Q91"/>
    </row>
    <row r="92" spans="1:17" ht="15.75" thickBot="1">
      <c r="A92" s="514"/>
      <c r="B92" s="206">
        <v>1</v>
      </c>
      <c r="C92" s="206">
        <v>2</v>
      </c>
      <c r="D92" s="206">
        <f t="shared" si="2"/>
        <v>1</v>
      </c>
      <c r="E92" s="193">
        <f>SUM($D$2:D92)/SUM($B$2:B92)</f>
        <v>0.21184615384615388</v>
      </c>
      <c r="F92" s="163">
        <f t="shared" si="3"/>
        <v>19.278000000000002</v>
      </c>
      <c r="G92" s="202" t="s">
        <v>874</v>
      </c>
      <c r="H92" s="183"/>
      <c r="I92" s="184"/>
      <c r="J92" s="184"/>
      <c r="K92" s="18"/>
      <c r="Q92"/>
    </row>
    <row r="93" spans="1:17">
      <c r="A93" s="506">
        <v>45921</v>
      </c>
      <c r="B93" s="165">
        <v>1</v>
      </c>
      <c r="C93" s="204"/>
      <c r="D93" s="204">
        <f t="shared" si="2"/>
        <v>-1</v>
      </c>
      <c r="E93" s="182">
        <f>SUM($D$2:D93)/SUM($B$2:B93)</f>
        <v>0.19867391304347828</v>
      </c>
      <c r="F93" s="161">
        <f t="shared" si="3"/>
        <v>18.278000000000002</v>
      </c>
      <c r="G93" s="200" t="s">
        <v>877</v>
      </c>
      <c r="H93" s="183"/>
      <c r="I93" s="184"/>
      <c r="J93" s="184"/>
      <c r="K93" s="18"/>
      <c r="Q93"/>
    </row>
    <row r="94" spans="1:17" ht="15.75" thickBot="1">
      <c r="A94" s="507"/>
      <c r="B94" s="232">
        <v>1</v>
      </c>
      <c r="C94" s="233"/>
      <c r="D94" s="233">
        <f t="shared" si="2"/>
        <v>-1</v>
      </c>
      <c r="E94" s="251">
        <f>SUM($D$2:D94)/SUM($B$2:B94)</f>
        <v>0.18578494623655917</v>
      </c>
      <c r="F94" s="234">
        <f t="shared" si="3"/>
        <v>17.278000000000002</v>
      </c>
      <c r="G94" s="252" t="s">
        <v>878</v>
      </c>
      <c r="H94" s="183"/>
      <c r="I94" s="184"/>
      <c r="J94" s="184"/>
      <c r="K94" s="18"/>
      <c r="Q94"/>
    </row>
    <row r="95" spans="1:17">
      <c r="A95" s="513"/>
      <c r="B95" s="165">
        <v>1</v>
      </c>
      <c r="C95" s="204"/>
      <c r="D95" s="204">
        <f t="shared" si="2"/>
        <v>-1</v>
      </c>
      <c r="E95" s="191">
        <f>SUM($D$2:D95)/SUM($B$2:B95)</f>
        <v>0.17317021276595748</v>
      </c>
      <c r="F95" s="161">
        <f t="shared" si="3"/>
        <v>16.278000000000002</v>
      </c>
      <c r="G95" s="200" t="s">
        <v>865</v>
      </c>
      <c r="H95" s="183"/>
      <c r="I95" s="184"/>
      <c r="J95" s="184"/>
      <c r="K95" s="18"/>
      <c r="Q95"/>
    </row>
    <row r="96" spans="1:17">
      <c r="A96" s="513"/>
      <c r="B96" s="167">
        <v>1</v>
      </c>
      <c r="C96" s="205"/>
      <c r="D96" s="205">
        <f t="shared" si="2"/>
        <v>-1</v>
      </c>
      <c r="E96" s="154">
        <f>SUM($D$2:D96)/SUM($B$2:B96)</f>
        <v>0.16082105263157898</v>
      </c>
      <c r="F96" s="150">
        <f t="shared" si="3"/>
        <v>15.278000000000002</v>
      </c>
      <c r="G96" s="201" t="s">
        <v>879</v>
      </c>
      <c r="H96" s="183"/>
      <c r="I96" s="184"/>
      <c r="J96" s="184"/>
      <c r="K96" s="18"/>
      <c r="Q96"/>
    </row>
    <row r="97" spans="1:17">
      <c r="A97" s="513"/>
      <c r="B97" s="167">
        <v>1</v>
      </c>
      <c r="C97" s="205"/>
      <c r="D97" s="205">
        <f t="shared" si="2"/>
        <v>-1</v>
      </c>
      <c r="E97" s="154">
        <f>SUM($D$2:D97)/SUM($B$2:B97)</f>
        <v>0.14872916666666669</v>
      </c>
      <c r="F97" s="150">
        <f t="shared" si="3"/>
        <v>14.278000000000002</v>
      </c>
      <c r="G97" s="201" t="s">
        <v>873</v>
      </c>
      <c r="H97" s="183"/>
      <c r="I97" s="184"/>
      <c r="J97" s="184"/>
      <c r="K97" s="18"/>
      <c r="Q97"/>
    </row>
    <row r="98" spans="1:17">
      <c r="A98" s="513"/>
      <c r="B98" s="167">
        <v>1</v>
      </c>
      <c r="C98" s="205">
        <v>1.87</v>
      </c>
      <c r="D98" s="205">
        <f t="shared" si="2"/>
        <v>0.87000000000000011</v>
      </c>
      <c r="E98" s="154">
        <f>SUM($D$2:D98)/SUM($B$2:B98)</f>
        <v>0.15616494845360829</v>
      </c>
      <c r="F98" s="150">
        <f t="shared" si="3"/>
        <v>15.148000000000003</v>
      </c>
      <c r="G98" s="201" t="s">
        <v>871</v>
      </c>
      <c r="H98" s="183"/>
      <c r="I98" s="184"/>
      <c r="J98" s="184"/>
      <c r="K98" s="18"/>
      <c r="Q98"/>
    </row>
    <row r="99" spans="1:17" ht="15.75" thickBot="1">
      <c r="A99" s="513"/>
      <c r="B99" s="168">
        <v>1</v>
      </c>
      <c r="C99" s="153">
        <v>1.64</v>
      </c>
      <c r="D99" s="153">
        <f t="shared" si="2"/>
        <v>0.6399999999999999</v>
      </c>
      <c r="E99" s="190">
        <f>SUM($D$2:D99)/SUM($B$2:B99)</f>
        <v>0.16110204081632656</v>
      </c>
      <c r="F99" s="151">
        <f t="shared" si="3"/>
        <v>15.788000000000004</v>
      </c>
      <c r="G99" s="209" t="s">
        <v>870</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880</v>
      </c>
      <c r="H100" s="183"/>
      <c r="I100" s="184"/>
      <c r="J100" s="184"/>
      <c r="K100" s="18"/>
      <c r="Q100"/>
    </row>
    <row r="101" spans="1:17">
      <c r="A101" s="512">
        <v>45923</v>
      </c>
      <c r="B101" s="165">
        <v>1</v>
      </c>
      <c r="C101" s="204">
        <v>2.81</v>
      </c>
      <c r="D101" s="204">
        <f t="shared" si="2"/>
        <v>1.81</v>
      </c>
      <c r="E101" s="191">
        <f>SUM($D$2:D101)/SUM($B$2:B101)</f>
        <v>0.18578000000000003</v>
      </c>
      <c r="F101" s="161">
        <f t="shared" si="3"/>
        <v>18.578000000000003</v>
      </c>
      <c r="G101" s="200" t="s">
        <v>837</v>
      </c>
      <c r="H101" s="183"/>
      <c r="I101" s="184"/>
      <c r="J101" s="184"/>
      <c r="K101" s="18"/>
      <c r="Q101"/>
    </row>
    <row r="102" spans="1:17" ht="15.75" thickBot="1">
      <c r="A102" s="513"/>
      <c r="B102" s="170">
        <v>1</v>
      </c>
      <c r="C102" s="206">
        <v>2.85</v>
      </c>
      <c r="D102" s="206">
        <f t="shared" si="2"/>
        <v>1.85</v>
      </c>
      <c r="E102" s="193">
        <f>SUM($D$2:D102)/SUM($B$2:B102)</f>
        <v>0.2022574257425743</v>
      </c>
      <c r="F102" s="163">
        <f t="shared" si="3"/>
        <v>20.428000000000004</v>
      </c>
      <c r="G102" s="202" t="s">
        <v>881</v>
      </c>
      <c r="H102" s="183"/>
      <c r="I102" s="184"/>
      <c r="J102" s="184"/>
      <c r="K102" s="18"/>
      <c r="Q102"/>
    </row>
    <row r="103" spans="1:17">
      <c r="A103" s="513"/>
      <c r="B103" s="167">
        <v>1</v>
      </c>
      <c r="C103" s="205">
        <v>1.75</v>
      </c>
      <c r="D103" s="205">
        <f t="shared" si="2"/>
        <v>0.75</v>
      </c>
      <c r="E103" s="154">
        <f>SUM($D$2:D103)/SUM($B$2:B103)</f>
        <v>0.2076274509803922</v>
      </c>
      <c r="F103" s="150">
        <f t="shared" si="3"/>
        <v>21.178000000000004</v>
      </c>
      <c r="G103" s="201" t="s">
        <v>882</v>
      </c>
      <c r="H103" s="183"/>
      <c r="I103" s="184"/>
      <c r="J103" s="184"/>
      <c r="K103" s="18"/>
      <c r="Q103"/>
    </row>
    <row r="104" spans="1:17">
      <c r="A104" s="513"/>
      <c r="B104" s="167">
        <v>1</v>
      </c>
      <c r="C104" s="205"/>
      <c r="D104" s="205">
        <f t="shared" si="2"/>
        <v>-1</v>
      </c>
      <c r="E104" s="154">
        <f>SUM($D$2:D104)/SUM($B$2:B104)</f>
        <v>0.19590291262135925</v>
      </c>
      <c r="F104" s="150">
        <f t="shared" si="3"/>
        <v>20.178000000000004</v>
      </c>
      <c r="G104" s="201" t="s">
        <v>883</v>
      </c>
      <c r="H104" s="183"/>
      <c r="I104" s="184"/>
      <c r="J104" s="184"/>
      <c r="K104" s="18"/>
      <c r="Q104"/>
    </row>
    <row r="105" spans="1:17">
      <c r="A105" s="513"/>
      <c r="B105" s="167">
        <v>1</v>
      </c>
      <c r="C105" s="205">
        <v>1.95</v>
      </c>
      <c r="D105" s="205">
        <f t="shared" si="2"/>
        <v>0.95</v>
      </c>
      <c r="E105" s="154">
        <f>SUM($D$2:D105)/SUM($B$2:B105)</f>
        <v>0.20315384615384618</v>
      </c>
      <c r="F105" s="150">
        <f t="shared" si="3"/>
        <v>21.128000000000004</v>
      </c>
      <c r="G105" s="201" t="s">
        <v>884</v>
      </c>
      <c r="H105" s="183"/>
      <c r="I105" s="184"/>
      <c r="J105" s="184"/>
      <c r="K105" s="18"/>
      <c r="Q105"/>
    </row>
    <row r="106" spans="1:17">
      <c r="A106" s="513"/>
      <c r="B106" s="167">
        <v>1</v>
      </c>
      <c r="C106" s="205"/>
      <c r="D106" s="205">
        <f t="shared" si="2"/>
        <v>-1</v>
      </c>
      <c r="E106" s="154">
        <f>SUM($D$2:D106)/SUM($B$2:B106)</f>
        <v>0.19169523809523814</v>
      </c>
      <c r="F106" s="150">
        <f t="shared" si="3"/>
        <v>20.128000000000004</v>
      </c>
      <c r="G106" s="274" t="s">
        <v>885</v>
      </c>
      <c r="H106" s="183"/>
      <c r="I106" s="184"/>
      <c r="J106" s="184"/>
      <c r="K106" s="18"/>
      <c r="Q106"/>
    </row>
    <row r="107" spans="1:17">
      <c r="A107" s="513"/>
      <c r="B107" s="167">
        <v>1</v>
      </c>
      <c r="C107" s="205"/>
      <c r="D107" s="205">
        <f t="shared" si="2"/>
        <v>-1</v>
      </c>
      <c r="E107" s="154">
        <f>SUM($D$2:D107)/SUM($B$2:B107)</f>
        <v>0.18045283018867928</v>
      </c>
      <c r="F107" s="150">
        <f t="shared" si="3"/>
        <v>19.128000000000004</v>
      </c>
      <c r="G107" s="201" t="s">
        <v>886</v>
      </c>
      <c r="H107" s="183"/>
      <c r="I107" s="184"/>
      <c r="J107" s="184"/>
      <c r="K107" s="18"/>
      <c r="Q107"/>
    </row>
    <row r="108" spans="1:17" ht="15.75" thickBot="1">
      <c r="A108" s="526"/>
      <c r="B108" s="168">
        <v>1</v>
      </c>
      <c r="C108" s="153"/>
      <c r="D108" s="153">
        <f t="shared" si="2"/>
        <v>-1</v>
      </c>
      <c r="E108" s="190">
        <f>SUM($D$2:D108)/SUM($B$2:B108)</f>
        <v>0.1694205607476636</v>
      </c>
      <c r="F108" s="151">
        <f t="shared" si="3"/>
        <v>18.128000000000004</v>
      </c>
      <c r="G108" s="209" t="s">
        <v>887</v>
      </c>
      <c r="H108" s="183"/>
      <c r="I108" s="184"/>
      <c r="J108" s="184"/>
      <c r="K108" s="18"/>
      <c r="Q108"/>
    </row>
    <row r="109" spans="1:17">
      <c r="A109" s="512">
        <v>45924</v>
      </c>
      <c r="B109" s="165">
        <v>1</v>
      </c>
      <c r="C109" s="204"/>
      <c r="D109" s="204">
        <f t="shared" si="2"/>
        <v>-1</v>
      </c>
      <c r="E109" s="191">
        <f>SUM($D$2:D109)/SUM($B$2:B109)</f>
        <v>0.15859259259259262</v>
      </c>
      <c r="F109" s="161">
        <f t="shared" si="3"/>
        <v>17.128000000000004</v>
      </c>
      <c r="G109" s="200" t="s">
        <v>883</v>
      </c>
      <c r="H109" s="183"/>
      <c r="I109" s="184"/>
      <c r="J109" s="184"/>
      <c r="K109" s="18"/>
      <c r="Q109"/>
    </row>
    <row r="110" spans="1:17">
      <c r="A110" s="513"/>
      <c r="B110" s="167">
        <v>1</v>
      </c>
      <c r="C110" s="205">
        <v>1.833</v>
      </c>
      <c r="D110" s="205">
        <f t="shared" si="2"/>
        <v>0.83299999999999996</v>
      </c>
      <c r="E110" s="154">
        <f>SUM($D$2:D110)/SUM($B$2:B110)</f>
        <v>0.16477981651376147</v>
      </c>
      <c r="F110" s="150">
        <f t="shared" si="3"/>
        <v>17.961000000000002</v>
      </c>
      <c r="G110" s="201" t="s">
        <v>888</v>
      </c>
      <c r="H110" s="183"/>
      <c r="I110" s="184"/>
      <c r="J110" s="184"/>
      <c r="K110" s="18"/>
      <c r="Q110"/>
    </row>
    <row r="111" spans="1:17">
      <c r="A111" s="513"/>
      <c r="B111" s="167">
        <v>1</v>
      </c>
      <c r="C111" s="205">
        <v>2</v>
      </c>
      <c r="D111" s="205">
        <f t="shared" si="2"/>
        <v>1</v>
      </c>
      <c r="E111" s="154">
        <f>SUM($D$2:D111)/SUM($B$2:B111)</f>
        <v>0.17237272727272729</v>
      </c>
      <c r="F111" s="150">
        <f t="shared" si="3"/>
        <v>18.961000000000002</v>
      </c>
      <c r="G111" s="201" t="s">
        <v>885</v>
      </c>
      <c r="H111" s="183"/>
      <c r="I111" s="184"/>
      <c r="J111" s="184"/>
      <c r="K111" s="18"/>
      <c r="Q111"/>
    </row>
    <row r="112" spans="1:17">
      <c r="A112" s="513"/>
      <c r="B112" s="167">
        <v>1</v>
      </c>
      <c r="C112" s="205">
        <v>2.06</v>
      </c>
      <c r="D112" s="205">
        <f t="shared" si="2"/>
        <v>1.06</v>
      </c>
      <c r="E112" s="154">
        <f>SUM($D$2:D112)/SUM($B$2:B112)</f>
        <v>0.18036936936936937</v>
      </c>
      <c r="F112" s="150">
        <f t="shared" si="3"/>
        <v>20.021000000000001</v>
      </c>
      <c r="G112" s="201" t="s">
        <v>889</v>
      </c>
      <c r="H112" s="183"/>
      <c r="I112" s="184"/>
      <c r="J112" s="184"/>
      <c r="K112" s="18"/>
      <c r="Q112"/>
    </row>
    <row r="113" spans="1:17" ht="15.75" thickBot="1">
      <c r="A113" s="526"/>
      <c r="B113" s="170">
        <v>1</v>
      </c>
      <c r="C113" s="206"/>
      <c r="D113" s="206">
        <f t="shared" si="2"/>
        <v>-1</v>
      </c>
      <c r="E113" s="193">
        <f>SUM($D$2:D113)/SUM($B$2:B113)</f>
        <v>0.16983035714285716</v>
      </c>
      <c r="F113" s="163">
        <f t="shared" si="3"/>
        <v>19.021000000000001</v>
      </c>
      <c r="G113" s="202" t="s">
        <v>880</v>
      </c>
      <c r="H113" s="183"/>
      <c r="I113" s="184"/>
      <c r="J113" s="184"/>
      <c r="K113" s="18"/>
      <c r="Q113"/>
    </row>
    <row r="114" spans="1:17">
      <c r="A114" s="512">
        <v>45925</v>
      </c>
      <c r="B114" s="165">
        <v>1</v>
      </c>
      <c r="C114" s="204">
        <v>1.88</v>
      </c>
      <c r="D114" s="204">
        <f t="shared" si="2"/>
        <v>0.87999999999999989</v>
      </c>
      <c r="E114" s="191">
        <f>SUM($D$2:D114)/SUM($B$2:B114)</f>
        <v>0.17611504424778762</v>
      </c>
      <c r="F114" s="161">
        <f t="shared" si="3"/>
        <v>19.901</v>
      </c>
      <c r="G114" s="200" t="s">
        <v>883</v>
      </c>
      <c r="H114" s="183"/>
      <c r="I114" s="184"/>
      <c r="J114" s="184"/>
      <c r="K114" s="18"/>
      <c r="Q114"/>
    </row>
    <row r="115" spans="1:17">
      <c r="A115" s="513"/>
      <c r="B115" s="167">
        <v>1</v>
      </c>
      <c r="C115" s="205">
        <v>1.8</v>
      </c>
      <c r="D115" s="205">
        <f t="shared" si="2"/>
        <v>0.8</v>
      </c>
      <c r="E115" s="154">
        <f>SUM($D$2:D115)/SUM($B$2:B115)</f>
        <v>0.18158771929824563</v>
      </c>
      <c r="F115" s="150">
        <f t="shared" si="3"/>
        <v>20.701000000000001</v>
      </c>
      <c r="G115" s="201" t="s">
        <v>882</v>
      </c>
      <c r="H115" s="183"/>
      <c r="I115" s="184"/>
      <c r="J115" s="184"/>
      <c r="K115" s="18"/>
      <c r="Q115"/>
    </row>
    <row r="116" spans="1:17">
      <c r="A116" s="513"/>
      <c r="B116" s="167">
        <v>1</v>
      </c>
      <c r="C116" s="205"/>
      <c r="D116" s="205">
        <f t="shared" si="2"/>
        <v>-1</v>
      </c>
      <c r="E116" s="154">
        <f>SUM($D$2:D116)/SUM($B$2:B116)</f>
        <v>0.17131304347826087</v>
      </c>
      <c r="F116" s="150">
        <f t="shared" si="3"/>
        <v>19.701000000000001</v>
      </c>
      <c r="G116" s="201" t="s">
        <v>885</v>
      </c>
      <c r="H116" s="183"/>
      <c r="I116" s="184"/>
      <c r="J116" s="184"/>
      <c r="K116" s="18"/>
      <c r="Q116"/>
    </row>
    <row r="117" spans="1:17">
      <c r="A117" s="513"/>
      <c r="B117" s="167">
        <v>1</v>
      </c>
      <c r="C117" s="205">
        <v>1.98</v>
      </c>
      <c r="D117" s="205">
        <f t="shared" si="2"/>
        <v>0.98</v>
      </c>
      <c r="E117" s="154">
        <f>SUM($D$2:D117)/SUM($B$2:B117)</f>
        <v>0.17828448275862069</v>
      </c>
      <c r="F117" s="150">
        <f t="shared" si="3"/>
        <v>20.681000000000001</v>
      </c>
      <c r="G117" s="201" t="s">
        <v>890</v>
      </c>
      <c r="H117" s="183"/>
      <c r="I117" s="184"/>
      <c r="J117" s="184"/>
      <c r="K117" s="18"/>
      <c r="Q117"/>
    </row>
    <row r="118" spans="1:17">
      <c r="A118" s="513"/>
      <c r="B118" s="167">
        <v>1</v>
      </c>
      <c r="C118" s="205"/>
      <c r="D118" s="205">
        <f t="shared" si="2"/>
        <v>-1</v>
      </c>
      <c r="E118" s="154">
        <f>SUM($D$2:D118)/SUM($B$2:B118)</f>
        <v>0.16821367521367522</v>
      </c>
      <c r="F118" s="150">
        <f t="shared" si="3"/>
        <v>19.681000000000001</v>
      </c>
      <c r="G118" s="201" t="s">
        <v>891</v>
      </c>
      <c r="H118" s="183"/>
      <c r="I118" s="184"/>
      <c r="J118" s="184"/>
      <c r="K118" s="18"/>
      <c r="Q118"/>
    </row>
    <row r="119" spans="1:17" ht="15.75" thickBot="1">
      <c r="A119" s="513"/>
      <c r="B119" s="170">
        <v>1</v>
      </c>
      <c r="C119" s="206">
        <v>2.0299999999999998</v>
      </c>
      <c r="D119" s="206">
        <f t="shared" si="2"/>
        <v>1.0299999999999998</v>
      </c>
      <c r="E119" s="193">
        <f>SUM($D$2:D119)/SUM($B$2:B119)</f>
        <v>0.1755169491525424</v>
      </c>
      <c r="F119" s="163">
        <f t="shared" si="3"/>
        <v>20.711000000000002</v>
      </c>
      <c r="G119" s="202" t="s">
        <v>892</v>
      </c>
      <c r="H119" s="183"/>
      <c r="I119" s="184"/>
      <c r="J119" s="184"/>
      <c r="K119" s="18"/>
      <c r="Q119"/>
    </row>
    <row r="120" spans="1:17">
      <c r="A120" s="506">
        <v>45926</v>
      </c>
      <c r="B120" s="279">
        <v>1</v>
      </c>
      <c r="C120" s="216"/>
      <c r="D120" s="216">
        <f>(B120*C120)-B120</f>
        <v>-1</v>
      </c>
      <c r="E120" s="96">
        <f>SUM($D$2:D120)/SUM($B$2:B120)</f>
        <v>0.1656386554621849</v>
      </c>
      <c r="F120" s="97">
        <f>F119+D120</f>
        <v>19.711000000000002</v>
      </c>
      <c r="G120" s="217" t="s">
        <v>893</v>
      </c>
      <c r="H120" s="183"/>
      <c r="I120" s="184"/>
      <c r="J120" s="184"/>
      <c r="K120" s="18"/>
      <c r="Q120"/>
    </row>
    <row r="121" spans="1:17">
      <c r="A121" s="507"/>
      <c r="B121" s="103">
        <v>1</v>
      </c>
      <c r="C121" s="41"/>
      <c r="D121" s="41">
        <f>(B121*C121)-B121</f>
        <v>-1</v>
      </c>
      <c r="E121" s="47">
        <f>SUM($D$2:D121)/SUM($B$2:B121)</f>
        <v>0.15592500000000001</v>
      </c>
      <c r="F121" s="37">
        <f>F120+D121</f>
        <v>18.711000000000002</v>
      </c>
      <c r="G121" s="129" t="s">
        <v>894</v>
      </c>
      <c r="H121" s="183"/>
      <c r="I121" s="184"/>
      <c r="J121" s="184"/>
      <c r="K121" s="18"/>
      <c r="Q121"/>
    </row>
    <row r="122" spans="1:17">
      <c r="A122" s="507"/>
      <c r="B122" s="103">
        <v>1</v>
      </c>
      <c r="C122" s="41">
        <v>1.93</v>
      </c>
      <c r="D122" s="41">
        <f>(B122*C122)-B122</f>
        <v>0.92999999999999994</v>
      </c>
      <c r="E122" s="47">
        <f>SUM($D$2:D122)/SUM($B$2:B122)</f>
        <v>0.1623223140495868</v>
      </c>
      <c r="F122" s="37">
        <f>F121+D122</f>
        <v>19.641000000000002</v>
      </c>
      <c r="G122" s="129" t="s">
        <v>895</v>
      </c>
      <c r="H122" s="183"/>
      <c r="I122" s="184"/>
      <c r="J122" s="184"/>
      <c r="K122" s="18"/>
      <c r="Q122"/>
    </row>
    <row r="123" spans="1:17">
      <c r="A123" s="507"/>
      <c r="B123" s="103">
        <v>1</v>
      </c>
      <c r="C123" s="41">
        <v>2.06</v>
      </c>
      <c r="D123" s="41">
        <f>(B123*C123)-B123</f>
        <v>1.06</v>
      </c>
      <c r="E123" s="47">
        <f>SUM($D$2:D123)/SUM($B$2:B123)</f>
        <v>0.16968032786885245</v>
      </c>
      <c r="F123" s="37">
        <f>F122+D123</f>
        <v>20.701000000000001</v>
      </c>
      <c r="G123" s="129" t="s">
        <v>896</v>
      </c>
      <c r="H123" s="183"/>
      <c r="I123" s="184"/>
      <c r="J123" s="184"/>
      <c r="K123" s="18"/>
      <c r="Q123"/>
    </row>
    <row r="124" spans="1:17">
      <c r="A124" s="507"/>
      <c r="B124" s="103">
        <v>1</v>
      </c>
      <c r="C124" s="41">
        <v>1.87</v>
      </c>
      <c r="D124" s="41">
        <f>(B124*C124)-B124</f>
        <v>0.87000000000000011</v>
      </c>
      <c r="E124" s="47">
        <f>SUM($D$2:D124)/SUM($B$2:B124)</f>
        <v>0.1753739837398374</v>
      </c>
      <c r="F124" s="37">
        <f>F123+D124</f>
        <v>21.571000000000002</v>
      </c>
      <c r="G124" s="129" t="s">
        <v>897</v>
      </c>
      <c r="H124" s="183"/>
      <c r="I124" s="184"/>
      <c r="J124" s="184"/>
      <c r="K124" s="18"/>
      <c r="Q124"/>
    </row>
    <row r="125" spans="1:17">
      <c r="A125" s="507"/>
      <c r="B125" s="103">
        <v>1</v>
      </c>
      <c r="C125" s="41">
        <v>2.0099999999999998</v>
      </c>
      <c r="D125" s="41">
        <f>(B125*C125)-B125</f>
        <v>1.0099999999999998</v>
      </c>
      <c r="E125" s="47">
        <f>SUM($D$2:D125)/SUM($B$2:B125)</f>
        <v>0.18210483870967745</v>
      </c>
      <c r="F125" s="37">
        <f>F124+D125</f>
        <v>22.581000000000003</v>
      </c>
      <c r="G125" s="129" t="s">
        <v>898</v>
      </c>
      <c r="H125" s="183"/>
      <c r="I125" s="184"/>
      <c r="J125" s="184"/>
      <c r="K125" s="18"/>
      <c r="Q125"/>
    </row>
    <row r="126" spans="1:17" ht="15.75" thickBot="1">
      <c r="A126" s="514"/>
      <c r="B126" s="105">
        <v>1</v>
      </c>
      <c r="C126" s="218">
        <v>1.97</v>
      </c>
      <c r="D126" s="218">
        <f>(B126*C126)-B126</f>
        <v>0.97</v>
      </c>
      <c r="E126" s="59">
        <f>SUM($D$2:D126)/SUM($B$2:B126)</f>
        <v>0.18840800000000002</v>
      </c>
      <c r="F126" s="38">
        <f>F125+D126</f>
        <v>23.551000000000002</v>
      </c>
      <c r="G126" s="141" t="s">
        <v>899</v>
      </c>
      <c r="H126" s="183"/>
      <c r="I126" s="184"/>
      <c r="J126" s="184"/>
      <c r="K126" s="18"/>
      <c r="Q126"/>
    </row>
    <row r="127" spans="1:17">
      <c r="A127" s="506">
        <v>45927</v>
      </c>
      <c r="B127" s="165">
        <v>1</v>
      </c>
      <c r="C127" s="204"/>
      <c r="D127" s="204">
        <f>(B127*C127)-B127</f>
        <v>-1</v>
      </c>
      <c r="E127" s="191">
        <f>SUM($D$2:D127)/SUM($B$2:B127)</f>
        <v>0.17897619047619048</v>
      </c>
      <c r="F127" s="161">
        <f>F126+D127</f>
        <v>22.551000000000002</v>
      </c>
      <c r="G127" s="166" t="s">
        <v>900</v>
      </c>
      <c r="H127" s="183"/>
      <c r="I127" s="184"/>
      <c r="J127" s="184"/>
      <c r="K127" s="18"/>
      <c r="Q127"/>
    </row>
    <row r="128" spans="1:17">
      <c r="A128" s="507"/>
      <c r="B128" s="167">
        <v>1</v>
      </c>
      <c r="C128" s="205">
        <v>1.88</v>
      </c>
      <c r="D128" s="205">
        <f>(B128*C128)-B128</f>
        <v>0.87999999999999989</v>
      </c>
      <c r="E128" s="154">
        <f>SUM($D$2:D128)/SUM($B$2:B128)</f>
        <v>0.18449606299212598</v>
      </c>
      <c r="F128" s="150">
        <f>F127+D128</f>
        <v>23.431000000000001</v>
      </c>
      <c r="G128" s="189" t="s">
        <v>901</v>
      </c>
      <c r="H128" s="183"/>
      <c r="I128" s="184"/>
      <c r="J128" s="184"/>
      <c r="K128" s="18"/>
      <c r="Q128"/>
    </row>
    <row r="129" spans="1:17">
      <c r="A129" s="507"/>
      <c r="B129" s="167">
        <v>1</v>
      </c>
      <c r="C129" s="205">
        <v>1.77</v>
      </c>
      <c r="D129" s="205">
        <f>(B129*C129)-B129</f>
        <v>0.77</v>
      </c>
      <c r="E129" s="154">
        <f>SUM($D$2:D129)/SUM($B$2:B129)</f>
        <v>0.1890703125</v>
      </c>
      <c r="F129" s="150">
        <f>F128+D129</f>
        <v>24.201000000000001</v>
      </c>
      <c r="G129" s="189" t="s">
        <v>894</v>
      </c>
      <c r="H129" s="183"/>
      <c r="I129" s="184"/>
      <c r="J129" s="184"/>
      <c r="K129" s="18"/>
      <c r="Q129"/>
    </row>
    <row r="130" spans="1:17">
      <c r="A130" s="507"/>
      <c r="B130" s="167">
        <v>1</v>
      </c>
      <c r="C130" s="205">
        <v>2</v>
      </c>
      <c r="D130" s="205">
        <f>(B130*C130)-B130</f>
        <v>1</v>
      </c>
      <c r="E130" s="154">
        <f>SUM($D$2:D130)/SUM($B$2:B130)</f>
        <v>0.19535658914728682</v>
      </c>
      <c r="F130" s="150">
        <f>F129+D130</f>
        <v>25.201000000000001</v>
      </c>
      <c r="G130" s="189" t="s">
        <v>898</v>
      </c>
      <c r="H130" s="183"/>
      <c r="I130" s="184"/>
      <c r="J130" s="184"/>
      <c r="K130" s="18"/>
      <c r="Q130"/>
    </row>
    <row r="131" spans="1:17">
      <c r="A131" s="507"/>
      <c r="B131" s="167">
        <v>1</v>
      </c>
      <c r="C131" s="205"/>
      <c r="D131" s="205">
        <f>(B131*C131)-B131</f>
        <v>-1</v>
      </c>
      <c r="E131" s="154">
        <f>SUM($D$2:D131)/SUM($B$2:B131)</f>
        <v>0.18616153846153846</v>
      </c>
      <c r="F131" s="150">
        <f>F130+D131</f>
        <v>24.201000000000001</v>
      </c>
      <c r="G131" s="189" t="s">
        <v>899</v>
      </c>
      <c r="H131" s="183"/>
      <c r="I131" s="184"/>
      <c r="J131" s="184"/>
      <c r="K131" s="18"/>
      <c r="Q131"/>
    </row>
    <row r="132" spans="1:17">
      <c r="A132" s="507"/>
      <c r="B132" s="167">
        <v>1</v>
      </c>
      <c r="C132" s="205">
        <v>1.83</v>
      </c>
      <c r="D132" s="205">
        <f>(B132*C132)-B132</f>
        <v>0.83000000000000007</v>
      </c>
      <c r="E132" s="154">
        <f>SUM($D$2:D132)/SUM($B$2:B132)</f>
        <v>0.19107633587786257</v>
      </c>
      <c r="F132" s="150">
        <f>F131+D132</f>
        <v>25.030999999999999</v>
      </c>
      <c r="G132" s="189" t="s">
        <v>897</v>
      </c>
      <c r="H132" s="183"/>
      <c r="I132" s="184"/>
      <c r="J132" s="184"/>
      <c r="K132" s="18"/>
      <c r="Q132"/>
    </row>
    <row r="133" spans="1:17">
      <c r="A133" s="507"/>
      <c r="B133" s="167">
        <v>1</v>
      </c>
      <c r="C133" s="205">
        <v>1.96</v>
      </c>
      <c r="D133" s="205">
        <f>(B133*C133)-B133</f>
        <v>0.96</v>
      </c>
      <c r="E133" s="154">
        <f>SUM($D$2:D133)/SUM($B$2:B133)</f>
        <v>0.19690151515151516</v>
      </c>
      <c r="F133" s="150">
        <f>F132+D133</f>
        <v>25.991</v>
      </c>
      <c r="G133" s="189" t="s">
        <v>902</v>
      </c>
      <c r="H133" s="183"/>
      <c r="I133" s="184"/>
      <c r="J133" s="184"/>
      <c r="K133" s="18"/>
      <c r="Q133"/>
    </row>
    <row r="134" spans="1:17" ht="15.75" thickBot="1">
      <c r="A134" s="514"/>
      <c r="B134" s="170">
        <v>1</v>
      </c>
      <c r="C134" s="206">
        <v>2.06</v>
      </c>
      <c r="D134" s="206">
        <f>(B134*C134)-B134</f>
        <v>1.06</v>
      </c>
      <c r="E134" s="193">
        <f>SUM($D$2:D134)/SUM($B$2:B134)</f>
        <v>0.20339097744360901</v>
      </c>
      <c r="F134" s="163">
        <f>F133+D134</f>
        <v>27.050999999999998</v>
      </c>
      <c r="G134" s="194" t="s">
        <v>903</v>
      </c>
      <c r="H134" s="183"/>
      <c r="I134" s="184"/>
      <c r="J134" s="184"/>
      <c r="K134" s="18"/>
      <c r="Q134"/>
    </row>
    <row r="135" spans="1:17" ht="15.75" thickBot="1">
      <c r="A135" s="527">
        <v>45928</v>
      </c>
      <c r="B135" s="223">
        <v>1</v>
      </c>
      <c r="C135" s="224">
        <v>2.85</v>
      </c>
      <c r="D135" s="224">
        <f>(B135*C135)-B135</f>
        <v>1.85</v>
      </c>
      <c r="E135" s="225">
        <f>SUM($D$2:D135)/SUM($B$2:B135)</f>
        <v>0.21567910447761193</v>
      </c>
      <c r="F135" s="226">
        <f>F134+D135</f>
        <v>28.901</v>
      </c>
      <c r="G135" s="276" t="s">
        <v>904</v>
      </c>
      <c r="H135" s="183"/>
      <c r="I135" s="184"/>
      <c r="J135" s="184"/>
      <c r="K135" s="18"/>
      <c r="Q135"/>
    </row>
    <row r="136" spans="1:17">
      <c r="A136" s="528"/>
      <c r="B136" s="179">
        <v>1</v>
      </c>
      <c r="C136" s="207">
        <v>1.87</v>
      </c>
      <c r="D136" s="207">
        <f>(B136*C136)-B136</f>
        <v>0.87000000000000011</v>
      </c>
      <c r="E136" s="195">
        <f>SUM($D$2:D136)/SUM($B$2:B136)</f>
        <v>0.22052592592592593</v>
      </c>
      <c r="F136" s="162">
        <f>F135+D136</f>
        <v>29.771000000000001</v>
      </c>
      <c r="G136" s="214" t="s">
        <v>901</v>
      </c>
      <c r="H136" s="183"/>
      <c r="I136" s="184"/>
      <c r="J136" s="184"/>
      <c r="K136" s="18"/>
      <c r="Q136"/>
    </row>
    <row r="137" spans="1:17">
      <c r="A137" s="528"/>
      <c r="B137" s="167">
        <v>1</v>
      </c>
      <c r="C137" s="205"/>
      <c r="D137" s="205">
        <f>(B137*C137)-B137</f>
        <v>-1</v>
      </c>
      <c r="E137" s="154">
        <f>SUM($D$2:D137)/SUM($B$2:B137)</f>
        <v>0.21155147058823531</v>
      </c>
      <c r="F137" s="150">
        <f>F136+D137</f>
        <v>28.771000000000001</v>
      </c>
      <c r="G137" s="189" t="s">
        <v>905</v>
      </c>
      <c r="H137" s="183"/>
      <c r="I137" s="184"/>
      <c r="J137" s="184"/>
      <c r="K137" s="18"/>
      <c r="Q137"/>
    </row>
    <row r="138" spans="1:17">
      <c r="A138" s="528"/>
      <c r="B138" s="167">
        <v>1</v>
      </c>
      <c r="C138" s="205">
        <v>1.81</v>
      </c>
      <c r="D138" s="205">
        <f>(B138*C138)-B138</f>
        <v>0.81</v>
      </c>
      <c r="E138" s="154">
        <f>SUM($D$2:D138)/SUM($B$2:B138)</f>
        <v>0.21591970802919708</v>
      </c>
      <c r="F138" s="150">
        <f>F137+D138</f>
        <v>29.581</v>
      </c>
      <c r="G138" s="189" t="s">
        <v>906</v>
      </c>
      <c r="H138" s="183"/>
      <c r="I138" s="184"/>
      <c r="J138" s="184"/>
      <c r="K138" s="18"/>
      <c r="Q138"/>
    </row>
    <row r="139" spans="1:17">
      <c r="A139" s="528"/>
      <c r="B139" s="167">
        <v>1</v>
      </c>
      <c r="C139" s="205">
        <v>1.87</v>
      </c>
      <c r="D139" s="205">
        <f>(B139*C139)-B139</f>
        <v>0.87000000000000011</v>
      </c>
      <c r="E139" s="154">
        <f>SUM($D$2:D139)/SUM($B$2:B139)</f>
        <v>0.22065942028985508</v>
      </c>
      <c r="F139" s="150">
        <f>F138+D139</f>
        <v>30.451000000000001</v>
      </c>
      <c r="G139" s="189" t="s">
        <v>893</v>
      </c>
      <c r="H139" s="183"/>
      <c r="I139" s="184"/>
      <c r="J139" s="184"/>
      <c r="K139" s="18"/>
      <c r="Q139"/>
    </row>
    <row r="140" spans="1:17">
      <c r="A140" s="528"/>
      <c r="B140" s="167">
        <v>1</v>
      </c>
      <c r="C140" s="205">
        <v>1.98</v>
      </c>
      <c r="D140" s="205">
        <f>(B140*C140)-B140</f>
        <v>0.98</v>
      </c>
      <c r="E140" s="154">
        <f>SUM($D$2:D140)/SUM($B$2:B140)</f>
        <v>0.22612230215827339</v>
      </c>
      <c r="F140" s="150">
        <f>F139+D140</f>
        <v>31.431000000000001</v>
      </c>
      <c r="G140" s="189" t="s">
        <v>898</v>
      </c>
      <c r="H140" s="183"/>
      <c r="I140" s="184"/>
      <c r="J140" s="184"/>
      <c r="K140" s="18"/>
      <c r="Q140"/>
    </row>
    <row r="141" spans="1:17">
      <c r="A141" s="528"/>
      <c r="B141" s="167">
        <v>1</v>
      </c>
      <c r="C141" s="205">
        <v>2.02</v>
      </c>
      <c r="D141" s="205">
        <f>(B141*C141)-B141</f>
        <v>1.02</v>
      </c>
      <c r="E141" s="154">
        <f>SUM($D$2:D141)/SUM($B$2:B141)</f>
        <v>0.23179285714285713</v>
      </c>
      <c r="F141" s="150">
        <f>F140+D141</f>
        <v>32.451000000000001</v>
      </c>
      <c r="G141" s="189" t="s">
        <v>903</v>
      </c>
      <c r="H141" s="183"/>
      <c r="I141" s="184"/>
      <c r="J141" s="184"/>
      <c r="K141" s="18"/>
      <c r="Q141"/>
    </row>
    <row r="142" spans="1:17" ht="15.75" thickBot="1">
      <c r="A142" s="529"/>
      <c r="B142" s="170">
        <v>1</v>
      </c>
      <c r="C142" s="206">
        <v>2</v>
      </c>
      <c r="D142" s="206">
        <f>(B142*C142)-B142</f>
        <v>1</v>
      </c>
      <c r="E142" s="193">
        <f>SUM($D$2:D142)/SUM($B$2:B142)</f>
        <v>0.23724113475177305</v>
      </c>
      <c r="F142" s="163">
        <f>F141+D142</f>
        <v>33.451000000000001</v>
      </c>
      <c r="G142" s="194" t="s">
        <v>899</v>
      </c>
      <c r="H142" s="183"/>
      <c r="I142" s="184"/>
      <c r="J142" s="184"/>
      <c r="K142" s="18"/>
      <c r="Q142"/>
    </row>
    <row r="143" spans="1:17" s="184" customFormat="1">
      <c r="A143" s="506">
        <v>45930</v>
      </c>
      <c r="B143" s="103">
        <v>1</v>
      </c>
      <c r="C143" s="41"/>
      <c r="D143" s="41">
        <f>(B143*C143)-B143</f>
        <v>-1</v>
      </c>
      <c r="E143" s="47">
        <f>SUM($D$2:D143)/SUM($B$2:B143)</f>
        <v>0.22852816901408451</v>
      </c>
      <c r="F143" s="37">
        <f>F142+D143</f>
        <v>32.451000000000001</v>
      </c>
      <c r="G143" s="129" t="s">
        <v>907</v>
      </c>
      <c r="H143" s="183"/>
      <c r="K143" s="236"/>
    </row>
    <row r="144" spans="1:17" s="184" customFormat="1" ht="15.75" thickBot="1">
      <c r="A144" s="514"/>
      <c r="B144" s="105">
        <v>1</v>
      </c>
      <c r="C144" s="218"/>
      <c r="D144" s="218">
        <f>(B144*C144)-B144</f>
        <v>-1</v>
      </c>
      <c r="E144" s="59">
        <f>SUM($D$2:D144)/SUM($B$2:B144)</f>
        <v>0.21993706293706294</v>
      </c>
      <c r="F144" s="38">
        <f>F143+D144</f>
        <v>31.451000000000001</v>
      </c>
      <c r="G144" s="141" t="s">
        <v>908</v>
      </c>
      <c r="H144" s="183"/>
      <c r="K144" s="236"/>
    </row>
    <row r="145" spans="1:18" s="184" customFormat="1">
      <c r="A145" s="506">
        <v>45931</v>
      </c>
      <c r="B145" s="41">
        <v>1</v>
      </c>
      <c r="C145" s="41">
        <v>2.0699999999999998</v>
      </c>
      <c r="D145" s="41">
        <f>(B145*C145)-B145</f>
        <v>1.0699999999999998</v>
      </c>
      <c r="E145" s="47">
        <f>SUM($D$2:D145)/SUM($B$2:B145)</f>
        <v>0.22584027777777779</v>
      </c>
      <c r="F145" s="37">
        <f>F144+D145</f>
        <v>32.521000000000001</v>
      </c>
      <c r="G145" s="129" t="s">
        <v>907</v>
      </c>
      <c r="H145" s="183"/>
      <c r="K145" s="236"/>
    </row>
    <row r="146" spans="1:18" s="184" customFormat="1" ht="15.75" thickBot="1">
      <c r="A146" s="514"/>
      <c r="B146" s="218">
        <v>1</v>
      </c>
      <c r="C146" s="218">
        <v>2.2200000000000002</v>
      </c>
      <c r="D146" s="218">
        <f>(B146*C146)-B146</f>
        <v>1.2200000000000002</v>
      </c>
      <c r="E146" s="59">
        <f>SUM($D$2:D146)/SUM($B$2:B146)</f>
        <v>0.23269655172413792</v>
      </c>
      <c r="F146" s="38">
        <f>F145+D146</f>
        <v>33.741</v>
      </c>
      <c r="G146" s="141" t="s">
        <v>908</v>
      </c>
      <c r="H146" s="183"/>
      <c r="K146" s="236"/>
    </row>
    <row r="147" spans="1:18" s="184" customFormat="1">
      <c r="A147" s="506">
        <v>45932</v>
      </c>
      <c r="B147" s="41">
        <v>1</v>
      </c>
      <c r="C147" s="41"/>
      <c r="D147" s="41">
        <f>(B147*C147)-B147</f>
        <v>-1</v>
      </c>
      <c r="E147" s="47">
        <f>SUM($D$2:D147)/SUM($B$2:B147)</f>
        <v>0.22425342465753426</v>
      </c>
      <c r="F147" s="37">
        <f>F146+D147</f>
        <v>32.741</v>
      </c>
      <c r="G147" s="129" t="s">
        <v>907</v>
      </c>
      <c r="H147" s="183"/>
      <c r="K147" s="236"/>
    </row>
    <row r="148" spans="1:18" s="184" customFormat="1">
      <c r="A148" s="514"/>
      <c r="B148" s="218">
        <v>1</v>
      </c>
      <c r="C148" s="218"/>
      <c r="D148" s="218">
        <f>(B148*C148)-B148</f>
        <v>-1</v>
      </c>
      <c r="E148" s="59">
        <f>SUM($D$2:D148)/SUM($B$2:B148)</f>
        <v>0.21592517006802722</v>
      </c>
      <c r="F148" s="38">
        <f>F147+D148</f>
        <v>31.741</v>
      </c>
      <c r="G148" s="141" t="s">
        <v>908</v>
      </c>
      <c r="H148" s="183"/>
      <c r="K148" s="236"/>
    </row>
    <row r="149" spans="1:18" s="184" customFormat="1">
      <c r="A149" s="473">
        <v>45934</v>
      </c>
      <c r="B149" s="223">
        <v>1</v>
      </c>
      <c r="C149" s="224">
        <v>1.97</v>
      </c>
      <c r="D149" s="224">
        <f>(B149*C149)-B149</f>
        <v>0.97</v>
      </c>
      <c r="E149" s="225">
        <f>SUM($D$2:D149)/SUM($B$2:B149)</f>
        <v>0.22102027027027027</v>
      </c>
      <c r="F149" s="226">
        <f t="shared" ref="F149:F156" si="4">F148+D149</f>
        <v>32.710999999999999</v>
      </c>
      <c r="G149" s="276" t="s">
        <v>909</v>
      </c>
      <c r="H149" s="183"/>
      <c r="K149" s="236"/>
    </row>
    <row r="150" spans="1:18" s="184" customFormat="1">
      <c r="A150" s="473">
        <v>45936</v>
      </c>
      <c r="B150" s="223">
        <v>1</v>
      </c>
      <c r="C150" s="224"/>
      <c r="D150" s="224">
        <f>(B150*C150)-B150</f>
        <v>-1</v>
      </c>
      <c r="E150" s="225">
        <f>SUM($D$2:D150)/SUM($B$2:B150)</f>
        <v>0.21282550335570469</v>
      </c>
      <c r="F150" s="226">
        <f t="shared" si="4"/>
        <v>31.710999999999999</v>
      </c>
      <c r="G150" s="227" t="s">
        <v>910</v>
      </c>
      <c r="H150" s="183"/>
      <c r="K150" s="236"/>
    </row>
    <row r="151" spans="1:18" s="184" customFormat="1">
      <c r="A151" s="473">
        <v>45937</v>
      </c>
      <c r="B151" s="223">
        <v>1</v>
      </c>
      <c r="C151" s="224"/>
      <c r="D151" s="224">
        <f>(B151*C151)-B151</f>
        <v>-1</v>
      </c>
      <c r="E151" s="225">
        <f>SUM($D$2:D151)/SUM($B$2:B151)</f>
        <v>0.20473999999999998</v>
      </c>
      <c r="F151" s="226">
        <f t="shared" si="4"/>
        <v>30.710999999999999</v>
      </c>
      <c r="G151" s="227" t="s">
        <v>911</v>
      </c>
      <c r="H151" s="183"/>
      <c r="K151" s="236"/>
    </row>
    <row r="152" spans="1:18" s="184" customFormat="1">
      <c r="A152" s="506">
        <v>45938</v>
      </c>
      <c r="B152" s="165">
        <v>1</v>
      </c>
      <c r="C152" s="204"/>
      <c r="D152" s="204">
        <f>(B152*C152)-B152</f>
        <v>-1</v>
      </c>
      <c r="E152" s="191">
        <f>SUM($D$2:D152)/SUM($B$2:B152)</f>
        <v>0.19676158940397351</v>
      </c>
      <c r="F152" s="161">
        <f t="shared" si="4"/>
        <v>29.710999999999999</v>
      </c>
      <c r="G152" s="169" t="s">
        <v>857</v>
      </c>
      <c r="H152" s="183"/>
      <c r="K152" s="236"/>
    </row>
    <row r="153" spans="1:18" s="184" customFormat="1">
      <c r="A153" s="507"/>
      <c r="B153" s="167">
        <v>1</v>
      </c>
      <c r="C153" s="205">
        <v>1.92</v>
      </c>
      <c r="D153" s="205">
        <f>(B153*C153)-B153</f>
        <v>0.91999999999999993</v>
      </c>
      <c r="E153" s="154">
        <f>SUM($D$2:D153)/SUM($B$2:B153)</f>
        <v>0.20151973684210525</v>
      </c>
      <c r="F153" s="150">
        <f t="shared" si="4"/>
        <v>30.631</v>
      </c>
      <c r="G153" s="155" t="s">
        <v>820</v>
      </c>
      <c r="H153" s="183"/>
      <c r="K153" s="236"/>
    </row>
    <row r="154" spans="1:18" s="184" customFormat="1">
      <c r="A154" s="514"/>
      <c r="B154" s="170">
        <v>1</v>
      </c>
      <c r="C154" s="206"/>
      <c r="D154" s="206">
        <f>(B154*C154)-B154</f>
        <v>-1</v>
      </c>
      <c r="E154" s="193">
        <f>SUM($D$2:D154)/SUM($B$2:B154)</f>
        <v>0.19366666666666668</v>
      </c>
      <c r="F154" s="163">
        <f t="shared" si="4"/>
        <v>29.631</v>
      </c>
      <c r="G154" s="194" t="s">
        <v>911</v>
      </c>
      <c r="H154" s="183"/>
      <c r="K154" s="236"/>
    </row>
    <row r="155" spans="1:18" s="184" customFormat="1">
      <c r="A155" s="473">
        <v>45942</v>
      </c>
      <c r="B155" s="223">
        <v>1</v>
      </c>
      <c r="C155" s="226">
        <v>1.97</v>
      </c>
      <c r="D155" s="226">
        <f t="shared" ref="D155" si="5">(B155*C155)-B155</f>
        <v>0.97</v>
      </c>
      <c r="E155" s="225">
        <f>SUM($D$2:D155)/SUM($B$2:B155)</f>
        <v>0.19870779220779219</v>
      </c>
      <c r="F155" s="226">
        <f t="shared" si="4"/>
        <v>30.600999999999999</v>
      </c>
      <c r="G155" s="227" t="s">
        <v>912</v>
      </c>
      <c r="H155" s="183"/>
      <c r="K155" s="236"/>
    </row>
    <row r="156" spans="1:18" s="184" customFormat="1">
      <c r="A156" s="473">
        <v>45946</v>
      </c>
      <c r="B156" s="253">
        <v>1</v>
      </c>
      <c r="C156" s="253"/>
      <c r="D156" s="253">
        <f>(B156*C156)-B156</f>
        <v>-1</v>
      </c>
      <c r="E156" s="254">
        <f>SUM($D$2:D156)/SUM($B$2:B156)</f>
        <v>0.1909741935483871</v>
      </c>
      <c r="F156" s="255">
        <f t="shared" si="4"/>
        <v>29.600999999999999</v>
      </c>
      <c r="G156" s="281" t="s">
        <v>913</v>
      </c>
      <c r="H156" s="183"/>
      <c r="K156" s="236"/>
    </row>
    <row r="157" spans="1:18">
      <c r="A157" s="471"/>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369</v>
      </c>
      <c r="C160" s="508" t="s">
        <v>370</v>
      </c>
      <c r="D160" s="509"/>
      <c r="E160" s="510"/>
      <c r="H160" s="480">
        <f>100</f>
        <v>100</v>
      </c>
      <c r="I160" s="511"/>
      <c r="J160" s="16" t="s">
        <v>914</v>
      </c>
      <c r="K160" s="480">
        <v>100</v>
      </c>
      <c r="L160" s="511"/>
      <c r="M160" s="16" t="s">
        <v>914</v>
      </c>
      <c r="N160" s="19"/>
      <c r="O160" s="138"/>
      <c r="P160" s="58"/>
    </row>
    <row r="161" spans="1:16" ht="15" customHeight="1">
      <c r="A161">
        <f>COUNT(B2:B157)</f>
        <v>155</v>
      </c>
      <c r="B161" s="1"/>
      <c r="C161" s="156">
        <f>I161</f>
        <v>5</v>
      </c>
      <c r="D161" s="524">
        <v>1.32</v>
      </c>
      <c r="E161" s="157">
        <f>C161*D161-C161</f>
        <v>1.6000000000000005</v>
      </c>
      <c r="F161" s="15"/>
      <c r="G161" s="147" t="s">
        <v>372</v>
      </c>
      <c r="H161" s="75">
        <f>H164/100</f>
        <v>1</v>
      </c>
      <c r="I161" s="149">
        <f>H161*5</f>
        <v>5</v>
      </c>
      <c r="J161" s="3" t="s">
        <v>373</v>
      </c>
      <c r="K161" s="75">
        <f>K164/100</f>
        <v>1.2960099999999999</v>
      </c>
      <c r="L161" s="149">
        <f>K161*5</f>
        <v>6.4800499999999994</v>
      </c>
      <c r="M161" s="3" t="s">
        <v>373</v>
      </c>
    </row>
    <row r="162" spans="1:16" ht="15" customHeight="1">
      <c r="A162" t="s">
        <v>374</v>
      </c>
      <c r="B162" s="99"/>
      <c r="C162" s="135">
        <f>E162/(D161-1)</f>
        <v>9.3749999999999982</v>
      </c>
      <c r="D162" s="525"/>
      <c r="E162" s="136">
        <v>3</v>
      </c>
      <c r="F162" s="15"/>
      <c r="G162" s="147" t="s">
        <v>375</v>
      </c>
      <c r="H162" s="127">
        <f>SUM(H2:H157)</f>
        <v>0</v>
      </c>
      <c r="I162" s="148"/>
      <c r="J162" s="3" t="s">
        <v>376</v>
      </c>
      <c r="K162" s="127">
        <f>D158</f>
        <v>29.600999999999999</v>
      </c>
      <c r="L162" s="148"/>
      <c r="M162" s="3" t="s">
        <v>376</v>
      </c>
    </row>
    <row r="163" spans="1:16">
      <c r="A163" s="18">
        <f>COUNT(C2:C157)/A161</f>
        <v>0.59354838709677415</v>
      </c>
      <c r="B163" s="18"/>
      <c r="D163" s="15">
        <f>1/A163</f>
        <v>1.6847826086956523</v>
      </c>
      <c r="E163" s="15"/>
      <c r="F163" s="15"/>
      <c r="G163" s="147" t="s">
        <v>377</v>
      </c>
      <c r="H163" s="520">
        <f>(H162-I162)</f>
        <v>0</v>
      </c>
      <c r="I163" s="521"/>
      <c r="J163" s="128"/>
      <c r="K163" s="520">
        <f>(K162-L162)</f>
        <v>29.600999999999999</v>
      </c>
      <c r="L163" s="521"/>
      <c r="M163" s="128"/>
    </row>
    <row r="164" spans="1:16">
      <c r="A164" t="s">
        <v>4</v>
      </c>
      <c r="G164" s="147" t="s">
        <v>378</v>
      </c>
      <c r="H164" s="522">
        <f>H160+H163</f>
        <v>100</v>
      </c>
      <c r="I164" s="523"/>
      <c r="J164" s="128">
        <f>130-H164</f>
        <v>30</v>
      </c>
      <c r="K164" s="522">
        <f>K160+K163</f>
        <v>129.601</v>
      </c>
      <c r="L164" s="523"/>
      <c r="M164" s="128"/>
      <c r="O164" s="237">
        <v>74.147999999999996</v>
      </c>
      <c r="P164" s="18"/>
    </row>
    <row r="165" spans="1:16">
      <c r="A165" s="18">
        <f>D158/B158</f>
        <v>0.1909741935483871</v>
      </c>
      <c r="F165" s="158"/>
      <c r="G165" s="147" t="s">
        <v>379</v>
      </c>
      <c r="H165" s="45">
        <f>(H164-H160)/H160</f>
        <v>0</v>
      </c>
      <c r="I165" s="46">
        <f>B158/H160</f>
        <v>1.55</v>
      </c>
      <c r="J165" t="s">
        <v>380</v>
      </c>
      <c r="K165" s="45">
        <f>(K164-K160)/K160</f>
        <v>0.29601</v>
      </c>
      <c r="L165" s="46">
        <f>B158/K160</f>
        <v>1.55</v>
      </c>
      <c r="M165" t="s">
        <v>380</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385</v>
      </c>
      <c r="B209" s="140">
        <f>SUM(B2:B19)</f>
        <v>18</v>
      </c>
      <c r="C209" s="140"/>
      <c r="D209" s="140">
        <f>SUM(D2:D19)</f>
        <v>-3.4100000000000006</v>
      </c>
      <c r="E209" s="144">
        <f t="shared" ref="E209:E210" si="6">D209/B209</f>
        <v>-0.18944444444444447</v>
      </c>
      <c r="F209" s="18"/>
      <c r="G209" s="222" t="s">
        <v>384</v>
      </c>
    </row>
    <row r="210" spans="1:7">
      <c r="A210" s="139" t="s">
        <v>386</v>
      </c>
      <c r="B210" s="140">
        <f>SUM(B20:B51)</f>
        <v>32</v>
      </c>
      <c r="C210" s="140"/>
      <c r="D210" s="140">
        <f>SUM(D20:D51)</f>
        <v>5.9859999999999989</v>
      </c>
      <c r="E210" s="144">
        <f t="shared" si="6"/>
        <v>0.18706249999999996</v>
      </c>
      <c r="G210" s="221"/>
    </row>
    <row r="211" spans="1:7">
      <c r="A211" s="139" t="s">
        <v>387</v>
      </c>
      <c r="B211" s="140">
        <f>SUM(B52:B99)</f>
        <v>48</v>
      </c>
      <c r="C211" s="140"/>
      <c r="D211" s="140">
        <f>SUM(D52:D99)</f>
        <v>13.212000000000007</v>
      </c>
      <c r="E211" s="144">
        <f t="shared" ref="E211" si="7">D211/B211</f>
        <v>0.27525000000000016</v>
      </c>
      <c r="G211" s="221"/>
    </row>
    <row r="212" spans="1:7">
      <c r="A212" s="139" t="s">
        <v>389</v>
      </c>
      <c r="B212" s="140">
        <f>SUM(B100:B157)</f>
        <v>57</v>
      </c>
      <c r="C212" s="140"/>
      <c r="D212" s="140">
        <f>SUM(D100:D157)</f>
        <v>13.812999999999999</v>
      </c>
      <c r="E212" s="144">
        <f t="shared" ref="E212" si="8">D212/B212</f>
        <v>0.24233333333333332</v>
      </c>
      <c r="G212" s="221"/>
    </row>
    <row r="213" spans="1:7">
      <c r="A213" s="139" t="s">
        <v>390</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400</v>
      </c>
      <c r="G216" s="221"/>
    </row>
    <row r="225" spans="2:3">
      <c r="B225">
        <v>29.37</v>
      </c>
      <c r="C225" s="184">
        <v>1200</v>
      </c>
    </row>
    <row r="226" spans="2:3">
      <c r="B226">
        <f>C226*B225/C225</f>
        <v>300.97519374999996</v>
      </c>
      <c r="C226" s="238">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915</v>
      </c>
      <c r="P1" s="248" t="s">
        <v>916</v>
      </c>
      <c r="Q1" s="250" t="s">
        <v>5</v>
      </c>
      <c r="R1" s="248"/>
      <c r="T1" s="519" t="s">
        <v>817</v>
      </c>
      <c r="U1" s="519"/>
      <c r="V1" s="519"/>
      <c r="W1" s="519"/>
    </row>
    <row r="2" spans="1:23">
      <c r="A2" s="472">
        <v>45905</v>
      </c>
      <c r="B2" s="259">
        <v>1</v>
      </c>
      <c r="C2" s="260">
        <v>3.04</v>
      </c>
      <c r="D2" s="260">
        <f>(B2*C2)-B2</f>
        <v>2.04</v>
      </c>
      <c r="E2" s="261">
        <f>SUM($D$2:D2)/SUM($B$2:B2)</f>
        <v>2.04</v>
      </c>
      <c r="F2" s="260">
        <f>D2</f>
        <v>2.04</v>
      </c>
      <c r="G2" s="262" t="s">
        <v>818</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823</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828</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837</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838</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30">
        <v>45917</v>
      </c>
      <c r="B7" s="165">
        <v>1</v>
      </c>
      <c r="C7" s="204">
        <v>3.14</v>
      </c>
      <c r="D7" s="204">
        <f t="shared" si="2"/>
        <v>2.14</v>
      </c>
      <c r="E7" s="191">
        <f>SUM($D$2:D7)/SUM($B$2:B7)</f>
        <v>1.0033333333333334</v>
      </c>
      <c r="F7" s="161">
        <f t="shared" si="4"/>
        <v>6.0200000000000005</v>
      </c>
      <c r="G7" s="200" t="s">
        <v>858</v>
      </c>
      <c r="H7" s="183"/>
      <c r="I7" s="184"/>
      <c r="J7" s="184"/>
      <c r="K7" s="196"/>
      <c r="L7" s="197"/>
      <c r="M7" s="198"/>
      <c r="N7" s="199"/>
      <c r="O7" s="18"/>
      <c r="P7" s="236"/>
      <c r="R7" s="18"/>
    </row>
    <row r="8" spans="1:23">
      <c r="A8" s="531"/>
      <c r="B8" s="170">
        <v>1</v>
      </c>
      <c r="C8" s="206">
        <v>2.81</v>
      </c>
      <c r="D8" s="206">
        <f t="shared" si="2"/>
        <v>1.81</v>
      </c>
      <c r="E8" s="193">
        <f>SUM($D$2:D8)/SUM($B$2:B8)</f>
        <v>1.1185714285714285</v>
      </c>
      <c r="F8" s="163">
        <f t="shared" si="4"/>
        <v>7.83</v>
      </c>
      <c r="G8" s="202" t="s">
        <v>859</v>
      </c>
      <c r="H8" s="183"/>
      <c r="I8" s="184"/>
      <c r="J8" s="184"/>
      <c r="K8" s="196"/>
      <c r="L8" s="197"/>
      <c r="M8" s="198"/>
      <c r="N8" s="199"/>
      <c r="O8" s="18"/>
      <c r="P8" s="236"/>
      <c r="R8" s="18"/>
    </row>
    <row r="9" spans="1:23">
      <c r="A9" s="530">
        <v>45921</v>
      </c>
      <c r="B9" s="165">
        <v>1</v>
      </c>
      <c r="C9" s="204"/>
      <c r="D9" s="204">
        <f t="shared" si="2"/>
        <v>-1</v>
      </c>
      <c r="E9" s="182">
        <f>SUM($D$2:D9)/SUM($B$2:B9)</f>
        <v>0.85375000000000001</v>
      </c>
      <c r="F9" s="161">
        <f t="shared" si="4"/>
        <v>6.83</v>
      </c>
      <c r="G9" s="200" t="s">
        <v>877</v>
      </c>
      <c r="H9" s="183"/>
      <c r="I9" s="184"/>
      <c r="J9" s="184"/>
      <c r="K9" s="196"/>
      <c r="L9" s="197"/>
      <c r="M9" s="198"/>
      <c r="N9" s="199"/>
      <c r="O9" s="18"/>
      <c r="P9" s="236"/>
      <c r="R9" s="18"/>
    </row>
    <row r="10" spans="1:23">
      <c r="A10" s="531"/>
      <c r="B10" s="232">
        <v>1</v>
      </c>
      <c r="C10" s="233"/>
      <c r="D10" s="233">
        <f t="shared" si="2"/>
        <v>-1</v>
      </c>
      <c r="E10" s="251">
        <f>SUM($D$2:D10)/SUM($B$2:B10)</f>
        <v>0.64777777777777779</v>
      </c>
      <c r="F10" s="234">
        <f t="shared" si="4"/>
        <v>5.83</v>
      </c>
      <c r="G10" s="252" t="s">
        <v>878</v>
      </c>
      <c r="H10" s="183"/>
      <c r="I10" s="184"/>
      <c r="J10" s="184"/>
      <c r="K10" s="196"/>
      <c r="L10" s="197"/>
      <c r="M10" s="198"/>
      <c r="N10" s="199"/>
      <c r="O10" s="18"/>
      <c r="P10" s="236"/>
      <c r="R10" s="18"/>
    </row>
    <row r="11" spans="1:23">
      <c r="A11" s="530">
        <v>45922</v>
      </c>
      <c r="B11" s="165">
        <v>1</v>
      </c>
      <c r="C11" s="204">
        <v>2.81</v>
      </c>
      <c r="D11" s="204">
        <f t="shared" si="2"/>
        <v>1.81</v>
      </c>
      <c r="E11" s="191">
        <f>SUM($D$2:D11)/SUM($B$2:B11)</f>
        <v>0.76400000000000001</v>
      </c>
      <c r="F11" s="161">
        <f t="shared" si="4"/>
        <v>7.6400000000000006</v>
      </c>
      <c r="G11" s="200" t="s">
        <v>837</v>
      </c>
      <c r="H11" s="183"/>
      <c r="I11" s="184"/>
      <c r="J11" s="184"/>
      <c r="K11" s="196"/>
      <c r="L11" s="197"/>
      <c r="M11" s="198"/>
      <c r="N11" s="199"/>
      <c r="O11" s="18"/>
      <c r="P11" s="236"/>
      <c r="R11" s="18"/>
    </row>
    <row r="12" spans="1:23">
      <c r="A12" s="531"/>
      <c r="B12" s="170">
        <v>1</v>
      </c>
      <c r="C12" s="206">
        <v>2.85</v>
      </c>
      <c r="D12" s="206">
        <f t="shared" si="2"/>
        <v>1.85</v>
      </c>
      <c r="E12" s="193">
        <f>SUM($D$2:D12)/SUM($B$2:B12)</f>
        <v>0.86272727272727279</v>
      </c>
      <c r="F12" s="163">
        <f t="shared" si="4"/>
        <v>9.49</v>
      </c>
      <c r="G12" s="202" t="s">
        <v>881</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904</v>
      </c>
      <c r="H13" s="183"/>
      <c r="I13" s="184"/>
      <c r="J13" s="184"/>
      <c r="K13" s="196"/>
      <c r="L13" s="197"/>
      <c r="M13" s="198"/>
      <c r="N13" s="199"/>
      <c r="O13" s="18"/>
      <c r="P13" s="236"/>
      <c r="R13" s="18"/>
    </row>
    <row r="14" spans="1:23">
      <c r="A14" s="47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369</v>
      </c>
      <c r="C17" s="508" t="s">
        <v>370</v>
      </c>
      <c r="D17" s="509"/>
      <c r="E17" s="510"/>
      <c r="H17" s="480">
        <f>100</f>
        <v>100</v>
      </c>
      <c r="I17" s="511"/>
      <c r="J17" s="16" t="s">
        <v>914</v>
      </c>
      <c r="K17" s="480">
        <v>80.89</v>
      </c>
      <c r="L17" s="511"/>
      <c r="M17" s="16" t="s">
        <v>914</v>
      </c>
      <c r="N17" s="19"/>
      <c r="O17" s="138"/>
      <c r="P17" s="58"/>
    </row>
    <row r="18" spans="1:16" ht="15" customHeight="1">
      <c r="A18">
        <f>COUNT(B2:B14)</f>
        <v>12</v>
      </c>
      <c r="B18" s="1"/>
      <c r="C18" s="156">
        <f>I18</f>
        <v>5</v>
      </c>
      <c r="D18" s="524">
        <v>1.32</v>
      </c>
      <c r="E18" s="157">
        <f>C18*D18-C18</f>
        <v>1.6000000000000005</v>
      </c>
      <c r="F18" s="15"/>
      <c r="G18" s="147" t="s">
        <v>372</v>
      </c>
      <c r="H18" s="75">
        <f>H21/100</f>
        <v>1</v>
      </c>
      <c r="I18" s="149">
        <f>H18*5</f>
        <v>5</v>
      </c>
      <c r="J18" s="3" t="s">
        <v>373</v>
      </c>
      <c r="K18" s="75">
        <f>K21/100</f>
        <v>0.92230000000000001</v>
      </c>
      <c r="L18" s="149">
        <f>K18*5</f>
        <v>4.6115000000000004</v>
      </c>
      <c r="M18" s="3" t="s">
        <v>373</v>
      </c>
    </row>
    <row r="19" spans="1:16" ht="15" customHeight="1">
      <c r="A19" t="s">
        <v>374</v>
      </c>
      <c r="B19" s="99"/>
      <c r="C19" s="135">
        <f>E19/(D18-1)</f>
        <v>9.3749999999999982</v>
      </c>
      <c r="D19" s="525"/>
      <c r="E19" s="136">
        <v>3</v>
      </c>
      <c r="F19" s="15"/>
      <c r="G19" s="147" t="s">
        <v>375</v>
      </c>
      <c r="H19" s="127">
        <f>SUM(H2:H14)</f>
        <v>0</v>
      </c>
      <c r="I19" s="148"/>
      <c r="J19" s="3" t="s">
        <v>376</v>
      </c>
      <c r="K19" s="127">
        <f>D15</f>
        <v>11.34</v>
      </c>
      <c r="L19" s="148"/>
      <c r="M19" s="3" t="s">
        <v>376</v>
      </c>
    </row>
    <row r="20" spans="1:16">
      <c r="A20" s="18">
        <f>COUNT(C2:C14)/A18</f>
        <v>0.66666666666666663</v>
      </c>
      <c r="B20" s="18"/>
      <c r="D20" s="15">
        <f>1/A20</f>
        <v>1.5</v>
      </c>
      <c r="E20" s="15"/>
      <c r="F20" s="15"/>
      <c r="G20" s="147" t="s">
        <v>377</v>
      </c>
      <c r="H20" s="520">
        <f>(H19-I19)</f>
        <v>0</v>
      </c>
      <c r="I20" s="521"/>
      <c r="J20" s="128"/>
      <c r="K20" s="520">
        <f>(K19-L19)</f>
        <v>11.34</v>
      </c>
      <c r="L20" s="521"/>
      <c r="M20" s="128"/>
    </row>
    <row r="21" spans="1:16">
      <c r="A21" t="s">
        <v>4</v>
      </c>
      <c r="G21" s="147" t="s">
        <v>378</v>
      </c>
      <c r="H21" s="522">
        <f>H17+H20</f>
        <v>100</v>
      </c>
      <c r="I21" s="523"/>
      <c r="J21" s="128">
        <f>130-H21</f>
        <v>30</v>
      </c>
      <c r="K21" s="522">
        <f>K17+K20</f>
        <v>92.23</v>
      </c>
      <c r="L21" s="523"/>
      <c r="M21" s="128"/>
      <c r="O21" s="237">
        <v>74.147999999999996</v>
      </c>
      <c r="P21" s="18"/>
    </row>
    <row r="22" spans="1:16">
      <c r="A22" s="18">
        <f>D15/B15</f>
        <v>0.94499999999999995</v>
      </c>
      <c r="F22" s="158"/>
      <c r="G22" s="147" t="s">
        <v>379</v>
      </c>
      <c r="H22" s="45">
        <f>(H21-H17)/H17</f>
        <v>0</v>
      </c>
      <c r="I22" s="46">
        <f>B15/H17</f>
        <v>0.12</v>
      </c>
      <c r="J22" t="s">
        <v>380</v>
      </c>
      <c r="K22" s="45">
        <f>(K21-K17)/K17</f>
        <v>0.14019038200024728</v>
      </c>
      <c r="L22" s="46">
        <f>B15/K17</f>
        <v>0.14834961058227222</v>
      </c>
      <c r="M22" t="s">
        <v>380</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474" t="s">
        <v>383</v>
      </c>
      <c r="B40" s="132" t="s">
        <v>1</v>
      </c>
      <c r="C40" s="475"/>
      <c r="E40" s="134" t="s">
        <v>4</v>
      </c>
    </row>
    <row r="42" spans="1:37">
      <c r="D42" s="7" t="s">
        <v>3</v>
      </c>
    </row>
    <row r="43" spans="1:37">
      <c r="B43" s="21" t="s">
        <v>917</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385</v>
      </c>
      <c r="B66" s="140">
        <f>SUM(B2:B4)</f>
        <v>3</v>
      </c>
      <c r="C66" s="140"/>
      <c r="D66" s="140">
        <f>SUM(D2:D4)</f>
        <v>4.0000000000000036E-2</v>
      </c>
      <c r="E66" s="152">
        <f t="shared" ref="E66:E67" si="11">D66/B66</f>
        <v>1.3333333333333345E-2</v>
      </c>
      <c r="F66" s="18"/>
      <c r="G66" s="222" t="s">
        <v>384</v>
      </c>
    </row>
    <row r="67" spans="1:7">
      <c r="A67" s="139" t="s">
        <v>386</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400</v>
      </c>
      <c r="G70" s="221"/>
    </row>
    <row r="79" spans="1:7">
      <c r="B79">
        <v>29.37</v>
      </c>
      <c r="C79" s="184">
        <v>1200</v>
      </c>
    </row>
    <row r="80" spans="1:7">
      <c r="B80">
        <f>C80*B79/C79</f>
        <v>300.97519374999996</v>
      </c>
      <c r="C80" s="238">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19" t="s">
        <v>817</v>
      </c>
      <c r="N1" s="519"/>
      <c r="O1" s="519"/>
      <c r="P1" s="519"/>
      <c r="Q1"/>
    </row>
    <row r="2" spans="1:17">
      <c r="A2" s="476">
        <v>45905</v>
      </c>
      <c r="B2" s="204">
        <v>1</v>
      </c>
      <c r="C2" s="161">
        <v>1.93</v>
      </c>
      <c r="D2" s="161">
        <f t="shared" ref="D2:D65" si="0">(B2*C2)-B2</f>
        <v>0.92999999999999994</v>
      </c>
      <c r="E2" s="191">
        <f>SUM($D$2:D2)/SUM($B$2:B2)</f>
        <v>0.92999999999999994</v>
      </c>
      <c r="F2" s="161">
        <f>D2</f>
        <v>0.92999999999999994</v>
      </c>
      <c r="G2" s="169" t="s">
        <v>819</v>
      </c>
      <c r="H2" s="183"/>
      <c r="I2" s="184"/>
      <c r="J2" s="184"/>
      <c r="Q2"/>
    </row>
    <row r="3" spans="1:17">
      <c r="A3" s="477"/>
      <c r="B3" s="153">
        <v>1</v>
      </c>
      <c r="C3" s="151">
        <v>1.86</v>
      </c>
      <c r="D3" s="151">
        <f t="shared" si="0"/>
        <v>0.8600000000000001</v>
      </c>
      <c r="E3" s="190">
        <f>SUM($D$2:D3)/SUM($B$2:B3)</f>
        <v>0.89500000000000002</v>
      </c>
      <c r="F3" s="151">
        <f t="shared" ref="F3:F66" si="1">F2+D3</f>
        <v>1.79</v>
      </c>
      <c r="G3" s="192" t="s">
        <v>820</v>
      </c>
      <c r="H3" s="183"/>
      <c r="I3" s="184"/>
      <c r="J3" s="184"/>
      <c r="Q3"/>
    </row>
    <row r="4" spans="1:17">
      <c r="A4" s="477"/>
      <c r="B4" s="205">
        <v>1</v>
      </c>
      <c r="C4" s="150">
        <v>2.0099999999999998</v>
      </c>
      <c r="D4" s="150">
        <f t="shared" si="0"/>
        <v>1.0099999999999998</v>
      </c>
      <c r="E4" s="154">
        <f>SUM($D$2:D4)/SUM($B$2:B4)</f>
        <v>0.93333333333333324</v>
      </c>
      <c r="F4" s="150">
        <f t="shared" si="1"/>
        <v>2.8</v>
      </c>
      <c r="G4" s="189" t="s">
        <v>821</v>
      </c>
      <c r="H4" s="183"/>
      <c r="I4" s="184"/>
      <c r="J4" s="184"/>
      <c r="Q4"/>
    </row>
    <row r="5" spans="1:17" ht="15.75" thickBot="1">
      <c r="A5" s="478"/>
      <c r="B5" s="206">
        <v>1</v>
      </c>
      <c r="C5" s="163"/>
      <c r="D5" s="163">
        <f t="shared" si="0"/>
        <v>-1</v>
      </c>
      <c r="E5" s="193">
        <f>SUM($D$2:D5)/SUM($B$2:B5)</f>
        <v>0.44999999999999996</v>
      </c>
      <c r="F5" s="163">
        <f t="shared" si="1"/>
        <v>1.7999999999999998</v>
      </c>
      <c r="G5" s="194" t="s">
        <v>822</v>
      </c>
      <c r="H5" s="183"/>
      <c r="I5" s="184"/>
      <c r="J5" s="184"/>
      <c r="Q5"/>
    </row>
    <row r="6" spans="1:17">
      <c r="A6" s="515">
        <v>45906</v>
      </c>
      <c r="B6" s="165">
        <v>1</v>
      </c>
      <c r="C6" s="204"/>
      <c r="D6" s="204">
        <f t="shared" si="0"/>
        <v>-1</v>
      </c>
      <c r="E6" s="191">
        <f>SUM($D$2:D6)/SUM($B$2:B6)</f>
        <v>0.15999999999999998</v>
      </c>
      <c r="F6" s="161">
        <f t="shared" si="1"/>
        <v>0.79999999999999982</v>
      </c>
      <c r="G6" s="210" t="s">
        <v>820</v>
      </c>
      <c r="H6" s="183"/>
      <c r="I6" s="184"/>
      <c r="J6" s="184"/>
      <c r="K6" s="18"/>
      <c r="M6" s="2"/>
      <c r="N6" s="18"/>
      <c r="Q6"/>
    </row>
    <row r="7" spans="1:17">
      <c r="A7" s="516"/>
      <c r="B7" s="167">
        <v>1</v>
      </c>
      <c r="C7" s="205"/>
      <c r="D7" s="205">
        <f t="shared" si="0"/>
        <v>-1</v>
      </c>
      <c r="E7" s="154">
        <f>SUM($D$2:D7)/SUM($B$2:B7)</f>
        <v>-3.3333333333333361E-2</v>
      </c>
      <c r="F7" s="150">
        <f t="shared" si="1"/>
        <v>-0.20000000000000018</v>
      </c>
      <c r="G7" s="201" t="s">
        <v>824</v>
      </c>
      <c r="H7" s="183"/>
      <c r="I7" s="184"/>
      <c r="J7" s="184"/>
      <c r="K7" s="18"/>
      <c r="M7" s="2"/>
      <c r="N7" s="18"/>
      <c r="Q7"/>
    </row>
    <row r="8" spans="1:17">
      <c r="A8" s="516"/>
      <c r="B8" s="167">
        <v>1</v>
      </c>
      <c r="C8" s="205"/>
      <c r="D8" s="205">
        <f t="shared" si="0"/>
        <v>-1</v>
      </c>
      <c r="E8" s="154">
        <f>SUM($D$2:D8)/SUM($B$2:B8)</f>
        <v>-0.17142857142857146</v>
      </c>
      <c r="F8" s="150">
        <f t="shared" si="1"/>
        <v>-1.2000000000000002</v>
      </c>
      <c r="G8" s="201" t="s">
        <v>825</v>
      </c>
      <c r="H8" s="183"/>
      <c r="I8" s="184"/>
      <c r="J8" s="184"/>
      <c r="K8" s="18"/>
      <c r="M8" s="2"/>
      <c r="N8" s="18"/>
      <c r="Q8"/>
    </row>
    <row r="9" spans="1:17">
      <c r="A9" s="516"/>
      <c r="B9" s="167">
        <v>1</v>
      </c>
      <c r="C9" s="205"/>
      <c r="D9" s="205">
        <f t="shared" si="0"/>
        <v>-1</v>
      </c>
      <c r="E9" s="154">
        <f>SUM($D$2:D9)/SUM($B$2:B9)</f>
        <v>-0.27500000000000002</v>
      </c>
      <c r="F9" s="150">
        <f t="shared" si="1"/>
        <v>-2.2000000000000002</v>
      </c>
      <c r="G9" s="201" t="s">
        <v>819</v>
      </c>
      <c r="H9" s="183"/>
      <c r="I9" s="184"/>
      <c r="J9" s="184"/>
      <c r="K9" s="18"/>
      <c r="M9" s="2"/>
      <c r="N9" s="18"/>
      <c r="Q9"/>
    </row>
    <row r="10" spans="1:17">
      <c r="A10" s="516"/>
      <c r="B10" s="167">
        <v>1</v>
      </c>
      <c r="C10" s="205"/>
      <c r="D10" s="205">
        <f t="shared" si="0"/>
        <v>-1</v>
      </c>
      <c r="E10" s="154">
        <f>SUM($D$2:D10)/SUM($B$2:B10)</f>
        <v>-0.35555555555555557</v>
      </c>
      <c r="F10" s="150">
        <f t="shared" si="1"/>
        <v>-3.2</v>
      </c>
      <c r="G10" s="201" t="s">
        <v>826</v>
      </c>
      <c r="H10" s="183"/>
      <c r="I10" s="184"/>
      <c r="J10" s="184"/>
      <c r="K10" s="18"/>
      <c r="M10" s="2"/>
      <c r="N10" s="18"/>
      <c r="Q10"/>
    </row>
    <row r="11" spans="1:17" ht="15.75" thickBot="1">
      <c r="A11" s="535"/>
      <c r="B11" s="170">
        <v>1</v>
      </c>
      <c r="C11" s="206">
        <v>1.97</v>
      </c>
      <c r="D11" s="206">
        <f t="shared" si="0"/>
        <v>0.97</v>
      </c>
      <c r="E11" s="193">
        <f>SUM($D$2:D11)/SUM($B$2:B11)</f>
        <v>-0.22300000000000003</v>
      </c>
      <c r="F11" s="163">
        <f t="shared" si="1"/>
        <v>-2.2300000000000004</v>
      </c>
      <c r="G11" s="203" t="s">
        <v>827</v>
      </c>
      <c r="H11" s="183"/>
      <c r="I11" s="184"/>
      <c r="J11" s="184"/>
      <c r="K11" s="18"/>
      <c r="M11" s="2"/>
      <c r="N11" s="18"/>
      <c r="Q11"/>
    </row>
    <row r="12" spans="1:17">
      <c r="A12" s="536">
        <v>45907</v>
      </c>
      <c r="B12" s="204">
        <v>1</v>
      </c>
      <c r="C12" s="204"/>
      <c r="D12" s="204">
        <f t="shared" si="0"/>
        <v>-1</v>
      </c>
      <c r="E12" s="191">
        <f>SUM($D$2:D12)/SUM($B$2:B12)</f>
        <v>-0.2936363636363637</v>
      </c>
      <c r="F12" s="161">
        <f t="shared" si="1"/>
        <v>-3.2300000000000004</v>
      </c>
      <c r="G12" s="210" t="s">
        <v>829</v>
      </c>
      <c r="H12" s="183"/>
      <c r="I12" s="184"/>
      <c r="J12" s="184"/>
      <c r="K12" s="18"/>
      <c r="M12" s="2"/>
      <c r="N12" s="18"/>
      <c r="Q12"/>
    </row>
    <row r="13" spans="1:17">
      <c r="A13" s="537"/>
      <c r="B13" s="205">
        <v>1</v>
      </c>
      <c r="C13" s="205"/>
      <c r="D13" s="205">
        <f t="shared" si="0"/>
        <v>-1</v>
      </c>
      <c r="E13" s="154">
        <f>SUM($D$2:D13)/SUM($B$2:B13)</f>
        <v>-0.35250000000000004</v>
      </c>
      <c r="F13" s="150">
        <f t="shared" si="1"/>
        <v>-4.2300000000000004</v>
      </c>
      <c r="G13" s="201" t="s">
        <v>824</v>
      </c>
      <c r="H13" s="183"/>
      <c r="I13" s="184"/>
      <c r="J13" s="184"/>
      <c r="K13" s="18"/>
      <c r="M13" s="2"/>
      <c r="N13" s="18"/>
      <c r="Q13"/>
    </row>
    <row r="14" spans="1:17">
      <c r="A14" s="537"/>
      <c r="B14" s="205">
        <v>1</v>
      </c>
      <c r="C14" s="205">
        <v>1.9</v>
      </c>
      <c r="D14" s="205">
        <f t="shared" si="0"/>
        <v>0.89999999999999991</v>
      </c>
      <c r="E14" s="154">
        <f>SUM($D$2:D14)/SUM($B$2:B14)</f>
        <v>-0.25615384615384618</v>
      </c>
      <c r="F14" s="150">
        <f t="shared" si="1"/>
        <v>-3.3300000000000005</v>
      </c>
      <c r="G14" s="201" t="s">
        <v>820</v>
      </c>
      <c r="H14" s="183"/>
      <c r="I14" s="184"/>
      <c r="J14" s="184"/>
      <c r="K14" s="18"/>
      <c r="M14" s="2"/>
      <c r="N14" s="18"/>
      <c r="Q14"/>
    </row>
    <row r="15" spans="1:17">
      <c r="A15" s="537"/>
      <c r="B15" s="205">
        <v>1</v>
      </c>
      <c r="C15" s="205">
        <v>1.88</v>
      </c>
      <c r="D15" s="205">
        <f t="shared" si="0"/>
        <v>0.87999999999999989</v>
      </c>
      <c r="E15" s="154">
        <f>SUM($D$2:D15)/SUM($B$2:B15)</f>
        <v>-0.17500000000000004</v>
      </c>
      <c r="F15" s="150">
        <f t="shared" si="1"/>
        <v>-2.4500000000000006</v>
      </c>
      <c r="G15" s="201" t="s">
        <v>830</v>
      </c>
      <c r="H15" s="183"/>
      <c r="I15" s="184"/>
      <c r="J15" s="184"/>
      <c r="K15" s="18"/>
      <c r="M15" s="2"/>
      <c r="N15" s="18"/>
      <c r="Q15"/>
    </row>
    <row r="16" spans="1:17" ht="15.75" thickBot="1">
      <c r="A16" s="538"/>
      <c r="B16" s="153">
        <v>1</v>
      </c>
      <c r="C16" s="153"/>
      <c r="D16" s="153">
        <f t="shared" si="0"/>
        <v>-1</v>
      </c>
      <c r="E16" s="190">
        <f>SUM($D$2:D16)/SUM($B$2:B16)</f>
        <v>-0.23000000000000004</v>
      </c>
      <c r="F16" s="151">
        <f t="shared" si="1"/>
        <v>-3.4500000000000006</v>
      </c>
      <c r="G16" s="211" t="s">
        <v>826</v>
      </c>
      <c r="H16" s="183"/>
      <c r="I16" s="184"/>
      <c r="J16" s="184"/>
      <c r="K16" s="58"/>
      <c r="M16" s="2"/>
      <c r="N16" s="18"/>
      <c r="Q16"/>
    </row>
    <row r="17" spans="1:17">
      <c r="A17" s="476">
        <v>45908</v>
      </c>
      <c r="B17" s="204">
        <v>1</v>
      </c>
      <c r="C17" s="204"/>
      <c r="D17" s="204">
        <f t="shared" si="0"/>
        <v>-1</v>
      </c>
      <c r="E17" s="191">
        <f>SUM($D$2:D17)/SUM($B$2:B17)</f>
        <v>-0.27812500000000007</v>
      </c>
      <c r="F17" s="161">
        <f t="shared" si="1"/>
        <v>-4.4500000000000011</v>
      </c>
      <c r="G17" s="210" t="s">
        <v>831</v>
      </c>
      <c r="H17" s="183"/>
      <c r="I17" s="184"/>
      <c r="J17" s="184"/>
      <c r="K17" s="18"/>
      <c r="M17" s="2"/>
      <c r="N17" s="18"/>
      <c r="Q17"/>
    </row>
    <row r="18" spans="1:17">
      <c r="A18" s="477"/>
      <c r="B18" s="205">
        <v>1</v>
      </c>
      <c r="C18" s="205"/>
      <c r="D18" s="205">
        <f t="shared" si="0"/>
        <v>-1</v>
      </c>
      <c r="E18" s="154">
        <f>SUM($D$2:D18)/SUM($B$2:B18)</f>
        <v>-0.32058823529411773</v>
      </c>
      <c r="F18" s="150">
        <f t="shared" si="1"/>
        <v>-5.4500000000000011</v>
      </c>
      <c r="G18" s="201" t="s">
        <v>832</v>
      </c>
      <c r="H18" s="183"/>
      <c r="I18" s="184"/>
      <c r="J18" s="184"/>
      <c r="K18" s="18"/>
      <c r="M18" s="2"/>
      <c r="N18" s="18"/>
      <c r="Q18"/>
    </row>
    <row r="19" spans="1:17">
      <c r="A19" s="477"/>
      <c r="B19" s="205">
        <v>1</v>
      </c>
      <c r="C19" s="205">
        <v>1.909</v>
      </c>
      <c r="D19" s="205">
        <f t="shared" si="0"/>
        <v>0.90900000000000003</v>
      </c>
      <c r="E19" s="154">
        <f>SUM($D$2:D19)/SUM($B$2:B19)</f>
        <v>-0.25227777777777782</v>
      </c>
      <c r="F19" s="150">
        <f t="shared" si="1"/>
        <v>-4.5410000000000013</v>
      </c>
      <c r="G19" s="201" t="s">
        <v>833</v>
      </c>
      <c r="H19" s="183"/>
      <c r="I19" s="184"/>
      <c r="J19" s="184"/>
      <c r="K19" s="18"/>
      <c r="M19" s="2"/>
      <c r="N19" s="18"/>
      <c r="Q19"/>
    </row>
    <row r="20" spans="1:17" ht="15.75" thickBot="1">
      <c r="A20" s="477"/>
      <c r="B20" s="153">
        <v>1</v>
      </c>
      <c r="C20" s="153"/>
      <c r="D20" s="153">
        <f t="shared" si="0"/>
        <v>-1</v>
      </c>
      <c r="E20" s="190">
        <f>SUM($D$2:D20)/SUM($B$2:B20)</f>
        <v>-0.29163157894736846</v>
      </c>
      <c r="F20" s="151">
        <f t="shared" si="1"/>
        <v>-5.5410000000000013</v>
      </c>
      <c r="G20" s="211" t="s">
        <v>834</v>
      </c>
      <c r="H20" s="183"/>
      <c r="I20" s="184"/>
      <c r="J20" s="184"/>
      <c r="K20" s="18"/>
      <c r="M20" s="2"/>
      <c r="N20" s="18"/>
      <c r="Q20"/>
    </row>
    <row r="21" spans="1:17">
      <c r="A21" s="518">
        <v>45909</v>
      </c>
      <c r="B21" s="165">
        <v>1</v>
      </c>
      <c r="C21" s="204">
        <v>1.74</v>
      </c>
      <c r="D21" s="204">
        <f t="shared" si="0"/>
        <v>0.74</v>
      </c>
      <c r="E21" s="191">
        <f>SUM($D$2:D21)/SUM($B$2:B21)</f>
        <v>-0.24005000000000004</v>
      </c>
      <c r="F21" s="161">
        <f t="shared" si="1"/>
        <v>-4.801000000000001</v>
      </c>
      <c r="G21" s="210" t="s">
        <v>835</v>
      </c>
      <c r="H21" s="183"/>
      <c r="I21" s="184"/>
      <c r="J21" s="184"/>
      <c r="K21" s="18"/>
      <c r="M21" s="2"/>
      <c r="N21" s="18"/>
      <c r="Q21"/>
    </row>
    <row r="22" spans="1:17">
      <c r="A22" s="479"/>
      <c r="B22" s="167">
        <v>1</v>
      </c>
      <c r="C22" s="205">
        <v>1.89</v>
      </c>
      <c r="D22" s="205">
        <f t="shared" si="0"/>
        <v>0.8899999999999999</v>
      </c>
      <c r="E22" s="154">
        <f>SUM($D$2:D22)/SUM($B$2:B22)</f>
        <v>-0.18623809523809531</v>
      </c>
      <c r="F22" s="150">
        <f t="shared" si="1"/>
        <v>-3.9110000000000014</v>
      </c>
      <c r="G22" s="201" t="s">
        <v>836</v>
      </c>
      <c r="H22" s="183"/>
      <c r="I22" s="184"/>
      <c r="J22" s="184"/>
      <c r="K22" s="18"/>
      <c r="M22" s="2"/>
      <c r="N22" s="18"/>
      <c r="Q22"/>
    </row>
    <row r="23" spans="1:17" ht="15.75" thickBot="1">
      <c r="A23" s="479"/>
      <c r="B23" s="170">
        <v>1</v>
      </c>
      <c r="C23" s="206"/>
      <c r="D23" s="206">
        <f t="shared" si="0"/>
        <v>-1</v>
      </c>
      <c r="E23" s="193">
        <f>SUM($D$2:D23)/SUM($B$2:B23)</f>
        <v>-0.2232272727272728</v>
      </c>
      <c r="F23" s="163">
        <f t="shared" si="1"/>
        <v>-4.9110000000000014</v>
      </c>
      <c r="G23" s="203" t="s">
        <v>834</v>
      </c>
      <c r="H23" s="183"/>
      <c r="I23" s="184"/>
      <c r="J23" s="184"/>
      <c r="K23" s="18"/>
      <c r="M23" s="2"/>
      <c r="N23" s="18"/>
      <c r="Q23"/>
    </row>
    <row r="24" spans="1:17">
      <c r="A24" s="506">
        <v>45910</v>
      </c>
      <c r="B24" s="204">
        <v>1</v>
      </c>
      <c r="C24" s="204">
        <v>1.7270000000000001</v>
      </c>
      <c r="D24" s="204">
        <f t="shared" si="0"/>
        <v>0.72700000000000009</v>
      </c>
      <c r="E24" s="191">
        <f>SUM($D$2:D24)/SUM($B$2:B24)</f>
        <v>-0.18191304347826093</v>
      </c>
      <c r="F24" s="161">
        <f t="shared" si="1"/>
        <v>-4.1840000000000011</v>
      </c>
      <c r="G24" s="210" t="s">
        <v>835</v>
      </c>
      <c r="H24" s="183"/>
      <c r="I24" s="184"/>
      <c r="J24" s="184"/>
      <c r="K24" s="18"/>
      <c r="Q24"/>
    </row>
    <row r="25" spans="1:17">
      <c r="A25" s="507"/>
      <c r="B25" s="205">
        <v>1</v>
      </c>
      <c r="C25" s="205"/>
      <c r="D25" s="205">
        <f t="shared" si="0"/>
        <v>-1</v>
      </c>
      <c r="E25" s="154">
        <f>SUM($D$2:D25)/SUM($B$2:B25)</f>
        <v>-0.21600000000000005</v>
      </c>
      <c r="F25" s="150">
        <f t="shared" si="1"/>
        <v>-5.1840000000000011</v>
      </c>
      <c r="G25" s="201" t="s">
        <v>833</v>
      </c>
      <c r="H25" s="183"/>
      <c r="I25" s="184"/>
      <c r="J25" s="184"/>
      <c r="K25" s="18"/>
      <c r="Q25"/>
    </row>
    <row r="26" spans="1:17" ht="15.75" thickBot="1">
      <c r="A26" s="514"/>
      <c r="B26" s="206">
        <v>1</v>
      </c>
      <c r="C26" s="206"/>
      <c r="D26" s="206">
        <f t="shared" si="0"/>
        <v>-1</v>
      </c>
      <c r="E26" s="193">
        <f>SUM($D$2:D26)/SUM($B$2:B26)</f>
        <v>-0.24736000000000005</v>
      </c>
      <c r="F26" s="163">
        <f t="shared" si="1"/>
        <v>-6.1840000000000011</v>
      </c>
      <c r="G26" s="211" t="s">
        <v>836</v>
      </c>
      <c r="H26" s="183"/>
      <c r="I26" s="184"/>
      <c r="J26" s="184"/>
      <c r="K26" s="18"/>
      <c r="Q26"/>
    </row>
    <row r="27" spans="1:17">
      <c r="A27" s="532">
        <v>45911</v>
      </c>
      <c r="B27" s="204">
        <v>1</v>
      </c>
      <c r="C27" s="204">
        <v>1.92</v>
      </c>
      <c r="D27" s="204">
        <f t="shared" si="0"/>
        <v>0.91999999999999993</v>
      </c>
      <c r="E27" s="191">
        <f>SUM($D$2:D27)/SUM($B$2:B27)</f>
        <v>-0.2024615384615385</v>
      </c>
      <c r="F27" s="161">
        <f t="shared" si="1"/>
        <v>-5.2640000000000011</v>
      </c>
      <c r="G27" s="210" t="s">
        <v>839</v>
      </c>
      <c r="H27" s="183"/>
      <c r="I27" s="184"/>
      <c r="J27" s="184"/>
      <c r="K27" s="18"/>
      <c r="Q27"/>
    </row>
    <row r="28" spans="1:17" ht="15.75" thickBot="1">
      <c r="A28" s="533"/>
      <c r="B28" s="206">
        <v>1</v>
      </c>
      <c r="C28" s="206">
        <v>1.98</v>
      </c>
      <c r="D28" s="206">
        <f t="shared" si="0"/>
        <v>0.98</v>
      </c>
      <c r="E28" s="193">
        <f>SUM($D$2:D28)/SUM($B$2:B28)</f>
        <v>-0.15866666666666671</v>
      </c>
      <c r="F28" s="163">
        <f t="shared" si="1"/>
        <v>-4.2840000000000007</v>
      </c>
      <c r="G28" s="211" t="s">
        <v>840</v>
      </c>
      <c r="H28" s="183"/>
      <c r="I28" s="184"/>
      <c r="J28" s="184"/>
      <c r="K28" s="18"/>
      <c r="Q28"/>
    </row>
    <row r="29" spans="1:17">
      <c r="A29" s="532">
        <v>45912</v>
      </c>
      <c r="B29" s="204">
        <v>1</v>
      </c>
      <c r="C29" s="204">
        <v>1.76</v>
      </c>
      <c r="D29" s="204">
        <f t="shared" si="0"/>
        <v>0.76</v>
      </c>
      <c r="E29" s="191">
        <f>SUM($D$2:D29)/SUM($B$2:B29)</f>
        <v>-0.12585714285714289</v>
      </c>
      <c r="F29" s="161">
        <f t="shared" si="1"/>
        <v>-3.5240000000000009</v>
      </c>
      <c r="G29" s="210" t="s">
        <v>841</v>
      </c>
      <c r="H29" s="183"/>
      <c r="I29" s="184"/>
      <c r="J29" s="184"/>
      <c r="K29" s="18"/>
      <c r="Q29"/>
    </row>
    <row r="30" spans="1:17">
      <c r="A30" s="534"/>
      <c r="B30" s="205">
        <v>1</v>
      </c>
      <c r="C30" s="205"/>
      <c r="D30" s="205">
        <f t="shared" si="0"/>
        <v>-1</v>
      </c>
      <c r="E30" s="154">
        <f>SUM($D$2:D30)/SUM($B$2:B30)</f>
        <v>-0.15600000000000003</v>
      </c>
      <c r="F30" s="150">
        <f t="shared" si="1"/>
        <v>-4.5240000000000009</v>
      </c>
      <c r="G30" s="201" t="s">
        <v>842</v>
      </c>
      <c r="H30" s="183"/>
      <c r="I30" s="184"/>
      <c r="J30" s="184"/>
      <c r="K30" s="18"/>
      <c r="Q30"/>
    </row>
    <row r="31" spans="1:17">
      <c r="A31" s="534"/>
      <c r="B31" s="205">
        <v>1</v>
      </c>
      <c r="C31" s="205">
        <v>1.93</v>
      </c>
      <c r="D31" s="205">
        <f t="shared" si="0"/>
        <v>0.92999999999999994</v>
      </c>
      <c r="E31" s="154">
        <f>SUM($D$2:D31)/SUM($B$2:B31)</f>
        <v>-0.11980000000000005</v>
      </c>
      <c r="F31" s="150">
        <f t="shared" si="1"/>
        <v>-3.5940000000000012</v>
      </c>
      <c r="G31" s="201" t="s">
        <v>843</v>
      </c>
      <c r="H31" s="183"/>
      <c r="I31" s="184"/>
      <c r="J31" s="184"/>
      <c r="K31" s="18"/>
      <c r="Q31"/>
    </row>
    <row r="32" spans="1:17">
      <c r="A32" s="534"/>
      <c r="B32" s="205">
        <v>1</v>
      </c>
      <c r="C32" s="205"/>
      <c r="D32" s="205">
        <f t="shared" si="0"/>
        <v>-1</v>
      </c>
      <c r="E32" s="154">
        <f>SUM($D$2:D32)/SUM($B$2:B32)</f>
        <v>-0.14819354838709681</v>
      </c>
      <c r="F32" s="150">
        <f t="shared" si="1"/>
        <v>-4.5940000000000012</v>
      </c>
      <c r="G32" s="201" t="s">
        <v>844</v>
      </c>
      <c r="H32" s="183"/>
      <c r="I32" s="184"/>
      <c r="J32" s="184"/>
      <c r="K32" s="18"/>
      <c r="Q32"/>
    </row>
    <row r="33" spans="1:17" ht="15.75" thickBot="1">
      <c r="A33" s="533"/>
      <c r="B33" s="206">
        <v>1</v>
      </c>
      <c r="C33" s="206">
        <v>1.89</v>
      </c>
      <c r="D33" s="206">
        <f t="shared" si="0"/>
        <v>0.8899999999999999</v>
      </c>
      <c r="E33" s="193">
        <f>SUM($D$2:D33)/SUM($B$2:B33)</f>
        <v>-0.11575000000000005</v>
      </c>
      <c r="F33" s="163">
        <f t="shared" si="1"/>
        <v>-3.7040000000000015</v>
      </c>
      <c r="G33" s="202" t="s">
        <v>845</v>
      </c>
      <c r="H33" s="183"/>
      <c r="I33" s="184"/>
      <c r="J33" s="184"/>
      <c r="K33" s="18"/>
      <c r="Q33"/>
    </row>
    <row r="34" spans="1:17">
      <c r="A34" s="506">
        <v>45913</v>
      </c>
      <c r="B34" s="204">
        <v>1</v>
      </c>
      <c r="C34" s="204">
        <v>1.89</v>
      </c>
      <c r="D34" s="204">
        <f t="shared" si="0"/>
        <v>0.8899999999999999</v>
      </c>
      <c r="E34" s="191">
        <f>SUM($D$2:D34)/SUM($B$2:B34)</f>
        <v>-8.5272727272727333E-2</v>
      </c>
      <c r="F34" s="161">
        <f t="shared" si="1"/>
        <v>-2.8140000000000018</v>
      </c>
      <c r="G34" s="210" t="s">
        <v>846</v>
      </c>
      <c r="H34" s="183"/>
      <c r="I34" s="184"/>
      <c r="J34" s="184"/>
      <c r="K34" s="18"/>
      <c r="Q34"/>
    </row>
    <row r="35" spans="1:17">
      <c r="A35" s="507"/>
      <c r="B35" s="205">
        <v>1</v>
      </c>
      <c r="C35" s="205">
        <v>2.02</v>
      </c>
      <c r="D35" s="205">
        <f t="shared" si="0"/>
        <v>1.02</v>
      </c>
      <c r="E35" s="154">
        <f>SUM($D$2:D35)/SUM($B$2:B35)</f>
        <v>-5.2764705882352991E-2</v>
      </c>
      <c r="F35" s="150">
        <f t="shared" si="1"/>
        <v>-1.7940000000000018</v>
      </c>
      <c r="G35" s="201" t="s">
        <v>847</v>
      </c>
      <c r="H35" s="183"/>
      <c r="I35" s="184"/>
      <c r="J35" s="184"/>
      <c r="K35" s="18"/>
      <c r="Q35"/>
    </row>
    <row r="36" spans="1:17">
      <c r="A36" s="507"/>
      <c r="B36" s="205">
        <v>1</v>
      </c>
      <c r="C36" s="205">
        <v>1.92</v>
      </c>
      <c r="D36" s="205">
        <f t="shared" si="0"/>
        <v>0.91999999999999993</v>
      </c>
      <c r="E36" s="154">
        <f>SUM($D$2:D36)/SUM($B$2:B36)</f>
        <v>-2.4971428571428627E-2</v>
      </c>
      <c r="F36" s="150">
        <f t="shared" si="1"/>
        <v>-0.87400000000000189</v>
      </c>
      <c r="G36" s="201" t="s">
        <v>845</v>
      </c>
      <c r="H36" s="183"/>
      <c r="I36" s="184"/>
      <c r="J36" s="184"/>
      <c r="K36" s="18"/>
      <c r="Q36"/>
    </row>
    <row r="37" spans="1:17">
      <c r="A37" s="507"/>
      <c r="B37" s="205">
        <v>1</v>
      </c>
      <c r="C37" s="205"/>
      <c r="D37" s="205">
        <f t="shared" si="0"/>
        <v>-1</v>
      </c>
      <c r="E37" s="154">
        <f>SUM($D$2:D37)/SUM($B$2:B37)</f>
        <v>-5.2055555555555605E-2</v>
      </c>
      <c r="F37" s="150">
        <f t="shared" si="1"/>
        <v>-1.8740000000000019</v>
      </c>
      <c r="G37" s="201" t="s">
        <v>841</v>
      </c>
      <c r="H37" s="183"/>
      <c r="I37" s="184"/>
      <c r="J37" s="184"/>
      <c r="K37" s="18"/>
      <c r="Q37"/>
    </row>
    <row r="38" spans="1:17">
      <c r="A38" s="507"/>
      <c r="B38" s="205">
        <v>1</v>
      </c>
      <c r="C38" s="205"/>
      <c r="D38" s="205">
        <f t="shared" si="0"/>
        <v>-1</v>
      </c>
      <c r="E38" s="154">
        <f>SUM($D$2:D38)/SUM($B$2:B38)</f>
        <v>-7.7675675675675723E-2</v>
      </c>
      <c r="F38" s="150">
        <f t="shared" si="1"/>
        <v>-2.8740000000000019</v>
      </c>
      <c r="G38" s="201" t="s">
        <v>848</v>
      </c>
      <c r="H38" s="183"/>
      <c r="I38" s="184"/>
      <c r="J38" s="184"/>
      <c r="K38" s="18"/>
      <c r="Q38"/>
    </row>
    <row r="39" spans="1:17">
      <c r="A39" s="507"/>
      <c r="B39" s="205">
        <v>1</v>
      </c>
      <c r="C39" s="205">
        <v>1.98</v>
      </c>
      <c r="D39" s="205">
        <f t="shared" si="0"/>
        <v>0.98</v>
      </c>
      <c r="E39" s="154">
        <f>SUM($D$2:D39)/SUM($B$2:B39)</f>
        <v>-4.9842105263157944E-2</v>
      </c>
      <c r="F39" s="150">
        <f t="shared" si="1"/>
        <v>-1.8940000000000019</v>
      </c>
      <c r="G39" s="201" t="s">
        <v>849</v>
      </c>
      <c r="H39" s="183"/>
      <c r="I39" s="184"/>
      <c r="J39" s="184"/>
      <c r="K39" s="18"/>
      <c r="Q39"/>
    </row>
    <row r="40" spans="1:17" ht="15.75" thickBot="1">
      <c r="A40" s="514"/>
      <c r="B40" s="206">
        <v>1</v>
      </c>
      <c r="C40" s="206">
        <v>1.9</v>
      </c>
      <c r="D40" s="206">
        <f t="shared" si="0"/>
        <v>0.89999999999999991</v>
      </c>
      <c r="E40" s="193">
        <f>SUM($D$2:D40)/SUM($B$2:B40)</f>
        <v>-2.5487179487179538E-2</v>
      </c>
      <c r="F40" s="163">
        <f t="shared" si="1"/>
        <v>-0.99400000000000199</v>
      </c>
      <c r="G40" s="202" t="s">
        <v>850</v>
      </c>
      <c r="H40" s="183"/>
      <c r="I40" s="184"/>
      <c r="J40" s="184"/>
      <c r="K40" s="18"/>
      <c r="Q40"/>
    </row>
    <row r="41" spans="1:17">
      <c r="A41" s="506">
        <v>45914</v>
      </c>
      <c r="B41" s="204">
        <v>1</v>
      </c>
      <c r="C41" s="204"/>
      <c r="D41" s="204">
        <f t="shared" si="0"/>
        <v>-1</v>
      </c>
      <c r="E41" s="191">
        <f>SUM($D$2:D41)/SUM($B$2:B41)</f>
        <v>-4.9850000000000047E-2</v>
      </c>
      <c r="F41" s="161">
        <f t="shared" si="1"/>
        <v>-1.994000000000002</v>
      </c>
      <c r="G41" s="210" t="s">
        <v>850</v>
      </c>
      <c r="H41" s="183"/>
      <c r="I41" s="184"/>
      <c r="J41" s="184"/>
      <c r="K41" s="18"/>
      <c r="Q41"/>
    </row>
    <row r="42" spans="1:17">
      <c r="A42" s="507"/>
      <c r="B42" s="205">
        <v>1</v>
      </c>
      <c r="C42" s="205">
        <v>1.88</v>
      </c>
      <c r="D42" s="205">
        <f t="shared" si="0"/>
        <v>0.87999999999999989</v>
      </c>
      <c r="E42" s="154">
        <f>SUM($D$2:D42)/SUM($B$2:B42)</f>
        <v>-2.7170731707317125E-2</v>
      </c>
      <c r="F42" s="150">
        <f t="shared" si="1"/>
        <v>-1.1140000000000021</v>
      </c>
      <c r="G42" s="201" t="s">
        <v>851</v>
      </c>
      <c r="H42" s="183"/>
      <c r="I42" s="184"/>
      <c r="J42" s="184"/>
      <c r="K42" s="18"/>
      <c r="Q42"/>
    </row>
    <row r="43" spans="1:17">
      <c r="A43" s="507"/>
      <c r="B43" s="205">
        <v>1</v>
      </c>
      <c r="C43" s="205">
        <v>2</v>
      </c>
      <c r="D43" s="205">
        <f t="shared" si="0"/>
        <v>1</v>
      </c>
      <c r="E43" s="154">
        <f>SUM($D$2:D43)/SUM($B$2:B43)</f>
        <v>-2.7142857142857641E-3</v>
      </c>
      <c r="F43" s="150">
        <f t="shared" si="1"/>
        <v>-0.1140000000000021</v>
      </c>
      <c r="G43" s="201" t="s">
        <v>845</v>
      </c>
      <c r="H43" s="183"/>
      <c r="I43" s="184"/>
      <c r="J43" s="184"/>
      <c r="K43" s="18"/>
      <c r="Q43"/>
    </row>
    <row r="44" spans="1:17">
      <c r="A44" s="507"/>
      <c r="B44" s="205">
        <v>1</v>
      </c>
      <c r="C44" s="205">
        <v>1.81</v>
      </c>
      <c r="D44" s="205">
        <f t="shared" si="0"/>
        <v>0.81</v>
      </c>
      <c r="E44" s="154">
        <f>SUM($D$2:D44)/SUM($B$2:B44)</f>
        <v>1.6186046511627861E-2</v>
      </c>
      <c r="F44" s="150">
        <f t="shared" si="1"/>
        <v>0.69599999999999795</v>
      </c>
      <c r="G44" s="201" t="s">
        <v>841</v>
      </c>
      <c r="H44" s="183"/>
      <c r="I44" s="184"/>
      <c r="J44" s="184"/>
      <c r="K44" s="18"/>
      <c r="Q44"/>
    </row>
    <row r="45" spans="1:17">
      <c r="A45" s="507"/>
      <c r="B45" s="205">
        <v>1</v>
      </c>
      <c r="C45" s="205"/>
      <c r="D45" s="205">
        <f t="shared" si="0"/>
        <v>-1</v>
      </c>
      <c r="E45" s="154">
        <f>SUM($D$2:D45)/SUM($B$2:B45)</f>
        <v>-6.9090909090909558E-3</v>
      </c>
      <c r="F45" s="150">
        <f t="shared" si="1"/>
        <v>-0.30400000000000205</v>
      </c>
      <c r="G45" s="201" t="s">
        <v>844</v>
      </c>
      <c r="H45" s="183"/>
      <c r="I45" s="184"/>
      <c r="J45" s="184"/>
      <c r="K45" s="18"/>
      <c r="Q45"/>
    </row>
    <row r="46" spans="1:17" ht="15.75" thickBot="1">
      <c r="A46" s="514"/>
      <c r="B46" s="206">
        <v>1</v>
      </c>
      <c r="C46" s="206"/>
      <c r="D46" s="206">
        <f t="shared" si="0"/>
        <v>-1</v>
      </c>
      <c r="E46" s="193">
        <f>SUM($D$2:D46)/SUM($B$2:B46)</f>
        <v>-2.8977777777777824E-2</v>
      </c>
      <c r="F46" s="163">
        <f t="shared" si="1"/>
        <v>-1.304000000000002</v>
      </c>
      <c r="G46" s="202" t="s">
        <v>849</v>
      </c>
      <c r="H46" s="183"/>
      <c r="I46" s="184"/>
      <c r="J46" s="184"/>
      <c r="K46" s="18"/>
      <c r="Q46"/>
    </row>
    <row r="47" spans="1:17">
      <c r="A47" s="506">
        <v>45915</v>
      </c>
      <c r="B47" s="205">
        <v>1</v>
      </c>
      <c r="C47" s="205">
        <v>1.84</v>
      </c>
      <c r="D47" s="205">
        <f t="shared" si="0"/>
        <v>0.84000000000000008</v>
      </c>
      <c r="E47" s="154">
        <f>SUM($D$2:D47)/SUM($B$2:B47)</f>
        <v>-1.0086956521739174E-2</v>
      </c>
      <c r="F47" s="150">
        <f t="shared" si="1"/>
        <v>-0.46400000000000197</v>
      </c>
      <c r="G47" s="201" t="s">
        <v>852</v>
      </c>
      <c r="H47" s="183"/>
      <c r="I47" s="184"/>
      <c r="J47" s="184"/>
      <c r="K47" s="18"/>
      <c r="Q47"/>
    </row>
    <row r="48" spans="1:17">
      <c r="A48" s="507"/>
      <c r="B48" s="205">
        <v>1</v>
      </c>
      <c r="C48" s="205">
        <v>1.97</v>
      </c>
      <c r="D48" s="205">
        <f t="shared" si="0"/>
        <v>0.97</v>
      </c>
      <c r="E48" s="154">
        <f>SUM($D$2:D48)/SUM($B$2:B48)</f>
        <v>1.0765957446808468E-2</v>
      </c>
      <c r="F48" s="150">
        <f t="shared" si="1"/>
        <v>0.50599999999999801</v>
      </c>
      <c r="G48" s="201" t="s">
        <v>853</v>
      </c>
      <c r="H48" s="183"/>
      <c r="I48" s="184"/>
      <c r="J48" s="184"/>
      <c r="K48" s="18"/>
      <c r="Q48"/>
    </row>
    <row r="49" spans="1:17" ht="15.75" thickBot="1">
      <c r="A49" s="514"/>
      <c r="B49" s="206">
        <v>1</v>
      </c>
      <c r="C49" s="206">
        <v>1.909</v>
      </c>
      <c r="D49" s="206">
        <f t="shared" si="0"/>
        <v>0.90900000000000003</v>
      </c>
      <c r="E49" s="193">
        <f>SUM($D$2:D49)/SUM($B$2:B49)</f>
        <v>2.9479166666666626E-2</v>
      </c>
      <c r="F49" s="163">
        <f t="shared" si="1"/>
        <v>1.414999999999998</v>
      </c>
      <c r="G49" s="202" t="s">
        <v>854</v>
      </c>
      <c r="H49" s="183"/>
      <c r="I49" s="184"/>
      <c r="J49" s="184"/>
      <c r="K49" s="18"/>
      <c r="Q49"/>
    </row>
    <row r="50" spans="1:17">
      <c r="A50" s="506">
        <v>45916</v>
      </c>
      <c r="B50" s="205">
        <v>1</v>
      </c>
      <c r="C50" s="205">
        <v>1.86</v>
      </c>
      <c r="D50" s="205">
        <f t="shared" si="0"/>
        <v>0.8600000000000001</v>
      </c>
      <c r="E50" s="154">
        <f>SUM($D$2:D50)/SUM($B$2:B50)</f>
        <v>4.6428571428571389E-2</v>
      </c>
      <c r="F50" s="150">
        <f t="shared" si="1"/>
        <v>2.2749999999999981</v>
      </c>
      <c r="G50" s="274" t="s">
        <v>852</v>
      </c>
      <c r="H50" s="183"/>
      <c r="I50" s="184"/>
      <c r="J50" s="184"/>
      <c r="K50" s="18"/>
      <c r="Q50"/>
    </row>
    <row r="51" spans="1:17">
      <c r="A51" s="507"/>
      <c r="B51" s="205">
        <v>1</v>
      </c>
      <c r="C51" s="205"/>
      <c r="D51" s="205">
        <f t="shared" si="0"/>
        <v>-1</v>
      </c>
      <c r="E51" s="154">
        <f>SUM($D$2:D51)/SUM($B$2:B51)</f>
        <v>2.5499999999999964E-2</v>
      </c>
      <c r="F51" s="150">
        <f t="shared" si="1"/>
        <v>1.2749999999999981</v>
      </c>
      <c r="G51" s="201" t="s">
        <v>855</v>
      </c>
      <c r="H51" s="183"/>
      <c r="I51" s="184"/>
      <c r="J51" s="184"/>
      <c r="K51" s="18"/>
      <c r="Q51"/>
    </row>
    <row r="52" spans="1:17">
      <c r="A52" s="507"/>
      <c r="B52" s="205">
        <v>1</v>
      </c>
      <c r="C52" s="205">
        <v>1.95</v>
      </c>
      <c r="D52" s="205">
        <f t="shared" si="0"/>
        <v>0.95</v>
      </c>
      <c r="E52" s="154">
        <f>SUM($D$2:D52)/SUM($B$2:B52)</f>
        <v>4.3627450980392113E-2</v>
      </c>
      <c r="F52" s="150">
        <f t="shared" si="1"/>
        <v>2.2249999999999979</v>
      </c>
      <c r="G52" s="201" t="s">
        <v>854</v>
      </c>
      <c r="H52" s="183"/>
      <c r="I52" s="184"/>
      <c r="J52" s="184"/>
      <c r="K52" s="18"/>
      <c r="Q52"/>
    </row>
    <row r="53" spans="1:17">
      <c r="A53" s="507"/>
      <c r="B53" s="205">
        <v>1</v>
      </c>
      <c r="C53" s="205">
        <v>1.98</v>
      </c>
      <c r="D53" s="205">
        <f t="shared" si="0"/>
        <v>0.98</v>
      </c>
      <c r="E53" s="154">
        <f>SUM($D$2:D53)/SUM($B$2:B53)</f>
        <v>6.1634615384615343E-2</v>
      </c>
      <c r="F53" s="150">
        <f t="shared" si="1"/>
        <v>3.2049999999999979</v>
      </c>
      <c r="G53" s="201" t="s">
        <v>853</v>
      </c>
      <c r="H53" s="183"/>
      <c r="I53" s="184"/>
      <c r="J53" s="184"/>
      <c r="K53" s="18"/>
      <c r="Q53"/>
    </row>
    <row r="54" spans="1:17">
      <c r="A54" s="507"/>
      <c r="B54" s="205">
        <v>1</v>
      </c>
      <c r="C54" s="205">
        <v>1.87</v>
      </c>
      <c r="D54" s="205">
        <f t="shared" si="0"/>
        <v>0.87000000000000011</v>
      </c>
      <c r="E54" s="154">
        <f>SUM($D$2:D54)/SUM($B$2:B54)</f>
        <v>7.6886792452830144E-2</v>
      </c>
      <c r="F54" s="150">
        <f t="shared" si="1"/>
        <v>4.0749999999999975</v>
      </c>
      <c r="G54" s="201" t="s">
        <v>856</v>
      </c>
      <c r="H54" s="183"/>
      <c r="I54" s="184"/>
      <c r="J54" s="184"/>
      <c r="K54" s="18"/>
      <c r="Q54"/>
    </row>
    <row r="55" spans="1:17" ht="15.75" thickBot="1">
      <c r="A55" s="514"/>
      <c r="B55" s="206">
        <v>1</v>
      </c>
      <c r="C55" s="206"/>
      <c r="D55" s="206">
        <f t="shared" si="0"/>
        <v>-1</v>
      </c>
      <c r="E55" s="193">
        <f>SUM($D$2:D55)/SUM($B$2:B55)</f>
        <v>5.6944444444444402E-2</v>
      </c>
      <c r="F55" s="163">
        <f t="shared" si="1"/>
        <v>3.0749999999999975</v>
      </c>
      <c r="G55" s="202" t="s">
        <v>857</v>
      </c>
      <c r="H55" s="183"/>
      <c r="I55" s="184"/>
      <c r="J55" s="184"/>
      <c r="K55" s="18"/>
      <c r="Q55"/>
    </row>
    <row r="56" spans="1:17">
      <c r="A56" s="506">
        <v>45917</v>
      </c>
      <c r="B56" s="207">
        <v>1</v>
      </c>
      <c r="C56" s="207">
        <v>2.0099999999999998</v>
      </c>
      <c r="D56" s="207">
        <f t="shared" si="0"/>
        <v>1.0099999999999998</v>
      </c>
      <c r="E56" s="195">
        <f>SUM($D$2:D56)/SUM($B$2:B56)</f>
        <v>7.4272727272727226E-2</v>
      </c>
      <c r="F56" s="162">
        <f t="shared" si="1"/>
        <v>4.0849999999999973</v>
      </c>
      <c r="G56" s="277" t="s">
        <v>860</v>
      </c>
      <c r="H56" s="183"/>
      <c r="I56" s="184"/>
      <c r="J56" s="184"/>
      <c r="K56" s="18"/>
      <c r="Q56"/>
    </row>
    <row r="57" spans="1:17">
      <c r="A57" s="507"/>
      <c r="B57" s="205">
        <v>1</v>
      </c>
      <c r="C57" s="205">
        <v>1.87</v>
      </c>
      <c r="D57" s="205">
        <f t="shared" si="0"/>
        <v>0.87000000000000011</v>
      </c>
      <c r="E57" s="154">
        <f>SUM($D$2:D57)/SUM($B$2:B57)</f>
        <v>8.8482142857142815E-2</v>
      </c>
      <c r="F57" s="150">
        <f t="shared" si="1"/>
        <v>4.9549999999999974</v>
      </c>
      <c r="G57" s="201" t="s">
        <v>861</v>
      </c>
      <c r="H57" s="183"/>
      <c r="I57" s="184"/>
      <c r="J57" s="184"/>
      <c r="K57" s="18"/>
      <c r="Q57"/>
    </row>
    <row r="58" spans="1:17">
      <c r="A58" s="507"/>
      <c r="B58" s="205">
        <v>1</v>
      </c>
      <c r="C58" s="205"/>
      <c r="D58" s="205">
        <f t="shared" si="0"/>
        <v>-1</v>
      </c>
      <c r="E58" s="154">
        <f>SUM($D$2:D58)/SUM($B$2:B58)</f>
        <v>6.9385964912280662E-2</v>
      </c>
      <c r="F58" s="150">
        <f t="shared" si="1"/>
        <v>3.9549999999999974</v>
      </c>
      <c r="G58" s="201" t="s">
        <v>852</v>
      </c>
      <c r="H58" s="183"/>
      <c r="I58" s="184"/>
      <c r="J58" s="184"/>
      <c r="K58" s="18"/>
      <c r="Q58"/>
    </row>
    <row r="59" spans="1:17">
      <c r="A59" s="507"/>
      <c r="B59" s="205">
        <v>1</v>
      </c>
      <c r="C59" s="205">
        <v>1.93</v>
      </c>
      <c r="D59" s="205">
        <f t="shared" si="0"/>
        <v>0.92999999999999994</v>
      </c>
      <c r="E59" s="154">
        <f>SUM($D$2:D59)/SUM($B$2:B59)</f>
        <v>8.4224137931034435E-2</v>
      </c>
      <c r="F59" s="150">
        <f t="shared" si="1"/>
        <v>4.8849999999999971</v>
      </c>
      <c r="G59" s="201" t="s">
        <v>862</v>
      </c>
      <c r="H59" s="183"/>
      <c r="I59" s="184"/>
      <c r="J59" s="184"/>
      <c r="K59" s="18"/>
      <c r="Q59"/>
    </row>
    <row r="60" spans="1:17">
      <c r="A60" s="507"/>
      <c r="B60" s="205">
        <v>1</v>
      </c>
      <c r="C60" s="205"/>
      <c r="D60" s="205">
        <f t="shared" si="0"/>
        <v>-1</v>
      </c>
      <c r="E60" s="154">
        <f>SUM($D$2:D60)/SUM($B$2:B60)</f>
        <v>6.5847457627118591E-2</v>
      </c>
      <c r="F60" s="150">
        <f t="shared" si="1"/>
        <v>3.8849999999999971</v>
      </c>
      <c r="G60" s="201" t="s">
        <v>863</v>
      </c>
      <c r="H60" s="183"/>
      <c r="I60" s="184"/>
      <c r="J60" s="184"/>
      <c r="K60" s="18"/>
      <c r="Q60"/>
    </row>
    <row r="61" spans="1:17" ht="15.75" thickBot="1">
      <c r="A61" s="514"/>
      <c r="B61" s="206">
        <v>1</v>
      </c>
      <c r="C61" s="206">
        <v>1.87</v>
      </c>
      <c r="D61" s="206">
        <f t="shared" si="0"/>
        <v>0.87000000000000011</v>
      </c>
      <c r="E61" s="193">
        <f>SUM($D$2:D61)/SUM($B$2:B61)</f>
        <v>7.9249999999999959E-2</v>
      </c>
      <c r="F61" s="163">
        <f t="shared" si="1"/>
        <v>4.7549999999999972</v>
      </c>
      <c r="G61" s="202" t="s">
        <v>856</v>
      </c>
      <c r="H61" s="183"/>
      <c r="I61" s="184"/>
      <c r="J61" s="184"/>
      <c r="K61" s="18"/>
      <c r="Q61"/>
    </row>
    <row r="62" spans="1:17">
      <c r="A62" s="506">
        <v>45918</v>
      </c>
      <c r="B62" s="204">
        <v>1</v>
      </c>
      <c r="C62" s="204"/>
      <c r="D62" s="204">
        <f t="shared" si="0"/>
        <v>-1</v>
      </c>
      <c r="E62" s="191">
        <f>SUM($D$2:D62)/SUM($B$2:B62)</f>
        <v>6.1557377049180281E-2</v>
      </c>
      <c r="F62" s="161">
        <f t="shared" si="1"/>
        <v>3.7549999999999972</v>
      </c>
      <c r="G62" s="201" t="s">
        <v>854</v>
      </c>
      <c r="H62" s="183"/>
      <c r="I62" s="184"/>
      <c r="J62" s="184"/>
      <c r="K62" s="18"/>
      <c r="Q62"/>
    </row>
    <row r="63" spans="1:17">
      <c r="A63" s="507"/>
      <c r="B63" s="205">
        <v>1</v>
      </c>
      <c r="C63" s="205">
        <v>1.87</v>
      </c>
      <c r="D63" s="205">
        <f t="shared" si="0"/>
        <v>0.87000000000000011</v>
      </c>
      <c r="E63" s="154">
        <f>SUM($D$2:D63)/SUM($B$2:B63)</f>
        <v>7.4596774193548349E-2</v>
      </c>
      <c r="F63" s="150">
        <f t="shared" si="1"/>
        <v>4.6249999999999973</v>
      </c>
      <c r="G63" s="201" t="s">
        <v>864</v>
      </c>
      <c r="H63" s="183"/>
      <c r="I63" s="184"/>
      <c r="J63" s="184"/>
      <c r="K63" s="18"/>
      <c r="Q63"/>
    </row>
    <row r="64" spans="1:17">
      <c r="A64" s="507"/>
      <c r="B64" s="205">
        <v>1</v>
      </c>
      <c r="C64" s="205">
        <v>1.9</v>
      </c>
      <c r="D64" s="205">
        <f t="shared" si="0"/>
        <v>0.89999999999999991</v>
      </c>
      <c r="E64" s="154">
        <f>SUM($D$2:D64)/SUM($B$2:B64)</f>
        <v>8.7698412698412651E-2</v>
      </c>
      <c r="F64" s="150">
        <f t="shared" si="1"/>
        <v>5.5249999999999968</v>
      </c>
      <c r="G64" s="201" t="s">
        <v>865</v>
      </c>
      <c r="H64" s="183"/>
      <c r="I64" s="184"/>
      <c r="J64" s="184"/>
      <c r="K64" s="18"/>
      <c r="Q64"/>
    </row>
    <row r="65" spans="1:17">
      <c r="A65" s="507"/>
      <c r="B65" s="205">
        <v>1</v>
      </c>
      <c r="C65" s="205"/>
      <c r="D65" s="205">
        <f t="shared" si="0"/>
        <v>-1</v>
      </c>
      <c r="E65" s="154">
        <f>SUM($D$2:D65)/SUM($B$2:B65)</f>
        <v>7.070312499999995E-2</v>
      </c>
      <c r="F65" s="150">
        <f t="shared" si="1"/>
        <v>4.5249999999999968</v>
      </c>
      <c r="G65" s="201" t="s">
        <v>866</v>
      </c>
      <c r="H65" s="183"/>
      <c r="I65" s="184"/>
      <c r="J65" s="184"/>
      <c r="K65" s="18"/>
      <c r="Q65"/>
    </row>
    <row r="66" spans="1:17">
      <c r="A66" s="507"/>
      <c r="B66" s="205">
        <v>1</v>
      </c>
      <c r="C66" s="205"/>
      <c r="D66" s="205">
        <f t="shared" ref="D66:D108" si="2">(B66*C66)-B66</f>
        <v>-1</v>
      </c>
      <c r="E66" s="154">
        <f>SUM($D$2:D66)/SUM($B$2:B66)</f>
        <v>5.423076923076918E-2</v>
      </c>
      <c r="F66" s="150">
        <f t="shared" si="1"/>
        <v>3.5249999999999968</v>
      </c>
      <c r="G66" s="201" t="s">
        <v>867</v>
      </c>
      <c r="H66" s="183"/>
      <c r="I66" s="184"/>
      <c r="J66" s="184"/>
      <c r="K66" s="18"/>
      <c r="Q66"/>
    </row>
    <row r="67" spans="1:17" ht="15.75" thickBot="1">
      <c r="A67" s="514"/>
      <c r="B67" s="206">
        <v>1</v>
      </c>
      <c r="C67" s="206"/>
      <c r="D67" s="206">
        <f t="shared" si="2"/>
        <v>-1</v>
      </c>
      <c r="E67" s="193">
        <f>SUM($D$2:D67)/SUM($B$2:B67)</f>
        <v>3.8257575757575712E-2</v>
      </c>
      <c r="F67" s="163">
        <f t="shared" ref="F67:F108" si="3">F66+D67</f>
        <v>2.5249999999999968</v>
      </c>
      <c r="G67" s="202" t="s">
        <v>868</v>
      </c>
      <c r="H67" s="183"/>
      <c r="I67" s="184"/>
      <c r="J67" s="184"/>
      <c r="K67" s="18"/>
      <c r="Q67"/>
    </row>
    <row r="68" spans="1:17">
      <c r="A68" s="506">
        <v>45919</v>
      </c>
      <c r="B68" s="204">
        <v>1</v>
      </c>
      <c r="C68" s="204">
        <v>2.0099999999999998</v>
      </c>
      <c r="D68" s="204">
        <f t="shared" si="2"/>
        <v>1.0099999999999998</v>
      </c>
      <c r="E68" s="191">
        <f>SUM($D$2:D68)/SUM($B$2:B68)</f>
        <v>5.2761194029850696E-2</v>
      </c>
      <c r="F68" s="161">
        <f t="shared" si="3"/>
        <v>3.5349999999999966</v>
      </c>
      <c r="G68" s="201" t="s">
        <v>869</v>
      </c>
      <c r="H68" s="183"/>
      <c r="I68" s="184"/>
      <c r="J68" s="184"/>
      <c r="K68" s="18"/>
      <c r="Q68"/>
    </row>
    <row r="69" spans="1:17">
      <c r="A69" s="507"/>
      <c r="B69" s="205">
        <v>1</v>
      </c>
      <c r="C69" s="205">
        <v>1.615</v>
      </c>
      <c r="D69" s="205">
        <f t="shared" si="2"/>
        <v>0.61499999999999999</v>
      </c>
      <c r="E69" s="154">
        <f>SUM($D$2:D69)/SUM($B$2:B69)</f>
        <v>6.1029411764705832E-2</v>
      </c>
      <c r="F69" s="150">
        <f t="shared" si="3"/>
        <v>4.1499999999999968</v>
      </c>
      <c r="G69" s="201" t="s">
        <v>870</v>
      </c>
      <c r="H69" s="183"/>
      <c r="I69" s="184"/>
      <c r="J69" s="184"/>
      <c r="K69" s="18"/>
      <c r="Q69"/>
    </row>
    <row r="70" spans="1:17">
      <c r="A70" s="507"/>
      <c r="B70" s="205">
        <v>1</v>
      </c>
      <c r="C70" s="205">
        <v>1.92</v>
      </c>
      <c r="D70" s="205">
        <f t="shared" si="2"/>
        <v>0.91999999999999993</v>
      </c>
      <c r="E70" s="154">
        <f>SUM($D$2:D70)/SUM($B$2:B70)</f>
        <v>7.3478260869565173E-2</v>
      </c>
      <c r="F70" s="150">
        <f t="shared" si="3"/>
        <v>5.0699999999999967</v>
      </c>
      <c r="G70" s="201" t="s">
        <v>867</v>
      </c>
      <c r="H70" s="183"/>
      <c r="I70" s="184"/>
      <c r="J70" s="184"/>
      <c r="K70" s="18"/>
      <c r="Q70"/>
    </row>
    <row r="71" spans="1:17">
      <c r="A71" s="507"/>
      <c r="B71" s="205">
        <v>1</v>
      </c>
      <c r="C71" s="205">
        <v>1.84</v>
      </c>
      <c r="D71" s="205">
        <f t="shared" si="2"/>
        <v>0.84000000000000008</v>
      </c>
      <c r="E71" s="154">
        <f>SUM($D$2:D71)/SUM($B$2:B71)</f>
        <v>8.4428571428571381E-2</v>
      </c>
      <c r="F71" s="150">
        <f t="shared" si="3"/>
        <v>5.9099999999999966</v>
      </c>
      <c r="G71" s="201" t="s">
        <v>871</v>
      </c>
      <c r="H71" s="183"/>
      <c r="I71" s="184"/>
      <c r="J71" s="184"/>
      <c r="K71" s="18"/>
      <c r="Q71"/>
    </row>
    <row r="72" spans="1:17">
      <c r="A72" s="507"/>
      <c r="B72" s="205">
        <v>1</v>
      </c>
      <c r="C72" s="205">
        <v>1.909</v>
      </c>
      <c r="D72" s="205">
        <f t="shared" si="2"/>
        <v>0.90900000000000003</v>
      </c>
      <c r="E72" s="154">
        <f>SUM($D$2:D72)/SUM($B$2:B72)</f>
        <v>9.6042253521126705E-2</v>
      </c>
      <c r="F72" s="150">
        <f t="shared" si="3"/>
        <v>6.8189999999999964</v>
      </c>
      <c r="G72" s="201" t="s">
        <v>872</v>
      </c>
      <c r="H72" s="183"/>
      <c r="I72" s="184"/>
      <c r="J72" s="184"/>
      <c r="K72" s="18"/>
      <c r="Q72"/>
    </row>
    <row r="73" spans="1:17">
      <c r="A73" s="507"/>
      <c r="B73" s="205">
        <v>1</v>
      </c>
      <c r="C73" s="205">
        <v>1.98</v>
      </c>
      <c r="D73" s="205">
        <f t="shared" si="2"/>
        <v>0.98</v>
      </c>
      <c r="E73" s="154">
        <f>SUM($D$2:D73)/SUM($B$2:B73)</f>
        <v>0.10831944444444438</v>
      </c>
      <c r="F73" s="150">
        <f t="shared" si="3"/>
        <v>7.7989999999999959</v>
      </c>
      <c r="G73" s="201" t="s">
        <v>873</v>
      </c>
      <c r="H73" s="183"/>
      <c r="I73" s="184"/>
      <c r="J73" s="184"/>
      <c r="K73" s="18"/>
      <c r="Q73"/>
    </row>
    <row r="74" spans="1:17">
      <c r="A74" s="507"/>
      <c r="B74" s="205">
        <v>1</v>
      </c>
      <c r="C74" s="205">
        <v>1.909</v>
      </c>
      <c r="D74" s="205">
        <f t="shared" si="2"/>
        <v>0.90900000000000003</v>
      </c>
      <c r="E74" s="154">
        <f>SUM($D$2:D74)/SUM($B$2:B74)</f>
        <v>0.11928767123287666</v>
      </c>
      <c r="F74" s="150">
        <f t="shared" si="3"/>
        <v>8.7079999999999966</v>
      </c>
      <c r="G74" s="201" t="s">
        <v>868</v>
      </c>
      <c r="H74" s="183"/>
      <c r="I74" s="184"/>
      <c r="J74" s="184"/>
      <c r="K74" s="18"/>
      <c r="Q74"/>
    </row>
    <row r="75" spans="1:17">
      <c r="A75" s="507"/>
      <c r="B75" s="205">
        <v>1</v>
      </c>
      <c r="C75" s="205">
        <v>2.06</v>
      </c>
      <c r="D75" s="205">
        <f t="shared" si="2"/>
        <v>1.06</v>
      </c>
      <c r="E75" s="154">
        <f>SUM($D$2:D75)/SUM($B$2:B75)</f>
        <v>0.13199999999999995</v>
      </c>
      <c r="F75" s="150">
        <f t="shared" si="3"/>
        <v>9.7679999999999971</v>
      </c>
      <c r="G75" s="201" t="s">
        <v>874</v>
      </c>
      <c r="H75" s="183"/>
      <c r="I75" s="184"/>
      <c r="J75" s="184"/>
      <c r="K75" s="18"/>
      <c r="Q75"/>
    </row>
    <row r="76" spans="1:17">
      <c r="A76" s="507"/>
      <c r="B76" s="205">
        <v>1</v>
      </c>
      <c r="C76" s="205"/>
      <c r="D76" s="205">
        <f t="shared" si="2"/>
        <v>-1</v>
      </c>
      <c r="E76" s="154">
        <f>SUM($D$2:D76)/SUM($B$2:B76)</f>
        <v>0.11690666666666663</v>
      </c>
      <c r="F76" s="150">
        <f t="shared" si="3"/>
        <v>8.7679999999999971</v>
      </c>
      <c r="G76" s="201" t="s">
        <v>865</v>
      </c>
      <c r="H76" s="183"/>
      <c r="I76" s="184"/>
      <c r="J76" s="184"/>
      <c r="K76" s="18"/>
      <c r="Q76"/>
    </row>
    <row r="77" spans="1:17" ht="15.75" thickBot="1">
      <c r="A77" s="514"/>
      <c r="B77" s="206">
        <v>1</v>
      </c>
      <c r="C77" s="206">
        <v>2.13</v>
      </c>
      <c r="D77" s="206">
        <f t="shared" si="2"/>
        <v>1.1299999999999999</v>
      </c>
      <c r="E77" s="193">
        <f>SUM($D$2:D77)/SUM($B$2:B77)</f>
        <v>0.1302368421052631</v>
      </c>
      <c r="F77" s="163">
        <f t="shared" si="3"/>
        <v>9.8979999999999961</v>
      </c>
      <c r="G77" s="202" t="s">
        <v>875</v>
      </c>
      <c r="H77" s="183"/>
      <c r="I77" s="184"/>
      <c r="J77" s="184"/>
      <c r="K77" s="18"/>
      <c r="Q77"/>
    </row>
    <row r="78" spans="1:17">
      <c r="A78" s="506">
        <v>45920</v>
      </c>
      <c r="B78" s="205">
        <v>1</v>
      </c>
      <c r="C78" s="205">
        <v>1.93</v>
      </c>
      <c r="D78" s="205">
        <f t="shared" si="2"/>
        <v>0.92999999999999994</v>
      </c>
      <c r="E78" s="154">
        <f>SUM($D$2:D78)/SUM($B$2:B78)</f>
        <v>0.14062337662337657</v>
      </c>
      <c r="F78" s="150">
        <f t="shared" si="3"/>
        <v>10.827999999999996</v>
      </c>
      <c r="G78" s="201" t="s">
        <v>873</v>
      </c>
      <c r="H78" s="183"/>
      <c r="I78" s="184"/>
      <c r="J78" s="184"/>
      <c r="K78" s="18"/>
      <c r="Q78"/>
    </row>
    <row r="79" spans="1:17">
      <c r="A79" s="507"/>
      <c r="B79" s="205">
        <v>1</v>
      </c>
      <c r="C79" s="205">
        <v>1.88</v>
      </c>
      <c r="D79" s="205">
        <f t="shared" si="2"/>
        <v>0.87999999999999989</v>
      </c>
      <c r="E79" s="154">
        <f>SUM($D$2:D79)/SUM($B$2:B79)</f>
        <v>0.15010256410256403</v>
      </c>
      <c r="F79" s="150">
        <f t="shared" si="3"/>
        <v>11.707999999999995</v>
      </c>
      <c r="G79" s="201" t="s">
        <v>865</v>
      </c>
      <c r="H79" s="183"/>
      <c r="I79" s="184"/>
      <c r="J79" s="184"/>
      <c r="K79" s="18"/>
      <c r="Q79"/>
    </row>
    <row r="80" spans="1:17">
      <c r="A80" s="507"/>
      <c r="B80" s="205">
        <v>1</v>
      </c>
      <c r="C80" s="205">
        <v>1.87</v>
      </c>
      <c r="D80" s="205">
        <f t="shared" si="2"/>
        <v>0.87000000000000011</v>
      </c>
      <c r="E80" s="154">
        <f>SUM($D$2:D80)/SUM($B$2:B80)</f>
        <v>0.15921518987341768</v>
      </c>
      <c r="F80" s="150">
        <f t="shared" si="3"/>
        <v>12.577999999999996</v>
      </c>
      <c r="G80" s="201" t="s">
        <v>871</v>
      </c>
      <c r="H80" s="183"/>
      <c r="I80" s="184"/>
      <c r="J80" s="184"/>
      <c r="K80" s="18"/>
      <c r="Q80"/>
    </row>
    <row r="81" spans="1:17">
      <c r="A81" s="507"/>
      <c r="B81" s="205">
        <v>1</v>
      </c>
      <c r="C81" s="205">
        <v>1.87</v>
      </c>
      <c r="D81" s="205">
        <f t="shared" si="2"/>
        <v>0.87000000000000011</v>
      </c>
      <c r="E81" s="154">
        <f>SUM($D$2:D81)/SUM($B$2:B81)</f>
        <v>0.16809999999999997</v>
      </c>
      <c r="F81" s="37">
        <f>F80+D81</f>
        <v>13.447999999999997</v>
      </c>
      <c r="G81" s="201" t="s">
        <v>868</v>
      </c>
      <c r="H81" s="183"/>
      <c r="I81" s="184"/>
      <c r="J81" s="184"/>
      <c r="K81" s="18"/>
      <c r="Q81"/>
    </row>
    <row r="82" spans="1:17">
      <c r="A82" s="507"/>
      <c r="B82" s="205">
        <v>1</v>
      </c>
      <c r="C82" s="205"/>
      <c r="D82" s="205">
        <f t="shared" si="2"/>
        <v>-1</v>
      </c>
      <c r="E82" s="154">
        <f>SUM($D$2:D82)/SUM($B$2:B82)</f>
        <v>0.15367901234567896</v>
      </c>
      <c r="F82" s="150">
        <f>F81+D82</f>
        <v>12.447999999999997</v>
      </c>
      <c r="G82" s="201" t="s">
        <v>876</v>
      </c>
      <c r="H82" s="183"/>
      <c r="I82" s="184"/>
      <c r="J82" s="184"/>
      <c r="K82" s="18"/>
      <c r="Q82"/>
    </row>
    <row r="83" spans="1:17">
      <c r="A83" s="507"/>
      <c r="B83" s="205">
        <v>1</v>
      </c>
      <c r="C83" s="205"/>
      <c r="D83" s="205">
        <f t="shared" si="2"/>
        <v>-1</v>
      </c>
      <c r="E83" s="154">
        <f>SUM($D$2:D83)/SUM($B$2:B83)</f>
        <v>0.13960975609756093</v>
      </c>
      <c r="F83" s="150">
        <f t="shared" si="3"/>
        <v>11.447999999999997</v>
      </c>
      <c r="G83" s="201" t="s">
        <v>867</v>
      </c>
      <c r="H83" s="183"/>
      <c r="I83" s="184"/>
      <c r="J83" s="184"/>
      <c r="K83" s="18"/>
      <c r="Q83"/>
    </row>
    <row r="84" spans="1:17">
      <c r="A84" s="507"/>
      <c r="B84" s="205">
        <v>1</v>
      </c>
      <c r="C84" s="205"/>
      <c r="D84" s="205">
        <f t="shared" si="2"/>
        <v>-1</v>
      </c>
      <c r="E84" s="154">
        <f>SUM($D$2:D84)/SUM($B$2:B84)</f>
        <v>0.12587951807228911</v>
      </c>
      <c r="F84" s="150">
        <f t="shared" si="3"/>
        <v>10.447999999999997</v>
      </c>
      <c r="G84" s="201" t="s">
        <v>872</v>
      </c>
      <c r="H84" s="183"/>
      <c r="I84" s="184"/>
      <c r="J84" s="184"/>
      <c r="K84" s="18"/>
      <c r="Q84"/>
    </row>
    <row r="85" spans="1:17" ht="15.75" thickBot="1">
      <c r="A85" s="514"/>
      <c r="B85" s="206">
        <v>1</v>
      </c>
      <c r="C85" s="206">
        <v>2</v>
      </c>
      <c r="D85" s="206">
        <f t="shared" si="2"/>
        <v>1</v>
      </c>
      <c r="E85" s="193">
        <f>SUM($D$2:D85)/SUM($B$2:B85)</f>
        <v>0.13628571428571426</v>
      </c>
      <c r="F85" s="163">
        <f t="shared" si="3"/>
        <v>11.447999999999997</v>
      </c>
      <c r="G85" s="202" t="s">
        <v>874</v>
      </c>
      <c r="H85" s="183"/>
      <c r="I85" s="184"/>
      <c r="J85" s="184"/>
      <c r="K85" s="18"/>
      <c r="Q85"/>
    </row>
    <row r="86" spans="1:17">
      <c r="A86" s="506">
        <v>45921</v>
      </c>
      <c r="B86" s="165">
        <v>1</v>
      </c>
      <c r="C86" s="204"/>
      <c r="D86" s="204">
        <f t="shared" si="2"/>
        <v>-1</v>
      </c>
      <c r="E86" s="191">
        <f>SUM($D$2:D86)/SUM($B$2:B86)</f>
        <v>0.12291764705882349</v>
      </c>
      <c r="F86" s="161">
        <f t="shared" si="3"/>
        <v>10.447999999999997</v>
      </c>
      <c r="G86" s="200" t="s">
        <v>865</v>
      </c>
      <c r="H86" s="183"/>
      <c r="I86" s="184"/>
      <c r="J86" s="184"/>
      <c r="K86" s="18"/>
      <c r="Q86"/>
    </row>
    <row r="87" spans="1:17">
      <c r="A87" s="507"/>
      <c r="B87" s="167">
        <v>1</v>
      </c>
      <c r="C87" s="205"/>
      <c r="D87" s="205">
        <f t="shared" si="2"/>
        <v>-1</v>
      </c>
      <c r="E87" s="154">
        <f>SUM($D$2:D87)/SUM($B$2:B87)</f>
        <v>0.10986046511627903</v>
      </c>
      <c r="F87" s="150">
        <f t="shared" si="3"/>
        <v>9.4479999999999968</v>
      </c>
      <c r="G87" s="201" t="s">
        <v>879</v>
      </c>
      <c r="H87" s="183"/>
      <c r="I87" s="184"/>
      <c r="J87" s="184"/>
      <c r="K87" s="18"/>
      <c r="Q87"/>
    </row>
    <row r="88" spans="1:17">
      <c r="A88" s="507"/>
      <c r="B88" s="167">
        <v>1</v>
      </c>
      <c r="C88" s="205"/>
      <c r="D88" s="205">
        <f t="shared" si="2"/>
        <v>-1</v>
      </c>
      <c r="E88" s="154">
        <f>SUM($D$2:D88)/SUM($B$2:B88)</f>
        <v>9.7103448275862037E-2</v>
      </c>
      <c r="F88" s="150">
        <f t="shared" si="3"/>
        <v>8.4479999999999968</v>
      </c>
      <c r="G88" s="201" t="s">
        <v>873</v>
      </c>
      <c r="H88" s="183"/>
      <c r="I88" s="184"/>
      <c r="J88" s="184"/>
      <c r="K88" s="18"/>
      <c r="Q88"/>
    </row>
    <row r="89" spans="1:17">
      <c r="A89" s="507"/>
      <c r="B89" s="167">
        <v>1</v>
      </c>
      <c r="C89" s="205">
        <v>1.87</v>
      </c>
      <c r="D89" s="205">
        <f t="shared" si="2"/>
        <v>0.87000000000000011</v>
      </c>
      <c r="E89" s="154">
        <f>SUM($D$2:D89)/SUM($B$2:B89)</f>
        <v>0.10588636363636361</v>
      </c>
      <c r="F89" s="150">
        <f t="shared" si="3"/>
        <v>9.3179999999999978</v>
      </c>
      <c r="G89" s="201" t="s">
        <v>871</v>
      </c>
      <c r="H89" s="183"/>
      <c r="I89" s="184"/>
      <c r="J89" s="184"/>
      <c r="K89" s="18"/>
      <c r="Q89"/>
    </row>
    <row r="90" spans="1:17" ht="15.75" thickBot="1">
      <c r="A90" s="514"/>
      <c r="B90" s="170">
        <v>1</v>
      </c>
      <c r="C90" s="206">
        <v>1.64</v>
      </c>
      <c r="D90" s="206">
        <f t="shared" si="2"/>
        <v>0.6399999999999999</v>
      </c>
      <c r="E90" s="193">
        <f>SUM($D$2:D90)/SUM($B$2:B90)</f>
        <v>0.11188764044943818</v>
      </c>
      <c r="F90" s="163">
        <f t="shared" si="3"/>
        <v>9.9579999999999984</v>
      </c>
      <c r="G90" s="202" t="s">
        <v>870</v>
      </c>
      <c r="H90" s="183"/>
      <c r="I90" s="184"/>
      <c r="J90" s="184"/>
      <c r="K90" s="18"/>
      <c r="Q90"/>
    </row>
    <row r="91" spans="1:17" ht="15.75" thickBot="1">
      <c r="A91" s="473">
        <v>45922</v>
      </c>
      <c r="B91" s="223">
        <v>1</v>
      </c>
      <c r="C91" s="224">
        <v>1.98</v>
      </c>
      <c r="D91" s="224">
        <f t="shared" si="2"/>
        <v>0.98</v>
      </c>
      <c r="E91" s="225">
        <f>SUM($D$2:D91)/SUM($B$2:B91)</f>
        <v>0.12153333333333333</v>
      </c>
      <c r="F91" s="226">
        <f t="shared" si="3"/>
        <v>10.937999999999999</v>
      </c>
      <c r="G91" s="278" t="s">
        <v>880</v>
      </c>
      <c r="H91" s="183"/>
      <c r="I91" s="184"/>
      <c r="J91" s="184"/>
      <c r="K91" s="18"/>
      <c r="Q91"/>
    </row>
    <row r="92" spans="1:17">
      <c r="A92" s="506">
        <v>45923</v>
      </c>
      <c r="B92" s="167">
        <v>1</v>
      </c>
      <c r="C92" s="205">
        <v>1.75</v>
      </c>
      <c r="D92" s="205">
        <f t="shared" si="2"/>
        <v>0.75</v>
      </c>
      <c r="E92" s="154">
        <f>SUM($D$2:D92)/SUM($B$2:B92)</f>
        <v>0.12843956043956042</v>
      </c>
      <c r="F92" s="150">
        <f t="shared" si="3"/>
        <v>11.687999999999999</v>
      </c>
      <c r="G92" s="201" t="s">
        <v>882</v>
      </c>
      <c r="H92" s="183"/>
      <c r="I92" s="184"/>
      <c r="J92" s="184"/>
      <c r="K92" s="18"/>
      <c r="Q92"/>
    </row>
    <row r="93" spans="1:17">
      <c r="A93" s="507"/>
      <c r="B93" s="167">
        <v>1</v>
      </c>
      <c r="C93" s="205"/>
      <c r="D93" s="205">
        <f t="shared" si="2"/>
        <v>-1</v>
      </c>
      <c r="E93" s="154">
        <f>SUM($D$2:D93)/SUM($B$2:B93)</f>
        <v>0.11617391304347825</v>
      </c>
      <c r="F93" s="150">
        <f t="shared" si="3"/>
        <v>10.687999999999999</v>
      </c>
      <c r="G93" s="201" t="s">
        <v>883</v>
      </c>
      <c r="H93" s="183"/>
      <c r="I93" s="184"/>
      <c r="J93" s="184"/>
      <c r="K93" s="18"/>
      <c r="Q93"/>
    </row>
    <row r="94" spans="1:17">
      <c r="A94" s="507"/>
      <c r="B94" s="167">
        <v>1</v>
      </c>
      <c r="C94" s="205">
        <v>1.95</v>
      </c>
      <c r="D94" s="205">
        <f t="shared" si="2"/>
        <v>0.95</v>
      </c>
      <c r="E94" s="154">
        <f>SUM($D$2:D94)/SUM($B$2:B94)</f>
        <v>0.12513978494623654</v>
      </c>
      <c r="F94" s="150">
        <f t="shared" si="3"/>
        <v>11.637999999999998</v>
      </c>
      <c r="G94" s="201" t="s">
        <v>884</v>
      </c>
      <c r="H94" s="183"/>
      <c r="I94" s="184"/>
      <c r="J94" s="184"/>
      <c r="K94" s="18"/>
      <c r="Q94"/>
    </row>
    <row r="95" spans="1:17">
      <c r="A95" s="507"/>
      <c r="B95" s="167">
        <v>1</v>
      </c>
      <c r="C95" s="205"/>
      <c r="D95" s="205">
        <f t="shared" si="2"/>
        <v>-1</v>
      </c>
      <c r="E95" s="154">
        <f>SUM($D$2:D95)/SUM($B$2:B95)</f>
        <v>0.11317021276595743</v>
      </c>
      <c r="F95" s="150">
        <f t="shared" si="3"/>
        <v>10.637999999999998</v>
      </c>
      <c r="G95" s="274" t="s">
        <v>885</v>
      </c>
      <c r="H95" s="183"/>
      <c r="I95" s="184"/>
      <c r="J95" s="184"/>
      <c r="K95" s="18"/>
      <c r="Q95"/>
    </row>
    <row r="96" spans="1:17">
      <c r="A96" s="507"/>
      <c r="B96" s="167">
        <v>1</v>
      </c>
      <c r="C96" s="205"/>
      <c r="D96" s="205">
        <f t="shared" si="2"/>
        <v>-1</v>
      </c>
      <c r="E96" s="154">
        <f>SUM($D$2:D96)/SUM($B$2:B96)</f>
        <v>0.10145263157894735</v>
      </c>
      <c r="F96" s="150">
        <f t="shared" si="3"/>
        <v>9.6379999999999981</v>
      </c>
      <c r="G96" s="201" t="s">
        <v>886</v>
      </c>
      <c r="H96" s="183"/>
      <c r="I96" s="184"/>
      <c r="J96" s="184"/>
      <c r="K96" s="18"/>
      <c r="Q96"/>
    </row>
    <row r="97" spans="1:17" ht="15.75" thickBot="1">
      <c r="A97" s="514"/>
      <c r="B97" s="170">
        <v>1</v>
      </c>
      <c r="C97" s="206"/>
      <c r="D97" s="206">
        <f t="shared" si="2"/>
        <v>-1</v>
      </c>
      <c r="E97" s="193">
        <f>SUM($D$2:D97)/SUM($B$2:B97)</f>
        <v>8.9979166666666652E-2</v>
      </c>
      <c r="F97" s="163">
        <f t="shared" si="3"/>
        <v>8.6379999999999981</v>
      </c>
      <c r="G97" s="202" t="s">
        <v>887</v>
      </c>
      <c r="H97" s="183"/>
      <c r="I97" s="184"/>
      <c r="J97" s="184"/>
      <c r="K97" s="18"/>
      <c r="Q97"/>
    </row>
    <row r="98" spans="1:17">
      <c r="A98" s="512">
        <v>45924</v>
      </c>
      <c r="B98" s="165">
        <v>1</v>
      </c>
      <c r="C98" s="204"/>
      <c r="D98" s="204">
        <f t="shared" si="2"/>
        <v>-1</v>
      </c>
      <c r="E98" s="191">
        <f>SUM($D$2:D98)/SUM($B$2:B98)</f>
        <v>7.8742268041237087E-2</v>
      </c>
      <c r="F98" s="161">
        <f t="shared" si="3"/>
        <v>7.6379999999999981</v>
      </c>
      <c r="G98" s="200" t="s">
        <v>883</v>
      </c>
      <c r="H98" s="183"/>
      <c r="I98" s="184"/>
      <c r="J98" s="184"/>
      <c r="K98" s="18"/>
      <c r="Q98"/>
    </row>
    <row r="99" spans="1:17">
      <c r="A99" s="513"/>
      <c r="B99" s="167">
        <v>1</v>
      </c>
      <c r="C99" s="205">
        <v>1.833</v>
      </c>
      <c r="D99" s="205">
        <f t="shared" si="2"/>
        <v>0.83299999999999996</v>
      </c>
      <c r="E99" s="154">
        <f>SUM($D$2:D99)/SUM($B$2:B99)</f>
        <v>8.6438775510204069E-2</v>
      </c>
      <c r="F99" s="150">
        <f t="shared" si="3"/>
        <v>8.4709999999999983</v>
      </c>
      <c r="G99" s="201" t="s">
        <v>888</v>
      </c>
      <c r="H99" s="183"/>
      <c r="I99" s="184"/>
      <c r="J99" s="184"/>
      <c r="K99" s="18"/>
      <c r="Q99"/>
    </row>
    <row r="100" spans="1:17">
      <c r="A100" s="513"/>
      <c r="B100" s="167">
        <v>1</v>
      </c>
      <c r="C100" s="205">
        <v>2</v>
      </c>
      <c r="D100" s="205">
        <f t="shared" si="2"/>
        <v>1</v>
      </c>
      <c r="E100" s="154">
        <f>SUM($D$2:D100)/SUM($B$2:B100)</f>
        <v>9.566666666666665E-2</v>
      </c>
      <c r="F100" s="150">
        <f t="shared" si="3"/>
        <v>9.4709999999999983</v>
      </c>
      <c r="G100" s="201" t="s">
        <v>885</v>
      </c>
      <c r="H100" s="183"/>
      <c r="I100" s="184"/>
      <c r="J100" s="184"/>
      <c r="K100" s="18"/>
      <c r="Q100"/>
    </row>
    <row r="101" spans="1:17">
      <c r="A101" s="513"/>
      <c r="B101" s="167">
        <v>1</v>
      </c>
      <c r="C101" s="205">
        <v>2.06</v>
      </c>
      <c r="D101" s="205">
        <f t="shared" si="2"/>
        <v>1.06</v>
      </c>
      <c r="E101" s="154">
        <f>SUM($D$2:D101)/SUM($B$2:B101)</f>
        <v>0.10530999999999999</v>
      </c>
      <c r="F101" s="150">
        <f t="shared" si="3"/>
        <v>10.530999999999999</v>
      </c>
      <c r="G101" s="201" t="s">
        <v>889</v>
      </c>
      <c r="H101" s="183"/>
      <c r="I101" s="184"/>
      <c r="J101" s="184"/>
      <c r="K101" s="18"/>
      <c r="Q101"/>
    </row>
    <row r="102" spans="1:17" ht="15.75" thickBot="1">
      <c r="A102" s="526"/>
      <c r="B102" s="170">
        <v>1</v>
      </c>
      <c r="C102" s="206"/>
      <c r="D102" s="206">
        <f t="shared" si="2"/>
        <v>-1</v>
      </c>
      <c r="E102" s="193">
        <f>SUM($D$2:D102)/SUM($B$2:B102)</f>
        <v>9.4366336633663353E-2</v>
      </c>
      <c r="F102" s="163">
        <f t="shared" si="3"/>
        <v>9.5309999999999988</v>
      </c>
      <c r="G102" s="202" t="s">
        <v>880</v>
      </c>
      <c r="H102" s="183"/>
      <c r="I102" s="184"/>
      <c r="J102" s="184"/>
      <c r="K102" s="18"/>
      <c r="Q102"/>
    </row>
    <row r="103" spans="1:17">
      <c r="A103" s="512">
        <v>45925</v>
      </c>
      <c r="B103" s="165">
        <v>1</v>
      </c>
      <c r="C103" s="204">
        <v>1.88</v>
      </c>
      <c r="D103" s="204">
        <f t="shared" si="2"/>
        <v>0.87999999999999989</v>
      </c>
      <c r="E103" s="191">
        <f>SUM($D$2:D103)/SUM($B$2:B103)</f>
        <v>0.10206862745098037</v>
      </c>
      <c r="F103" s="161">
        <f t="shared" si="3"/>
        <v>10.410999999999998</v>
      </c>
      <c r="G103" s="200" t="s">
        <v>883</v>
      </c>
      <c r="H103" s="183"/>
      <c r="I103" s="184"/>
      <c r="J103" s="184"/>
      <c r="K103" s="18"/>
      <c r="Q103"/>
    </row>
    <row r="104" spans="1:17">
      <c r="A104" s="513"/>
      <c r="B104" s="167">
        <v>1</v>
      </c>
      <c r="C104" s="205">
        <v>1.8</v>
      </c>
      <c r="D104" s="205">
        <f t="shared" si="2"/>
        <v>0.8</v>
      </c>
      <c r="E104" s="154">
        <f>SUM($D$2:D104)/SUM($B$2:B104)</f>
        <v>0.10884466019417474</v>
      </c>
      <c r="F104" s="150">
        <f t="shared" si="3"/>
        <v>11.210999999999999</v>
      </c>
      <c r="G104" s="201" t="s">
        <v>882</v>
      </c>
      <c r="H104" s="183"/>
      <c r="I104" s="184"/>
      <c r="J104" s="184"/>
      <c r="K104" s="18"/>
      <c r="Q104"/>
    </row>
    <row r="105" spans="1:17">
      <c r="A105" s="513"/>
      <c r="B105" s="167">
        <v>1</v>
      </c>
      <c r="C105" s="205"/>
      <c r="D105" s="205">
        <f t="shared" si="2"/>
        <v>-1</v>
      </c>
      <c r="E105" s="154">
        <f>SUM($D$2:D105)/SUM($B$2:B105)</f>
        <v>9.818269230769229E-2</v>
      </c>
      <c r="F105" s="150">
        <f t="shared" si="3"/>
        <v>10.210999999999999</v>
      </c>
      <c r="G105" s="201" t="s">
        <v>885</v>
      </c>
      <c r="H105" s="183"/>
      <c r="I105" s="184"/>
      <c r="J105" s="184"/>
      <c r="K105" s="18"/>
      <c r="Q105"/>
    </row>
    <row r="106" spans="1:17">
      <c r="A106" s="513"/>
      <c r="B106" s="167">
        <v>1</v>
      </c>
      <c r="C106" s="205">
        <v>1.98</v>
      </c>
      <c r="D106" s="205">
        <f t="shared" si="2"/>
        <v>0.98</v>
      </c>
      <c r="E106" s="154">
        <f>SUM($D$2:D106)/SUM($B$2:B106)</f>
        <v>0.10658095238095237</v>
      </c>
      <c r="F106" s="150">
        <f t="shared" si="3"/>
        <v>11.190999999999999</v>
      </c>
      <c r="G106" s="201" t="s">
        <v>890</v>
      </c>
      <c r="H106" s="183"/>
      <c r="I106" s="184"/>
      <c r="J106" s="184"/>
      <c r="K106" s="18"/>
      <c r="Q106"/>
    </row>
    <row r="107" spans="1:17">
      <c r="A107" s="513"/>
      <c r="B107" s="167">
        <v>1</v>
      </c>
      <c r="C107" s="205"/>
      <c r="D107" s="205">
        <f t="shared" si="2"/>
        <v>-1</v>
      </c>
      <c r="E107" s="154">
        <f>SUM($D$2:D107)/SUM($B$2:B107)</f>
        <v>9.6141509433962255E-2</v>
      </c>
      <c r="F107" s="150">
        <f t="shared" si="3"/>
        <v>10.190999999999999</v>
      </c>
      <c r="G107" s="201" t="s">
        <v>891</v>
      </c>
      <c r="H107" s="183"/>
      <c r="I107" s="184"/>
      <c r="J107" s="184"/>
      <c r="K107" s="18"/>
      <c r="Q107"/>
    </row>
    <row r="108" spans="1:17" ht="15.75" thickBot="1">
      <c r="A108" s="513"/>
      <c r="B108" s="170">
        <v>1</v>
      </c>
      <c r="C108" s="206">
        <v>2.0299999999999998</v>
      </c>
      <c r="D108" s="206">
        <f t="shared" si="2"/>
        <v>1.0299999999999998</v>
      </c>
      <c r="E108" s="193">
        <f>SUM($D$2:D108)/SUM($B$2:B108)</f>
        <v>0.10486915887850466</v>
      </c>
      <c r="F108" s="163">
        <f t="shared" si="3"/>
        <v>11.220999999999998</v>
      </c>
      <c r="G108" s="202" t="s">
        <v>892</v>
      </c>
      <c r="H108" s="183"/>
      <c r="I108" s="184"/>
      <c r="J108" s="184"/>
      <c r="K108" s="18"/>
      <c r="Q108"/>
    </row>
    <row r="109" spans="1:17">
      <c r="A109" s="506">
        <v>45926</v>
      </c>
      <c r="B109" s="216">
        <v>1</v>
      </c>
      <c r="C109" s="216"/>
      <c r="D109" s="216">
        <f>(B109*C109)-B109</f>
        <v>-1</v>
      </c>
      <c r="E109" s="96">
        <f>SUM($D$2:D109)/SUM($B$2:B109)</f>
        <v>9.463888888888887E-2</v>
      </c>
      <c r="F109" s="97">
        <f>F108+D109</f>
        <v>10.220999999999998</v>
      </c>
      <c r="G109" s="217" t="s">
        <v>893</v>
      </c>
      <c r="H109" s="183"/>
      <c r="I109" s="184"/>
      <c r="J109" s="184"/>
      <c r="K109" s="18"/>
      <c r="Q109"/>
    </row>
    <row r="110" spans="1:17">
      <c r="A110" s="507"/>
      <c r="B110" s="41">
        <v>1</v>
      </c>
      <c r="C110" s="41"/>
      <c r="D110" s="41">
        <f>(B110*C110)-B110</f>
        <v>-1</v>
      </c>
      <c r="E110" s="47">
        <f>SUM($D$2:D110)/SUM($B$2:B110)</f>
        <v>8.4596330275229337E-2</v>
      </c>
      <c r="F110" s="37">
        <f>F109+D110</f>
        <v>9.2209999999999983</v>
      </c>
      <c r="G110" s="129" t="s">
        <v>894</v>
      </c>
      <c r="H110" s="183"/>
      <c r="I110" s="184"/>
      <c r="J110" s="184"/>
      <c r="K110" s="18"/>
      <c r="Q110"/>
    </row>
    <row r="111" spans="1:17">
      <c r="A111" s="507"/>
      <c r="B111" s="41">
        <v>1</v>
      </c>
      <c r="C111" s="41">
        <v>1.93</v>
      </c>
      <c r="D111" s="41">
        <f>(B111*C111)-B111</f>
        <v>0.92999999999999994</v>
      </c>
      <c r="E111" s="47">
        <f>SUM($D$2:D111)/SUM($B$2:B111)</f>
        <v>9.2281818181818159E-2</v>
      </c>
      <c r="F111" s="37">
        <f>F110+D111</f>
        <v>10.150999999999998</v>
      </c>
      <c r="G111" s="129" t="s">
        <v>895</v>
      </c>
      <c r="H111" s="183"/>
      <c r="I111" s="184"/>
      <c r="J111" s="184"/>
      <c r="K111" s="18"/>
      <c r="Q111"/>
    </row>
    <row r="112" spans="1:17">
      <c r="A112" s="507"/>
      <c r="B112" s="41">
        <v>1</v>
      </c>
      <c r="C112" s="41">
        <v>2.06</v>
      </c>
      <c r="D112" s="41">
        <f>(B112*C112)-B112</f>
        <v>1.06</v>
      </c>
      <c r="E112" s="47">
        <f>SUM($D$2:D112)/SUM($B$2:B112)</f>
        <v>0.10099999999999999</v>
      </c>
      <c r="F112" s="37">
        <f>F111+D112</f>
        <v>11.210999999999999</v>
      </c>
      <c r="G112" s="129" t="s">
        <v>896</v>
      </c>
      <c r="H112" s="183"/>
      <c r="I112" s="184"/>
      <c r="J112" s="184"/>
      <c r="K112" s="18"/>
      <c r="Q112"/>
    </row>
    <row r="113" spans="1:17">
      <c r="A113" s="507"/>
      <c r="B113" s="41">
        <v>1</v>
      </c>
      <c r="C113" s="41">
        <v>1.87</v>
      </c>
      <c r="D113" s="41">
        <f>(B113*C113)-B113</f>
        <v>0.87000000000000011</v>
      </c>
      <c r="E113" s="47">
        <f>SUM($D$2:D113)/SUM($B$2:B113)</f>
        <v>0.10786607142857142</v>
      </c>
      <c r="F113" s="37">
        <f>F112+D113</f>
        <v>12.081</v>
      </c>
      <c r="G113" s="129" t="s">
        <v>897</v>
      </c>
      <c r="H113" s="183"/>
      <c r="I113" s="184"/>
      <c r="J113" s="184"/>
      <c r="K113" s="18"/>
      <c r="Q113"/>
    </row>
    <row r="114" spans="1:17">
      <c r="A114" s="507"/>
      <c r="B114" s="41">
        <v>1</v>
      </c>
      <c r="C114" s="41">
        <v>2.0099999999999998</v>
      </c>
      <c r="D114" s="41">
        <f>(B114*C114)-B114</f>
        <v>1.0099999999999998</v>
      </c>
      <c r="E114" s="47">
        <f>SUM($D$2:D114)/SUM($B$2:B114)</f>
        <v>0.11584955752212389</v>
      </c>
      <c r="F114" s="37">
        <f>F113+D114</f>
        <v>13.090999999999999</v>
      </c>
      <c r="G114" s="129" t="s">
        <v>898</v>
      </c>
      <c r="H114" s="183"/>
      <c r="I114" s="184"/>
      <c r="J114" s="184"/>
      <c r="K114" s="18"/>
      <c r="Q114"/>
    </row>
    <row r="115" spans="1:17" ht="15.75" thickBot="1">
      <c r="A115" s="514"/>
      <c r="B115" s="218">
        <v>1</v>
      </c>
      <c r="C115" s="206">
        <v>1.97</v>
      </c>
      <c r="D115" s="206">
        <f>(B115*C115)-B115</f>
        <v>0.97</v>
      </c>
      <c r="E115" s="193">
        <f>SUM($D$2:D115)/SUM($B$2:B115)</f>
        <v>0.12334210526315789</v>
      </c>
      <c r="F115" s="150">
        <f>F114+D115</f>
        <v>14.061</v>
      </c>
      <c r="G115" s="202" t="s">
        <v>899</v>
      </c>
      <c r="H115" s="183"/>
      <c r="I115" s="184"/>
      <c r="J115" s="184"/>
      <c r="K115" s="18"/>
      <c r="Q115"/>
    </row>
    <row r="116" spans="1:17">
      <c r="A116" s="506">
        <v>45927</v>
      </c>
      <c r="B116" s="165">
        <v>1</v>
      </c>
      <c r="C116" s="204"/>
      <c r="D116" s="204">
        <f>(B116*C116)-B116</f>
        <v>-1</v>
      </c>
      <c r="E116" s="191">
        <f>SUM($D$2:D116)/SUM($B$2:B116)</f>
        <v>0.11357391304347826</v>
      </c>
      <c r="F116" s="161">
        <f>F115+D116</f>
        <v>13.061</v>
      </c>
      <c r="G116" s="166" t="s">
        <v>900</v>
      </c>
      <c r="H116" s="183"/>
      <c r="I116" s="184"/>
      <c r="J116" s="184"/>
      <c r="K116" s="18"/>
      <c r="Q116"/>
    </row>
    <row r="117" spans="1:17">
      <c r="A117" s="507"/>
      <c r="B117" s="167">
        <v>1</v>
      </c>
      <c r="C117" s="205">
        <v>1.88</v>
      </c>
      <c r="D117" s="205">
        <f>(B117*C117)-B117</f>
        <v>0.87999999999999989</v>
      </c>
      <c r="E117" s="154">
        <f>SUM($D$2:D117)/SUM($B$2:B117)</f>
        <v>0.12018103448275862</v>
      </c>
      <c r="F117" s="150">
        <f>F116+D117</f>
        <v>13.940999999999999</v>
      </c>
      <c r="G117" s="189" t="s">
        <v>901</v>
      </c>
      <c r="H117" s="183"/>
      <c r="I117" s="184"/>
      <c r="J117" s="184"/>
      <c r="K117" s="18"/>
      <c r="Q117"/>
    </row>
    <row r="118" spans="1:17">
      <c r="A118" s="507"/>
      <c r="B118" s="167">
        <v>1</v>
      </c>
      <c r="C118" s="205">
        <v>1.77</v>
      </c>
      <c r="D118" s="205">
        <f>(B118*C118)-B118</f>
        <v>0.77</v>
      </c>
      <c r="E118" s="154">
        <f>SUM($D$2:D118)/SUM($B$2:B118)</f>
        <v>0.12573504273504271</v>
      </c>
      <c r="F118" s="150">
        <f>F117+D118</f>
        <v>14.710999999999999</v>
      </c>
      <c r="G118" s="189" t="s">
        <v>894</v>
      </c>
      <c r="H118" s="183"/>
      <c r="I118" s="184"/>
      <c r="J118" s="184"/>
      <c r="K118" s="18"/>
      <c r="Q118"/>
    </row>
    <row r="119" spans="1:17">
      <c r="A119" s="507"/>
      <c r="B119" s="167">
        <v>1</v>
      </c>
      <c r="C119" s="205">
        <v>2</v>
      </c>
      <c r="D119" s="205">
        <f>(B119*C119)-B119</f>
        <v>1</v>
      </c>
      <c r="E119" s="154">
        <f>SUM($D$2:D119)/SUM($B$2:B119)</f>
        <v>0.13314406779661014</v>
      </c>
      <c r="F119" s="150">
        <f>F118+D119</f>
        <v>15.710999999999999</v>
      </c>
      <c r="G119" s="189" t="s">
        <v>898</v>
      </c>
      <c r="H119" s="183"/>
      <c r="I119" s="184"/>
      <c r="J119" s="184"/>
      <c r="K119" s="18"/>
      <c r="Q119"/>
    </row>
    <row r="120" spans="1:17">
      <c r="A120" s="507"/>
      <c r="B120" s="167">
        <v>1</v>
      </c>
      <c r="C120" s="205"/>
      <c r="D120" s="205">
        <f>(B120*C120)-B120</f>
        <v>-1</v>
      </c>
      <c r="E120" s="154">
        <f>SUM($D$2:D120)/SUM($B$2:B120)</f>
        <v>0.12362184873949579</v>
      </c>
      <c r="F120" s="150">
        <f>F119+D120</f>
        <v>14.710999999999999</v>
      </c>
      <c r="G120" s="189" t="s">
        <v>899</v>
      </c>
      <c r="H120" s="183"/>
      <c r="I120" s="184"/>
      <c r="J120" s="184"/>
      <c r="K120" s="18"/>
      <c r="Q120"/>
    </row>
    <row r="121" spans="1:17">
      <c r="A121" s="507"/>
      <c r="B121" s="167">
        <v>1</v>
      </c>
      <c r="C121" s="205">
        <v>1.83</v>
      </c>
      <c r="D121" s="205">
        <f>(B121*C121)-B121</f>
        <v>0.83000000000000007</v>
      </c>
      <c r="E121" s="154">
        <f>SUM($D$2:D121)/SUM($B$2:B121)</f>
        <v>0.12950833333333331</v>
      </c>
      <c r="F121" s="150">
        <f>F120+D121</f>
        <v>15.540999999999999</v>
      </c>
      <c r="G121" s="189" t="s">
        <v>897</v>
      </c>
      <c r="H121" s="183"/>
      <c r="I121" s="184"/>
      <c r="J121" s="184"/>
      <c r="K121" s="18"/>
      <c r="Q121"/>
    </row>
    <row r="122" spans="1:17">
      <c r="A122" s="507"/>
      <c r="B122" s="167">
        <v>1</v>
      </c>
      <c r="C122" s="205">
        <v>1.96</v>
      </c>
      <c r="D122" s="205">
        <f>(B122*C122)-B122</f>
        <v>0.96</v>
      </c>
      <c r="E122" s="154">
        <f>SUM($D$2:D122)/SUM($B$2:B122)</f>
        <v>0.13637190082644626</v>
      </c>
      <c r="F122" s="150">
        <f>F121+D122</f>
        <v>16.500999999999998</v>
      </c>
      <c r="G122" s="189" t="s">
        <v>902</v>
      </c>
      <c r="H122" s="183"/>
      <c r="I122" s="184"/>
      <c r="J122" s="184"/>
      <c r="K122" s="18"/>
      <c r="Q122"/>
    </row>
    <row r="123" spans="1:17" ht="15.75" thickBot="1">
      <c r="A123" s="514"/>
      <c r="B123" s="170">
        <v>1</v>
      </c>
      <c r="C123" s="206">
        <v>2.06</v>
      </c>
      <c r="D123" s="206">
        <f>(B123*C123)-B123</f>
        <v>1.06</v>
      </c>
      <c r="E123" s="193">
        <f>SUM($D$2:D123)/SUM($B$2:B123)</f>
        <v>0.14394262295081964</v>
      </c>
      <c r="F123" s="163">
        <f>F122+D123</f>
        <v>17.560999999999996</v>
      </c>
      <c r="G123" s="194" t="s">
        <v>903</v>
      </c>
      <c r="H123" s="183"/>
      <c r="I123" s="184"/>
      <c r="J123" s="184"/>
      <c r="K123" s="18"/>
      <c r="Q123"/>
    </row>
    <row r="124" spans="1:17">
      <c r="A124" s="527">
        <v>45928</v>
      </c>
      <c r="B124" s="179">
        <v>1</v>
      </c>
      <c r="C124" s="207">
        <v>1.87</v>
      </c>
      <c r="D124" s="207">
        <f>(B124*C124)-B124</f>
        <v>0.87000000000000011</v>
      </c>
      <c r="E124" s="195">
        <f>SUM($D$2:D124)/SUM($B$2:B124)</f>
        <v>0.14984552845528454</v>
      </c>
      <c r="F124" s="162">
        <f>F123+D124</f>
        <v>18.430999999999997</v>
      </c>
      <c r="G124" s="214" t="s">
        <v>901</v>
      </c>
      <c r="H124" s="183"/>
      <c r="I124" s="184"/>
      <c r="J124" s="184"/>
      <c r="K124" s="18"/>
      <c r="Q124"/>
    </row>
    <row r="125" spans="1:17">
      <c r="A125" s="528"/>
      <c r="B125" s="167">
        <v>1</v>
      </c>
      <c r="C125" s="205"/>
      <c r="D125" s="205">
        <f>(B125*C125)-B125</f>
        <v>-1</v>
      </c>
      <c r="E125" s="154">
        <f>SUM($D$2:D125)/SUM($B$2:B125)</f>
        <v>0.14057258064516126</v>
      </c>
      <c r="F125" s="150">
        <f>F124+D125</f>
        <v>17.430999999999997</v>
      </c>
      <c r="G125" s="189" t="s">
        <v>905</v>
      </c>
      <c r="H125" s="183"/>
      <c r="I125" s="184"/>
      <c r="J125" s="184"/>
      <c r="K125" s="18"/>
      <c r="Q125"/>
    </row>
    <row r="126" spans="1:17">
      <c r="A126" s="528"/>
      <c r="B126" s="167">
        <v>1</v>
      </c>
      <c r="C126" s="205">
        <v>1.81</v>
      </c>
      <c r="D126" s="205">
        <f>(B126*C126)-B126</f>
        <v>0.81</v>
      </c>
      <c r="E126" s="154">
        <f>SUM($D$2:D126)/SUM($B$2:B126)</f>
        <v>0.14592799999999997</v>
      </c>
      <c r="F126" s="150">
        <f>F125+D126</f>
        <v>18.240999999999996</v>
      </c>
      <c r="G126" s="189" t="s">
        <v>906</v>
      </c>
      <c r="H126" s="183"/>
      <c r="I126" s="184"/>
      <c r="J126" s="184"/>
      <c r="K126" s="18"/>
      <c r="Q126"/>
    </row>
    <row r="127" spans="1:17">
      <c r="A127" s="528"/>
      <c r="B127" s="167">
        <v>1</v>
      </c>
      <c r="C127" s="205">
        <v>1.87</v>
      </c>
      <c r="D127" s="205">
        <f>(B127*C127)-B127</f>
        <v>0.87000000000000011</v>
      </c>
      <c r="E127" s="154">
        <f>SUM($D$2:D127)/SUM($B$2:B127)</f>
        <v>0.15167460317460316</v>
      </c>
      <c r="F127" s="150">
        <f>F126+D127</f>
        <v>19.110999999999997</v>
      </c>
      <c r="G127" s="189" t="s">
        <v>893</v>
      </c>
      <c r="H127" s="183"/>
      <c r="I127" s="184"/>
      <c r="J127" s="184"/>
      <c r="K127" s="18"/>
      <c r="Q127"/>
    </row>
    <row r="128" spans="1:17">
      <c r="A128" s="528"/>
      <c r="B128" s="167">
        <v>1</v>
      </c>
      <c r="C128" s="205">
        <v>1.98</v>
      </c>
      <c r="D128" s="205">
        <f>(B128*C128)-B128</f>
        <v>0.98</v>
      </c>
      <c r="E128" s="154">
        <f>SUM($D$2:D128)/SUM($B$2:B128)</f>
        <v>0.15819685039370077</v>
      </c>
      <c r="F128" s="150">
        <f>F127+D128</f>
        <v>20.090999999999998</v>
      </c>
      <c r="G128" s="189" t="s">
        <v>898</v>
      </c>
      <c r="H128" s="183"/>
      <c r="I128" s="184"/>
      <c r="J128" s="184"/>
      <c r="K128" s="18"/>
      <c r="Q128"/>
    </row>
    <row r="129" spans="1:17">
      <c r="A129" s="528"/>
      <c r="B129" s="167">
        <v>1</v>
      </c>
      <c r="C129" s="205">
        <v>2.02</v>
      </c>
      <c r="D129" s="205">
        <f>(B129*C129)-B129</f>
        <v>1.02</v>
      </c>
      <c r="E129" s="154">
        <f>SUM($D$2:D129)/SUM($B$2:B129)</f>
        <v>0.16492968749999998</v>
      </c>
      <c r="F129" s="150">
        <f>F128+D129</f>
        <v>21.110999999999997</v>
      </c>
      <c r="G129" s="189" t="s">
        <v>903</v>
      </c>
      <c r="H129" s="183"/>
      <c r="I129" s="184"/>
      <c r="J129" s="184"/>
      <c r="K129" s="18"/>
      <c r="Q129"/>
    </row>
    <row r="130" spans="1:17" ht="15.75" thickBot="1">
      <c r="A130" s="529"/>
      <c r="B130" s="170">
        <v>1</v>
      </c>
      <c r="C130" s="206">
        <v>2</v>
      </c>
      <c r="D130" s="206">
        <f>(B130*C130)-B130</f>
        <v>1</v>
      </c>
      <c r="E130" s="193">
        <f>SUM($D$2:D130)/SUM($B$2:B130)</f>
        <v>0.17140310077519377</v>
      </c>
      <c r="F130" s="212">
        <f>F129+D130</f>
        <v>22.110999999999997</v>
      </c>
      <c r="G130" s="194" t="s">
        <v>899</v>
      </c>
      <c r="H130" s="183"/>
      <c r="I130" s="184"/>
      <c r="J130" s="184"/>
      <c r="K130" s="18"/>
      <c r="Q130"/>
    </row>
    <row r="131" spans="1:17">
      <c r="A131" s="506">
        <v>45930</v>
      </c>
      <c r="B131" s="103">
        <v>1</v>
      </c>
      <c r="C131" s="41"/>
      <c r="D131" s="41">
        <f>(B131*C131)-B131</f>
        <v>-1</v>
      </c>
      <c r="E131" s="47">
        <f>SUM($D$2:D131)/SUM($B$2:B131)</f>
        <v>0.16239230769230767</v>
      </c>
      <c r="F131" s="37">
        <f>F130+D131</f>
        <v>21.110999999999997</v>
      </c>
      <c r="G131" s="129" t="s">
        <v>907</v>
      </c>
      <c r="H131" s="2"/>
      <c r="K131" s="18"/>
      <c r="Q131"/>
    </row>
    <row r="132" spans="1:17" ht="15.75" thickBot="1">
      <c r="A132" s="514"/>
      <c r="B132" s="105">
        <v>1</v>
      </c>
      <c r="C132" s="218"/>
      <c r="D132" s="218">
        <f>(B132*C132)-B132</f>
        <v>-1</v>
      </c>
      <c r="E132" s="59">
        <f>SUM($D$2:D132)/SUM($B$2:B132)</f>
        <v>0.15351908396946562</v>
      </c>
      <c r="F132" s="38">
        <f>F131+D132</f>
        <v>20.110999999999997</v>
      </c>
      <c r="G132" s="141" t="s">
        <v>908</v>
      </c>
      <c r="H132" s="2"/>
      <c r="K132" s="18"/>
      <c r="Q132"/>
    </row>
    <row r="133" spans="1:17">
      <c r="A133" s="506">
        <v>45931</v>
      </c>
      <c r="B133" s="41">
        <v>1</v>
      </c>
      <c r="C133" s="41">
        <v>2.0699999999999998</v>
      </c>
      <c r="D133" s="41">
        <f>(B133*C133)-B133</f>
        <v>1.0699999999999998</v>
      </c>
      <c r="E133" s="47">
        <f>SUM($D$2:D133)/SUM($B$2:B133)</f>
        <v>0.16046212121212119</v>
      </c>
      <c r="F133" s="37">
        <f>F132+D133</f>
        <v>21.180999999999997</v>
      </c>
      <c r="G133" s="129" t="s">
        <v>907</v>
      </c>
      <c r="H133" s="2"/>
      <c r="K133" s="18"/>
      <c r="Q133"/>
    </row>
    <row r="134" spans="1:17" ht="15.75" thickBot="1">
      <c r="A134" s="514"/>
      <c r="B134" s="218">
        <v>1</v>
      </c>
      <c r="C134" s="218">
        <v>2.2200000000000002</v>
      </c>
      <c r="D134" s="218">
        <f>(B134*C134)-B134</f>
        <v>1.2200000000000002</v>
      </c>
      <c r="E134" s="59">
        <f>SUM($D$2:D134)/SUM($B$2:B134)</f>
        <v>0.1684285714285714</v>
      </c>
      <c r="F134" s="38">
        <f>F133+D134</f>
        <v>22.400999999999996</v>
      </c>
      <c r="G134" s="141" t="s">
        <v>908</v>
      </c>
      <c r="H134" s="2"/>
      <c r="K134" s="18"/>
      <c r="Q134"/>
    </row>
    <row r="135" spans="1:17">
      <c r="A135" s="506">
        <v>45932</v>
      </c>
      <c r="B135" s="41">
        <v>1</v>
      </c>
      <c r="C135" s="41"/>
      <c r="D135" s="41">
        <f>(B135*C135)-B135</f>
        <v>-1</v>
      </c>
      <c r="E135" s="47">
        <f>SUM($D$2:D135)/SUM($B$2:B135)</f>
        <v>0.15970895522388057</v>
      </c>
      <c r="F135" s="37">
        <f>F134+D135</f>
        <v>21.400999999999996</v>
      </c>
      <c r="G135" s="129" t="s">
        <v>907</v>
      </c>
      <c r="H135" s="2"/>
      <c r="K135" s="18"/>
      <c r="Q135"/>
    </row>
    <row r="136" spans="1:17">
      <c r="A136" s="514"/>
      <c r="B136" s="218">
        <v>1</v>
      </c>
      <c r="C136" s="218"/>
      <c r="D136" s="218">
        <f>(B136*C136)-B136</f>
        <v>-1</v>
      </c>
      <c r="E136" s="59">
        <f>SUM($D$2:D136)/SUM($B$2:B136)</f>
        <v>0.15111851851851849</v>
      </c>
      <c r="F136" s="38">
        <f>F135+D136</f>
        <v>20.400999999999996</v>
      </c>
      <c r="G136" s="141" t="s">
        <v>908</v>
      </c>
      <c r="H136" s="2"/>
      <c r="K136" s="18"/>
      <c r="Q136"/>
    </row>
    <row r="137" spans="1:17" s="184" customFormat="1">
      <c r="A137" s="473">
        <v>45934</v>
      </c>
      <c r="B137" s="223">
        <v>1</v>
      </c>
      <c r="C137" s="224">
        <v>1.97</v>
      </c>
      <c r="D137" s="224">
        <f>(B137*C137)-B137</f>
        <v>0.97</v>
      </c>
      <c r="E137" s="225">
        <f>SUM($D$2:D137)/SUM($B$2:B137)</f>
        <v>0.1571397058823529</v>
      </c>
      <c r="F137" s="226">
        <f>F136+D137</f>
        <v>21.370999999999995</v>
      </c>
      <c r="G137" s="276" t="s">
        <v>909</v>
      </c>
      <c r="H137" s="183"/>
      <c r="K137" s="236"/>
    </row>
    <row r="138" spans="1:17" s="184" customFormat="1">
      <c r="A138" s="473">
        <v>45936</v>
      </c>
      <c r="B138" s="223">
        <v>1</v>
      </c>
      <c r="C138" s="224"/>
      <c r="D138" s="224">
        <f>(B138*C138)-B138</f>
        <v>-1</v>
      </c>
      <c r="E138" s="225">
        <f>SUM($D$2:D138)/SUM($B$2:B138)</f>
        <v>0.14869343065693427</v>
      </c>
      <c r="F138" s="226">
        <f t="shared" ref="F138:F144" si="4">F137+D138</f>
        <v>20.370999999999995</v>
      </c>
      <c r="G138" s="227" t="s">
        <v>910</v>
      </c>
      <c r="H138" s="183"/>
      <c r="K138" s="236"/>
    </row>
    <row r="139" spans="1:17" s="184" customFormat="1">
      <c r="A139" s="473">
        <v>45937</v>
      </c>
      <c r="B139" s="223">
        <v>1</v>
      </c>
      <c r="C139" s="224"/>
      <c r="D139" s="224">
        <f>(B139*C139)-B139</f>
        <v>-1</v>
      </c>
      <c r="E139" s="225">
        <f>SUM($D$2:D139)/SUM($B$2:B139)</f>
        <v>0.14036956521739127</v>
      </c>
      <c r="F139" s="226">
        <f t="shared" si="4"/>
        <v>19.370999999999995</v>
      </c>
      <c r="G139" s="227" t="s">
        <v>911</v>
      </c>
      <c r="H139" s="183"/>
      <c r="K139" s="236"/>
    </row>
    <row r="140" spans="1:17" s="184" customFormat="1">
      <c r="A140" s="506">
        <v>45938</v>
      </c>
      <c r="B140" s="165">
        <v>1</v>
      </c>
      <c r="C140" s="204"/>
      <c r="D140" s="204">
        <f>(B140*C140)-B140</f>
        <v>-1</v>
      </c>
      <c r="E140" s="191">
        <f>SUM($D$2:D140)/SUM($B$2:B140)</f>
        <v>0.13216546762589926</v>
      </c>
      <c r="F140" s="161">
        <f t="shared" si="4"/>
        <v>18.370999999999995</v>
      </c>
      <c r="G140" s="169" t="s">
        <v>857</v>
      </c>
      <c r="H140" s="183"/>
      <c r="K140" s="236"/>
    </row>
    <row r="141" spans="1:17" s="184" customFormat="1">
      <c r="A141" s="507"/>
      <c r="B141" s="167">
        <v>1</v>
      </c>
      <c r="C141" s="205">
        <v>1.92</v>
      </c>
      <c r="D141" s="205">
        <f>(B141*C141)-B141</f>
        <v>0.91999999999999993</v>
      </c>
      <c r="E141" s="154">
        <f>SUM($D$2:D141)/SUM($B$2:B141)</f>
        <v>0.13779285714285713</v>
      </c>
      <c r="F141" s="150">
        <f t="shared" si="4"/>
        <v>19.290999999999997</v>
      </c>
      <c r="G141" s="155" t="s">
        <v>820</v>
      </c>
      <c r="H141" s="183"/>
      <c r="K141" s="236"/>
    </row>
    <row r="142" spans="1:17" s="184" customFormat="1">
      <c r="A142" s="514"/>
      <c r="B142" s="170">
        <v>1</v>
      </c>
      <c r="C142" s="206"/>
      <c r="D142" s="206">
        <f>(B142*C142)-B142</f>
        <v>-1</v>
      </c>
      <c r="E142" s="193">
        <f>SUM($D$2:D142)/SUM($B$2:B142)</f>
        <v>0.12972340425531911</v>
      </c>
      <c r="F142" s="163">
        <f t="shared" si="4"/>
        <v>18.290999999999997</v>
      </c>
      <c r="G142" s="194" t="s">
        <v>911</v>
      </c>
      <c r="H142" s="183"/>
      <c r="K142" s="236"/>
    </row>
    <row r="143" spans="1:17" s="184" customFormat="1">
      <c r="A143" s="473">
        <v>45942</v>
      </c>
      <c r="B143" s="223">
        <v>1</v>
      </c>
      <c r="C143" s="226">
        <v>1.97</v>
      </c>
      <c r="D143" s="226">
        <f t="shared" ref="D143" si="5">(B143*C143)-B143</f>
        <v>0.97</v>
      </c>
      <c r="E143" s="225">
        <f>SUM($D$2:D143)/SUM($B$2:B143)</f>
        <v>0.13564084507042251</v>
      </c>
      <c r="F143" s="226">
        <f t="shared" si="4"/>
        <v>19.260999999999996</v>
      </c>
      <c r="G143" s="227" t="s">
        <v>912</v>
      </c>
      <c r="H143" s="183"/>
      <c r="K143" s="236"/>
    </row>
    <row r="144" spans="1:17" s="184" customFormat="1">
      <c r="A144" s="473">
        <v>45946</v>
      </c>
      <c r="B144" s="253">
        <v>1</v>
      </c>
      <c r="C144" s="253"/>
      <c r="D144" s="253">
        <f>(B144*C144)-B144</f>
        <v>-1</v>
      </c>
      <c r="E144" s="254">
        <f>SUM($D$2:D144)/SUM($B$2:B144)</f>
        <v>0.12769930069930066</v>
      </c>
      <c r="F144" s="255">
        <f t="shared" si="4"/>
        <v>18.260999999999996</v>
      </c>
      <c r="G144" s="281" t="s">
        <v>913</v>
      </c>
      <c r="H144" s="183"/>
      <c r="K144" s="236"/>
    </row>
    <row r="145" spans="1:18">
      <c r="A145" s="47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369</v>
      </c>
      <c r="C148" s="508" t="s">
        <v>370</v>
      </c>
      <c r="D148" s="509"/>
      <c r="E148" s="510"/>
      <c r="H148" s="480">
        <f>100</f>
        <v>100</v>
      </c>
      <c r="I148" s="511"/>
      <c r="J148" s="16" t="s">
        <v>914</v>
      </c>
      <c r="K148" s="480">
        <v>80.89</v>
      </c>
      <c r="L148" s="511"/>
      <c r="M148" s="16" t="s">
        <v>914</v>
      </c>
      <c r="N148" s="19"/>
      <c r="O148" s="138"/>
      <c r="P148" s="58"/>
    </row>
    <row r="149" spans="1:18" ht="15" customHeight="1">
      <c r="A149">
        <f>COUNT(B2:B145)</f>
        <v>143</v>
      </c>
      <c r="B149" s="1"/>
      <c r="C149" s="156">
        <f>I149</f>
        <v>5</v>
      </c>
      <c r="D149" s="524">
        <v>1.32</v>
      </c>
      <c r="E149" s="157">
        <f>C149*D149-C149</f>
        <v>1.6000000000000005</v>
      </c>
      <c r="F149" s="15"/>
      <c r="G149" s="147" t="s">
        <v>372</v>
      </c>
      <c r="H149" s="75">
        <f>H152/100</f>
        <v>1</v>
      </c>
      <c r="I149" s="149">
        <f>H149*5</f>
        <v>5</v>
      </c>
      <c r="J149" s="3" t="s">
        <v>373</v>
      </c>
      <c r="K149" s="75">
        <f>K152/100</f>
        <v>0.99151</v>
      </c>
      <c r="L149" s="149">
        <f>K149*5</f>
        <v>4.9575500000000003</v>
      </c>
      <c r="M149" s="3" t="s">
        <v>373</v>
      </c>
    </row>
    <row r="150" spans="1:18" ht="15" customHeight="1">
      <c r="A150" t="s">
        <v>374</v>
      </c>
      <c r="B150" s="99"/>
      <c r="C150" s="135">
        <f>E150/(D149-1)</f>
        <v>9.3749999999999982</v>
      </c>
      <c r="D150" s="525"/>
      <c r="E150" s="136">
        <v>3</v>
      </c>
      <c r="F150" s="15"/>
      <c r="G150" s="147" t="s">
        <v>375</v>
      </c>
      <c r="H150" s="127">
        <f>SUM(H2:H145)</f>
        <v>0</v>
      </c>
      <c r="I150" s="148"/>
      <c r="J150" s="3" t="s">
        <v>376</v>
      </c>
      <c r="K150" s="127">
        <f>D146</f>
        <v>18.260999999999996</v>
      </c>
      <c r="L150" s="148"/>
      <c r="M150" s="3" t="s">
        <v>376</v>
      </c>
    </row>
    <row r="151" spans="1:18">
      <c r="A151" s="18">
        <f>COUNT(C2:C145)/A149</f>
        <v>0.58741258741258739</v>
      </c>
      <c r="B151" s="18"/>
      <c r="D151" s="15">
        <f>1/A151</f>
        <v>1.7023809523809523</v>
      </c>
      <c r="E151" s="15"/>
      <c r="F151" s="15"/>
      <c r="G151" s="147" t="s">
        <v>377</v>
      </c>
      <c r="H151" s="520">
        <f>(H150-I150)</f>
        <v>0</v>
      </c>
      <c r="I151" s="521"/>
      <c r="J151" s="128"/>
      <c r="K151" s="520">
        <f>(K150-L150)</f>
        <v>18.260999999999996</v>
      </c>
      <c r="L151" s="521"/>
      <c r="M151" s="128"/>
    </row>
    <row r="152" spans="1:18">
      <c r="A152" t="s">
        <v>4</v>
      </c>
      <c r="G152" s="147" t="s">
        <v>378</v>
      </c>
      <c r="H152" s="522">
        <f>H148+H151</f>
        <v>100</v>
      </c>
      <c r="I152" s="523"/>
      <c r="J152" s="128">
        <f>130-H152</f>
        <v>30</v>
      </c>
      <c r="K152" s="522">
        <f>K148+K151</f>
        <v>99.150999999999996</v>
      </c>
      <c r="L152" s="523"/>
      <c r="M152" s="128"/>
      <c r="O152" s="237">
        <v>74.147999999999996</v>
      </c>
      <c r="P152" s="18"/>
    </row>
    <row r="153" spans="1:18">
      <c r="A153" s="18">
        <f>D146/B146</f>
        <v>0.12769930069930066</v>
      </c>
      <c r="F153" s="158"/>
      <c r="G153" s="147" t="s">
        <v>379</v>
      </c>
      <c r="H153" s="45">
        <f>(H152-H148)/H148</f>
        <v>0</v>
      </c>
      <c r="I153" s="46">
        <f>B146/H148</f>
        <v>1.43</v>
      </c>
      <c r="J153" t="s">
        <v>380</v>
      </c>
      <c r="K153" s="45">
        <f>(K152-K148)/K148</f>
        <v>0.22575101990357269</v>
      </c>
      <c r="L153" s="46">
        <f>B146/K148</f>
        <v>1.767832859438744</v>
      </c>
      <c r="M153" t="s">
        <v>380</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474" t="s">
        <v>383</v>
      </c>
      <c r="B171" s="132" t="s">
        <v>1</v>
      </c>
      <c r="C171" s="475"/>
      <c r="E171" s="134" t="s">
        <v>4</v>
      </c>
    </row>
    <row r="173" spans="1:37">
      <c r="D173" s="7" t="s">
        <v>3</v>
      </c>
    </row>
    <row r="174" spans="1:37">
      <c r="B174" s="21" t="s">
        <v>917</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385</v>
      </c>
      <c r="B197" s="140">
        <f>SUM(B2:B16)</f>
        <v>15</v>
      </c>
      <c r="C197" s="140"/>
      <c r="D197" s="140">
        <f>SUM(D2:D16)</f>
        <v>-3.4500000000000006</v>
      </c>
      <c r="E197" s="144">
        <f t="shared" ref="E197:E198" si="7">D197/B197</f>
        <v>-0.23000000000000004</v>
      </c>
      <c r="F197" s="18"/>
      <c r="G197" s="222" t="s">
        <v>384</v>
      </c>
    </row>
    <row r="198" spans="1:7">
      <c r="A198" s="139" t="s">
        <v>386</v>
      </c>
      <c r="B198" s="140">
        <f>SUM(B17:B46)</f>
        <v>30</v>
      </c>
      <c r="C198" s="140"/>
      <c r="D198" s="140">
        <f>SUM(D17:D46)</f>
        <v>2.145999999999999</v>
      </c>
      <c r="E198" s="144">
        <f t="shared" si="7"/>
        <v>7.1533333333333296E-2</v>
      </c>
      <c r="G198" s="221"/>
    </row>
    <row r="199" spans="1:7">
      <c r="A199" s="139" t="s">
        <v>387</v>
      </c>
      <c r="B199" s="140">
        <f>SUM(B47:B90)</f>
        <v>44</v>
      </c>
      <c r="C199" s="140"/>
      <c r="D199" s="140">
        <f>SUM(D47:D90)</f>
        <v>11.262000000000004</v>
      </c>
      <c r="E199" s="144">
        <f t="shared" ref="E199" si="8">D199/B199</f>
        <v>0.25595454545454555</v>
      </c>
      <c r="G199" s="221"/>
    </row>
    <row r="200" spans="1:7">
      <c r="A200" s="139" t="s">
        <v>389</v>
      </c>
      <c r="B200" s="140">
        <f>SUM(B91:B145)</f>
        <v>54</v>
      </c>
      <c r="C200" s="140"/>
      <c r="D200" s="140">
        <f>SUM(D91:D145)</f>
        <v>8.3030000000000008</v>
      </c>
      <c r="E200" s="144">
        <f t="shared" ref="E200" si="9">D200/B200</f>
        <v>0.15375925925925926</v>
      </c>
      <c r="G200" s="221"/>
    </row>
    <row r="201" spans="1:7">
      <c r="A201" s="139" t="s">
        <v>390</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400</v>
      </c>
      <c r="G204" s="221"/>
    </row>
    <row r="213" spans="2:3">
      <c r="B213">
        <v>29.37</v>
      </c>
      <c r="C213" s="184">
        <v>1200</v>
      </c>
    </row>
    <row r="214" spans="2:3">
      <c r="B214">
        <f>C214*B213/C213</f>
        <v>300.97519374999996</v>
      </c>
      <c r="C214" s="238">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918</v>
      </c>
      <c r="D1" t="s">
        <v>919</v>
      </c>
      <c r="E1" s="175" t="s">
        <v>920</v>
      </c>
      <c r="G1" s="235" t="s">
        <v>921</v>
      </c>
      <c r="H1" s="175" t="s">
        <v>920</v>
      </c>
      <c r="M1" t="s">
        <v>922</v>
      </c>
      <c r="N1" s="539" t="s">
        <v>923</v>
      </c>
      <c r="O1" s="539"/>
      <c r="P1" s="539"/>
      <c r="Q1" s="539"/>
      <c r="R1" s="539"/>
      <c r="S1" s="539"/>
      <c r="T1" s="88" t="s">
        <v>924</v>
      </c>
      <c r="U1" s="242" t="s">
        <v>5</v>
      </c>
      <c r="V1" s="217" t="s">
        <v>925</v>
      </c>
    </row>
    <row r="2" spans="1:22">
      <c r="A2" s="456" t="s">
        <v>926</v>
      </c>
      <c r="B2" s="171">
        <v>0.6</v>
      </c>
      <c r="C2" s="171"/>
      <c r="D2" s="180">
        <f>26/61</f>
        <v>0.42622950819672129</v>
      </c>
      <c r="E2" s="176">
        <f>B2*D2</f>
        <v>0.25573770491803277</v>
      </c>
      <c r="F2" s="18"/>
      <c r="G2" s="180">
        <f>15/62</f>
        <v>0.24193548387096775</v>
      </c>
      <c r="H2" s="176">
        <f>B2*G2</f>
        <v>0.14516129032258066</v>
      </c>
      <c r="M2" t="s">
        <v>927</v>
      </c>
      <c r="N2" s="58">
        <v>2</v>
      </c>
      <c r="T2" s="243">
        <v>100</v>
      </c>
      <c r="U2" s="241">
        <v>2.5099999999999998</v>
      </c>
      <c r="V2" s="244"/>
    </row>
    <row r="3" spans="1:22">
      <c r="A3" s="456" t="s">
        <v>928</v>
      </c>
      <c r="B3" s="171">
        <v>0.4</v>
      </c>
      <c r="C3" s="171"/>
      <c r="D3" s="180">
        <f>9/15</f>
        <v>0.6</v>
      </c>
      <c r="E3" s="177">
        <f t="shared" ref="E3" si="0">B3*D3</f>
        <v>0.24</v>
      </c>
      <c r="F3" s="18"/>
      <c r="G3" s="180">
        <f>6/15</f>
        <v>0.4</v>
      </c>
      <c r="H3" s="177">
        <f>B3*G3</f>
        <v>0.16000000000000003</v>
      </c>
      <c r="M3" t="s">
        <v>929</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930</v>
      </c>
      <c r="M4" t="s">
        <v>931</v>
      </c>
      <c r="N4" s="19">
        <f>1-N3</f>
        <v>0.4</v>
      </c>
      <c r="T4" s="238"/>
      <c r="U4" s="238"/>
      <c r="V4" s="238"/>
    </row>
    <row r="5" spans="1:22">
      <c r="C5" s="164"/>
      <c r="F5" s="18"/>
      <c r="J5" s="172">
        <f>1 - J4</f>
        <v>0.62954263513887831</v>
      </c>
      <c r="K5" s="174" t="s">
        <v>932</v>
      </c>
      <c r="M5" t="s">
        <v>916</v>
      </c>
      <c r="N5" s="19">
        <f>(N2*N3-N4)/N2</f>
        <v>0.39999999999999997</v>
      </c>
      <c r="T5" s="238"/>
      <c r="U5" s="238"/>
      <c r="V5" s="238"/>
    </row>
    <row r="6" spans="1:22">
      <c r="A6" s="456" t="s">
        <v>933</v>
      </c>
      <c r="B6" s="171">
        <v>0.7</v>
      </c>
      <c r="D6" s="176">
        <f>E4</f>
        <v>0.49573770491803276</v>
      </c>
      <c r="E6" s="178">
        <f>B6*D6</f>
        <v>0.34701639344262292</v>
      </c>
      <c r="G6" s="176">
        <f>H4</f>
        <v>0.30516129032258066</v>
      </c>
      <c r="H6" s="178">
        <f>B6*G6</f>
        <v>0.21361290322580645</v>
      </c>
      <c r="M6" t="s">
        <v>934</v>
      </c>
      <c r="N6" s="19">
        <f>N5/10</f>
        <v>3.9999999999999994E-2</v>
      </c>
      <c r="T6" s="238"/>
      <c r="U6" s="238"/>
      <c r="V6" s="238"/>
    </row>
    <row r="7" spans="1:22">
      <c r="A7" s="456" t="s">
        <v>935</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920</v>
      </c>
      <c r="G10" t="str">
        <f>G1</f>
        <v>Cleveland</v>
      </c>
      <c r="H10" s="175" t="s">
        <v>920</v>
      </c>
      <c r="J10" s="18">
        <f xml:space="preserve"> (1 - E11) * (1 - H11)</f>
        <v>0.760876</v>
      </c>
      <c r="K10" s="173" t="s">
        <v>930</v>
      </c>
      <c r="T10" s="238"/>
      <c r="U10" s="238"/>
      <c r="V10" s="238"/>
    </row>
    <row r="11" spans="1:22">
      <c r="D11" s="18"/>
      <c r="E11" s="44">
        <v>0.14699999999999999</v>
      </c>
      <c r="G11" s="18"/>
      <c r="H11" s="44">
        <v>0.108</v>
      </c>
      <c r="J11" s="172">
        <f>1 - J10</f>
        <v>0.239124</v>
      </c>
      <c r="K11" s="174" t="s">
        <v>932</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936</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937</v>
      </c>
      <c r="B1" s="80" t="s">
        <v>938</v>
      </c>
      <c r="C1" s="80" t="s">
        <v>939</v>
      </c>
      <c r="D1" s="81" t="s">
        <v>940</v>
      </c>
      <c r="E1" s="81" t="s">
        <v>941</v>
      </c>
      <c r="F1" s="82" t="s">
        <v>942</v>
      </c>
      <c r="G1" s="82" t="s">
        <v>943</v>
      </c>
      <c r="H1" s="82" t="s">
        <v>944</v>
      </c>
      <c r="I1" s="83" t="s">
        <v>945</v>
      </c>
      <c r="J1" s="81" t="s">
        <v>946</v>
      </c>
      <c r="K1" s="80" t="s">
        <v>947</v>
      </c>
      <c r="L1" s="84" t="s">
        <v>948</v>
      </c>
      <c r="M1" s="85" t="s">
        <v>949</v>
      </c>
      <c r="N1" s="85" t="s">
        <v>950</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480">
        <f>P6</f>
        <v>700</v>
      </c>
      <c r="T4" s="511"/>
      <c r="U4" s="16" t="s">
        <v>951</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40" t="s">
        <v>952</v>
      </c>
      <c r="P5" s="540"/>
      <c r="R5" s="17" t="s">
        <v>372</v>
      </c>
      <c r="S5" s="75">
        <f>L2</f>
        <v>7</v>
      </c>
      <c r="T5" s="76">
        <f>S5*10</f>
        <v>70</v>
      </c>
      <c r="U5" s="3" t="s">
        <v>373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953</v>
      </c>
      <c r="P6" s="29">
        <v>700</v>
      </c>
      <c r="R6" s="17" t="s">
        <v>375</v>
      </c>
      <c r="S6" s="46">
        <v>0</v>
      </c>
      <c r="T6" s="60"/>
      <c r="U6" s="3" t="s">
        <v>376</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954</v>
      </c>
      <c r="P7" s="30">
        <v>45951</v>
      </c>
      <c r="R7" s="17" t="s">
        <v>377</v>
      </c>
      <c r="S7" s="480">
        <f>(S6-T6)</f>
        <v>0</v>
      </c>
      <c r="T7" s="481"/>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955</v>
      </c>
      <c r="P8" s="31">
        <v>1</v>
      </c>
      <c r="R8" s="17" t="s">
        <v>378</v>
      </c>
      <c r="S8" s="542">
        <f>S4+S7</f>
        <v>700</v>
      </c>
      <c r="T8" s="543"/>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956</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957</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958</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959</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40" t="s">
        <v>960</v>
      </c>
      <c r="P13" s="540"/>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961</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962</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41" t="s">
        <v>963</v>
      </c>
      <c r="P17" s="541"/>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964</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965</v>
      </c>
      <c r="B1" s="56" t="s">
        <v>966</v>
      </c>
      <c r="C1" s="56" t="s">
        <v>967</v>
      </c>
      <c r="D1" s="56" t="s">
        <v>968</v>
      </c>
      <c r="E1" s="56" t="s">
        <v>967</v>
      </c>
    </row>
    <row r="2" spans="1:7">
      <c r="A2" s="49" t="s">
        <v>400</v>
      </c>
      <c r="B2" s="61">
        <f>SUM(B4:B8)</f>
        <v>297.69890755043576</v>
      </c>
      <c r="C2" s="63">
        <f>SUM(C4:C8)</f>
        <v>0.99999999999999989</v>
      </c>
      <c r="D2" s="62" t="e">
        <f>#REF!+0</f>
        <v>#REF!</v>
      </c>
      <c r="E2" s="63" t="e">
        <f>(D2-B2)/B2</f>
        <v>#REF!</v>
      </c>
      <c r="F2" s="50"/>
    </row>
    <row r="3" spans="1:7">
      <c r="B3" s="50"/>
      <c r="D3" s="50"/>
    </row>
    <row r="4" spans="1:7">
      <c r="A4" t="s">
        <v>969</v>
      </c>
      <c r="B4" s="50">
        <v>5.4938695562496047</v>
      </c>
      <c r="C4" s="18">
        <f t="shared" ref="C4:C7" si="0">B4/$B$2</f>
        <v>1.8454449838109805E-2</v>
      </c>
      <c r="D4" s="50" t="e">
        <f t="shared" ref="D4:D7" si="1">$D$2*C4</f>
        <v>#REF!</v>
      </c>
      <c r="E4" s="98"/>
      <c r="F4" s="50"/>
    </row>
    <row r="5" spans="1:7">
      <c r="A5" t="s">
        <v>970</v>
      </c>
      <c r="B5" s="50">
        <v>5.7229409898235017</v>
      </c>
      <c r="C5" s="18">
        <f t="shared" si="0"/>
        <v>1.9223923382567093E-2</v>
      </c>
      <c r="D5" s="50" t="e">
        <f t="shared" si="1"/>
        <v>#REF!</v>
      </c>
      <c r="E5" s="98"/>
      <c r="F5" s="50"/>
    </row>
    <row r="6" spans="1:7">
      <c r="A6" t="s">
        <v>971</v>
      </c>
      <c r="B6" s="50">
        <v>29.972097004362656</v>
      </c>
      <c r="C6" s="18">
        <f t="shared" si="0"/>
        <v>0.10067923074015588</v>
      </c>
      <c r="D6" s="50" t="e">
        <f t="shared" si="1"/>
        <v>#REF!</v>
      </c>
      <c r="E6" s="98"/>
      <c r="F6" s="50"/>
    </row>
    <row r="7" spans="1:7">
      <c r="A7" t="s">
        <v>972</v>
      </c>
      <c r="B7" s="50">
        <v>256.51</v>
      </c>
      <c r="C7" s="18">
        <f t="shared" si="0"/>
        <v>0.86164239603916715</v>
      </c>
      <c r="D7" s="50" t="e">
        <f t="shared" si="1"/>
        <v>#REF!</v>
      </c>
      <c r="E7" s="18"/>
      <c r="F7" s="50"/>
    </row>
    <row r="8" spans="1:7">
      <c r="B8" s="50"/>
      <c r="D8" s="50"/>
    </row>
    <row r="9" spans="1:7">
      <c r="A9" t="s">
        <v>973</v>
      </c>
      <c r="B9" s="51">
        <f>B2-SUM(B4:B8)</f>
        <v>0</v>
      </c>
      <c r="C9" s="52"/>
      <c r="D9" s="51" t="e">
        <f>D2-SUM(D4:D8)</f>
        <v>#REF!</v>
      </c>
    </row>
    <row r="10" spans="1:7">
      <c r="B10" s="50"/>
      <c r="D10" s="50"/>
      <c r="E10" s="18">
        <v>0.8</v>
      </c>
      <c r="F10" s="53" t="s">
        <v>974</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917</v>
      </c>
      <c r="B1" s="4" t="s">
        <v>2</v>
      </c>
      <c r="C1" s="5" t="s">
        <v>3</v>
      </c>
      <c r="D1" s="6" t="s">
        <v>4</v>
      </c>
      <c r="E1" s="6" t="s">
        <v>5</v>
      </c>
      <c r="F1" s="100"/>
      <c r="G1" s="112" t="s">
        <v>917</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975</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2026-02-12T14:46:34Z</dcterms:modified>
  <cp:category/>
  <cp:contentStatus/>
</cp:coreProperties>
</file>